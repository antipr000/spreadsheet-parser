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Sheet_2" sheetId="1" state="visible" r:id="rId1"/>
    <sheet name="Sheet_3" sheetId="2" state="visible" r:id="rId2"/>
    <sheet name="Sheet_4" sheetId="3" state="visible" r:id="rId3"/>
    <sheet name="Sheet_5" sheetId="4" state="visible" r:id="rId4"/>
    <sheet name="Sheet_6" sheetId="5" state="visible" r:id="rId5"/>
    <sheet name="Sheet_7" sheetId="6" state="visible" r:id="rId6"/>
    <sheet name="Sheet_8" sheetId="7" state="visible" r:id="rId7"/>
    <sheet name="Sheet_9" sheetId="8" state="visible" r:id="rId8"/>
    <sheet name="Sheet_10" sheetId="9" state="visible" r:id="rId9"/>
  </sheets>
  <definedNames/>
</workbook>
</file>

<file path=xl/styles.xml><?xml version="1.0" encoding="utf-8"?>
<styleSheet xmlns="http://schemas.openxmlformats.org/spreadsheetml/2006/main">
  <numFmts count="26">
    <numFmt numFmtId="164" formatCode="&quot; &quot;* #,##0&quot; &quot;;&quot; &quot;* (#,##0);&quot; &quot;* &quot;-&quot;??&quot; &quot;"/>
    <numFmt numFmtId="165" formatCode="&quot;Share Price ($)  &quot;* #,##0&quot; &quot;"/>
    <numFmt numFmtId="166" formatCode="&quot; &quot;* #,##0.0&quot; &quot;;&quot; &quot;* (#,##0.0);&quot; &quot;* &quot;-&quot;??&quot; &quot;"/>
    <numFmt numFmtId="167" formatCode="&quot;Mkt Cap ($m) &quot;* #,##0&quot; &quot;"/>
    <numFmt numFmtId="168" formatCode="&quot; &quot;* #,##0&quot; &quot;;&quot;-&quot;* #,##0&quot; &quot;;&quot; &quot;* &quot;-&quot;??&quot; &quot;"/>
    <numFmt numFmtId="169" formatCode="&quot; &quot;* #,##0.00&quot; &quot;;&quot;-&quot;* #,##0.00&quot; &quot;;&quot; &quot;* &quot;-&quot;??&quot; &quot;"/>
    <numFmt numFmtId="170" formatCode="0.0%"/>
    <numFmt numFmtId="171" formatCode="&quot; &quot;* #,##0.00&quot; &quot;;&quot; &quot;* (#,##0.00);&quot; &quot;* &quot;-&quot;??&quot; &quot;"/>
    <numFmt numFmtId="172" formatCode="#,##0;(#,##0)"/>
    <numFmt numFmtId="173" formatCode="#,##0.0&quot;x &quot;;(#,##0.0&quot;x)&quot;"/>
    <numFmt numFmtId="174" formatCode="0&quot; bps&quot;"/>
    <numFmt numFmtId="175" formatCode="0.0"/>
    <numFmt numFmtId="176" formatCode="&quot; &quot;* #,##0.0&quot; &quot;;&quot;-&quot;* #,##0.0&quot; &quot;;&quot; &quot;* &quot;-&quot;??&quot; &quot;"/>
    <numFmt numFmtId="177" formatCode="&quot;Share Price ($)  &quot;* #,##0.0&quot; &quot;"/>
    <numFmt numFmtId="178" formatCode="&quot;Target Price (FY'21)  &quot;* #,##0&quot; &quot;"/>
    <numFmt numFmtId="179" formatCode="&quot; Upside &quot;* #,##0.0%;&quot; Downside &quot;* (#,##0.0%);&quot; Upside  &quot;* &quot;-&quot;??&quot; &quot;"/>
    <numFmt numFmtId="180" formatCode="&quot; Annualised TSR (incl div) &quot;* #,##0.0%;&quot; Annualised TSR (incl div) &quot;* (#,##0.0%);&quot; Annualised TSR (incl div)  &quot;* &quot;-&quot;??&quot; &quot;"/>
    <numFmt numFmtId="181" formatCode="&quot;Target P/E (FY'23)  &quot;* #,##0.0&quot;x &quot;"/>
    <numFmt numFmtId="182" formatCode="&quot;Target Price (FY'22)  &quot;* #,##0&quot; &quot;"/>
    <numFmt numFmtId="183" formatCode="&quot;$&quot;#,##0"/>
    <numFmt numFmtId="184" formatCode="&quot;$&quot;#,##0.00"/>
    <numFmt numFmtId="185" formatCode="0.0&quot;x&quot;"/>
    <numFmt numFmtId="186" formatCode="[$AUD]#,##0"/>
    <numFmt numFmtId="187" formatCode="[$AUD]#,##0.00"/>
    <numFmt numFmtId="188" formatCode="&quot; &quot;* #,##0,,.0&quot; &quot;;&quot; &quot;* (#,##0,,.0);&quot; &quot;* &quot;-&quot;?&quot; &quot;"/>
    <numFmt numFmtId="189" formatCode="#,##0.0"/>
  </numFmts>
  <fonts count="85">
    <font>
      <name val="Calibri"/>
      <color indexed="8"/>
      <sz val="11"/>
    </font>
    <font>
      <name val="Calibri"/>
      <color indexed="8"/>
      <sz val="12"/>
    </font>
    <font>
      <name val="Calibri"/>
      <color indexed="8"/>
      <sz val="14"/>
    </font>
    <font>
      <name val="Helvetica Neue"/>
      <color indexed="8"/>
      <sz val="12"/>
    </font>
    <font>
      <name val="Calibri"/>
      <color indexed="11"/>
      <sz val="12"/>
      <u val="single"/>
    </font>
    <font>
      <name val="Calibri"/>
      <color indexed="8"/>
      <sz val="15"/>
    </font>
    <font>
      <name val="Calibri"/>
      <b val="1"/>
      <color indexed="14"/>
      <sz val="10"/>
    </font>
    <font>
      <name val="Calibri"/>
      <color indexed="14"/>
      <sz val="10"/>
    </font>
    <font>
      <name val="Calibri"/>
      <b val="1"/>
      <color indexed="8"/>
      <sz val="10"/>
    </font>
    <font>
      <name val="Calibri"/>
      <b val="1"/>
      <color indexed="11"/>
      <sz val="10"/>
    </font>
    <font>
      <name val="Calibri"/>
      <color indexed="8"/>
      <sz val="10"/>
    </font>
    <font>
      <name val="Calibri"/>
      <b val="1"/>
      <color indexed="12"/>
      <sz val="10"/>
    </font>
    <font>
      <name val="Calibri"/>
      <color indexed="11"/>
      <sz val="10"/>
    </font>
    <font>
      <name val="Calibri"/>
      <color indexed="12"/>
      <sz val="10"/>
    </font>
    <font>
      <name val="Calibri"/>
      <i val="1"/>
      <color indexed="11"/>
      <sz val="10"/>
    </font>
    <font>
      <name val="Helvetica Neue"/>
      <color indexed="8"/>
      <sz val="11"/>
    </font>
    <font>
      <name val="Calibri"/>
      <i val="1"/>
      <color indexed="8"/>
      <sz val="10"/>
    </font>
    <font>
      <name val="Calibri"/>
      <i val="1"/>
      <color indexed="15"/>
      <sz val="10"/>
    </font>
    <font>
      <name val="Calibri"/>
      <b val="1"/>
      <i val="1"/>
      <color indexed="11"/>
      <sz val="10"/>
    </font>
    <font>
      <name val="Calibri"/>
      <color indexed="15"/>
      <sz val="10"/>
    </font>
    <font>
      <name val="Calibri"/>
      <b val="1"/>
      <i val="1"/>
      <color indexed="15"/>
      <sz val="10"/>
    </font>
    <font>
      <name val="Calibri"/>
      <b val="1"/>
      <i val="1"/>
      <color indexed="8"/>
      <sz val="10"/>
    </font>
    <font>
      <name val="Calibri"/>
      <b val="1"/>
      <i val="1"/>
      <color indexed="12"/>
      <sz val="10"/>
    </font>
    <font>
      <name val="Calibri"/>
      <b val="1"/>
      <color indexed="15"/>
      <sz val="10"/>
    </font>
    <font>
      <name val="Calibri"/>
      <color indexed="11"/>
      <sz val="10"/>
      <u val="single"/>
    </font>
    <font>
      <name val="Calibri"/>
      <i val="1"/>
      <color indexed="14"/>
      <sz val="10"/>
    </font>
    <font>
      <name val="Calibri"/>
      <color indexed="8"/>
      <sz val="10"/>
      <u val="single"/>
    </font>
    <font>
      <name val="Calibri"/>
      <b val="1"/>
      <color indexed="21"/>
      <sz val="10"/>
    </font>
    <font>
      <name val="Calibri"/>
      <color indexed="23"/>
      <sz val="9"/>
    </font>
    <font>
      <name val="Calibri"/>
      <b val="1"/>
      <color indexed="23"/>
      <sz val="12"/>
    </font>
    <font>
      <name val="Proxima Nova"/>
      <i val="1"/>
      <color indexed="8"/>
      <sz val="10"/>
    </font>
    <font>
      <name val="Proxima Nova"/>
      <color indexed="8"/>
      <sz val="10"/>
    </font>
    <font>
      <name val="Proxima Nova"/>
      <b val="1"/>
      <color indexed="8"/>
      <sz val="10"/>
    </font>
    <font>
      <name val="Proxima Nova"/>
      <b val="1"/>
      <color indexed="8"/>
      <sz val="11"/>
    </font>
    <font>
      <name val="Proxima Nova"/>
      <i val="1"/>
      <color indexed="14"/>
      <sz val="10"/>
    </font>
    <font>
      <name val="Proxima Nova"/>
      <color indexed="21"/>
      <sz val="10"/>
    </font>
    <font>
      <name val="Proxima Nova"/>
      <b val="1"/>
      <color indexed="14"/>
      <sz val="10"/>
    </font>
    <font>
      <name val="Proxima Nova"/>
      <b val="1"/>
      <color indexed="8"/>
      <sz val="10"/>
      <u val="single"/>
    </font>
    <font>
      <name val="Proxima Nova"/>
      <color indexed="14"/>
      <sz val="10"/>
    </font>
    <font>
      <name val="Proxima Nova"/>
      <b val="1"/>
      <i val="1"/>
      <color indexed="8"/>
      <sz val="10"/>
    </font>
    <font>
      <name val="Calibri"/>
      <i val="1"/>
      <color indexed="15"/>
      <sz val="11"/>
    </font>
    <font>
      <name val="Calibri"/>
      <color indexed="15"/>
      <sz val="11"/>
    </font>
    <font>
      <name val="Proxima Nova"/>
      <i val="1"/>
      <color indexed="21"/>
      <sz val="10"/>
    </font>
    <font>
      <name val="Calibri"/>
      <b val="1"/>
      <color indexed="16"/>
      <sz val="10"/>
    </font>
    <font>
      <name val="Calibri"/>
      <color indexed="16"/>
      <sz val="10"/>
    </font>
    <font>
      <name val="Proxima Nova"/>
      <b val="1"/>
      <color indexed="8"/>
      <sz val="9"/>
    </font>
    <font>
      <name val="Proxima Nova"/>
      <b val="1"/>
      <color indexed="15"/>
      <sz val="9"/>
    </font>
    <font>
      <name val="Proxima Nova"/>
      <color indexed="8"/>
      <sz val="9"/>
    </font>
    <font>
      <name val="Proxima Nova"/>
      <color indexed="15"/>
      <sz val="10"/>
    </font>
    <font>
      <name val="Calibri"/>
      <i val="1"/>
      <color indexed="8"/>
      <sz val="10"/>
      <u val="single"/>
    </font>
    <font>
      <name val="Calibri"/>
      <i val="1"/>
      <color indexed="16"/>
      <sz val="10"/>
    </font>
    <font>
      <name val="Proxima Nova"/>
      <i val="1"/>
      <color indexed="16"/>
      <sz val="10"/>
    </font>
    <font>
      <name val="Arial"/>
      <color indexed="8"/>
      <sz val="10"/>
    </font>
    <font>
      <name val="Calibri"/>
      <b val="1"/>
      <color indexed="8"/>
      <sz val="11"/>
    </font>
    <font>
      <name val="Calibri"/>
      <color indexed="28"/>
      <sz val="11"/>
    </font>
    <font>
      <name val="Calibri"/>
      <b val="1"/>
      <i val="1"/>
      <color indexed="8"/>
      <sz val="11"/>
    </font>
    <font>
      <name val="Calibri"/>
      <i val="1"/>
      <color indexed="8"/>
      <sz val="11"/>
    </font>
    <font>
      <name val="Calibri"/>
      <b val="1"/>
      <color indexed="30"/>
      <sz val="11"/>
    </font>
    <font>
      <name val="Calibri"/>
      <color indexed="30"/>
      <sz val="11"/>
    </font>
    <font>
      <name val="Calibri"/>
      <i val="1"/>
      <color indexed="30"/>
      <sz val="11"/>
    </font>
    <font>
      <name val="Arial"/>
      <color indexed="11"/>
      <sz val="10"/>
      <u val="single"/>
    </font>
    <font>
      <name val="EB Garamond"/>
      <b val="1"/>
      <color indexed="12"/>
      <sz val="11"/>
    </font>
    <font>
      <name val="Source Sans Pro"/>
      <b val="1"/>
      <color indexed="12"/>
      <sz val="11"/>
    </font>
    <font>
      <name val="Source Sans Pro"/>
      <b val="1"/>
      <color indexed="12"/>
      <sz val="14"/>
    </font>
    <font>
      <name val="Source Sans Pro"/>
      <color indexed="8"/>
      <sz val="14"/>
    </font>
    <font>
      <name val="Source Sans Pro"/>
      <b val="1"/>
      <color indexed="8"/>
      <sz val="11"/>
    </font>
    <font>
      <name val="Source Sans Pro"/>
      <b val="1"/>
      <color indexed="8"/>
      <sz val="14"/>
    </font>
    <font>
      <name val="Wingdings"/>
      <color indexed="35"/>
      <sz val="10"/>
    </font>
    <font>
      <name val="Source Sans Pro"/>
      <color indexed="8"/>
      <sz val="11"/>
    </font>
    <font>
      <name val="Source Sans Pro"/>
      <b val="1"/>
      <color indexed="12"/>
      <sz val="18"/>
    </font>
    <font>
      <name val="Source Sans Pro"/>
      <color indexed="8"/>
      <sz val="10"/>
    </font>
    <font>
      <name val="Source Sans Pro"/>
      <color indexed="8"/>
      <sz val="16"/>
    </font>
    <font>
      <name val="Arial"/>
      <b val="1"/>
      <color indexed="39"/>
      <sz val="18"/>
    </font>
    <font>
      <name val="Arial"/>
      <color indexed="39"/>
      <sz val="12"/>
    </font>
    <font>
      <name val="Arial"/>
      <color indexed="8"/>
      <sz val="12"/>
    </font>
    <font>
      <name val="Arial"/>
      <b val="1"/>
      <color indexed="8"/>
      <sz val="9"/>
    </font>
    <font>
      <name val="Arial"/>
      <color indexed="8"/>
      <sz val="9"/>
    </font>
    <font>
      <name val="Arial"/>
      <color indexed="40"/>
      <sz val="9"/>
      <u val="single"/>
    </font>
    <font>
      <name val="Arial"/>
      <color indexed="8"/>
      <sz val="8"/>
    </font>
    <font>
      <name val="Arial"/>
      <b val="1"/>
      <color indexed="42"/>
      <sz val="12"/>
    </font>
    <font>
      <name val="Arial"/>
      <b val="1"/>
      <color indexed="15"/>
      <sz val="9"/>
    </font>
    <font>
      <name val="Arial"/>
      <b val="1"/>
      <color indexed="8"/>
      <sz val="9"/>
      <u val="single"/>
    </font>
    <font>
      <name val="Arial"/>
      <b val="1"/>
      <color indexed="39"/>
      <sz val="16"/>
    </font>
    <font>
      <name val="Arial"/>
      <color indexed="39"/>
      <sz val="16"/>
    </font>
    <font>
      <name val="Arial"/>
      <color indexed="8"/>
      <sz val="16"/>
    </font>
  </fonts>
  <fills count="26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indexed="33"/>
        <bgColor auto="1"/>
      </patternFill>
    </fill>
    <fill>
      <patternFill patternType="solid">
        <fgColor indexed="34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37"/>
        <bgColor auto="1"/>
      </patternFill>
    </fill>
    <fill>
      <patternFill patternType="solid">
        <fgColor indexed="38"/>
        <bgColor auto="1"/>
      </patternFill>
    </fill>
  </fills>
  <borders count="69">
    <border>
      <left/>
      <right/>
      <top/>
      <bottom/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13"/>
      </top>
      <bottom style="thin">
        <color indexed="8"/>
      </bottom>
      <diagonal/>
    </border>
    <border>
      <left/>
      <right/>
      <top style="thin">
        <color indexed="13"/>
      </top>
      <bottom style="thick">
        <color indexed="15"/>
      </bottom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15"/>
      </right>
      <top style="thin">
        <color indexed="8"/>
      </top>
      <bottom style="thin">
        <color indexed="8"/>
      </bottom>
      <diagonal/>
    </border>
    <border>
      <left style="thick">
        <color indexed="15"/>
      </left>
      <right style="thick">
        <color indexed="15"/>
      </right>
      <top style="thick">
        <color indexed="15"/>
      </top>
      <bottom style="thin">
        <color indexed="8"/>
      </bottom>
      <diagonal/>
    </border>
    <border>
      <left style="thick">
        <color indexed="15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3"/>
      </left>
      <right/>
      <top/>
      <bottom/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/>
      <right/>
      <top/>
      <bottom style="medium">
        <color indexed="8"/>
      </bottom>
      <diagonal/>
    </border>
    <border>
      <left style="thin">
        <color indexed="13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/>
      <bottom style="thin">
        <color indexed="13"/>
      </bottom>
      <diagonal/>
    </border>
    <border>
      <left style="medium">
        <color indexed="8"/>
      </left>
      <right/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/>
      <diagonal/>
    </border>
    <border>
      <left/>
      <right/>
      <top style="medium">
        <color indexed="8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8"/>
      </bottom>
      <diagonal/>
    </border>
    <border>
      <left/>
      <right style="thin">
        <color indexed="13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3"/>
      </left>
      <right/>
      <top/>
      <bottom style="thin">
        <color indexed="8"/>
      </bottom>
      <diagonal/>
    </border>
    <border>
      <left style="thin">
        <color indexed="13"/>
      </left>
      <right/>
      <top style="thin">
        <color indexed="8"/>
      </top>
      <bottom style="thin">
        <color indexed="8"/>
      </bottom>
      <diagonal/>
    </border>
    <border>
      <left style="thin">
        <color indexed="13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13"/>
      </right>
      <top/>
      <bottom/>
      <diagonal/>
    </border>
    <border>
      <left>
        <color indexed="41"/>
      </left>
      <right>
        <color indexed="41"/>
      </right>
      <top>
        <color indexed="41"/>
      </top>
      <bottom>
        <color indexed="41"/>
      </bottom>
      <diagonal/>
    </border>
    <border>
      <left/>
      <right style="thin">
        <color indexed="8"/>
      </right>
      <top style="medium">
        <color indexed="8"/>
      </top>
      <bottom/>
      <diagonal/>
    </border>
  </borders>
  <cellStyleXfs count="1">
    <xf numFmtId="0" fontId="0" fillId="0" borderId="14" applyAlignment="1">
      <alignment vertical="bottom"/>
    </xf>
  </cellStyleXfs>
  <cellXfs count="24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 wrapText="1"/>
    </xf>
    <xf numFmtId="0" fontId="2" fillId="0" borderId="0" applyAlignment="1" pivotButton="0" quotePrefix="0" xfId="0">
      <alignment horizontal="left" vertical="bottom"/>
    </xf>
    <xf numFmtId="0" fontId="1" fillId="2" borderId="0" applyAlignment="1" pivotButton="0" quotePrefix="0" xfId="0">
      <alignment horizontal="left" vertical="bottom"/>
    </xf>
    <xf numFmtId="0" fontId="1" fillId="3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0" fontId="0" fillId="4" borderId="1" applyAlignment="1" pivotButton="0" quotePrefix="0" xfId="0">
      <alignment vertical="bottom"/>
    </xf>
    <xf numFmtId="0" fontId="0" fillId="4" borderId="2" applyAlignment="1" pivotButton="0" quotePrefix="0" xfId="0">
      <alignment vertical="bottom"/>
    </xf>
    <xf numFmtId="0" fontId="6" fillId="4" borderId="2" applyAlignment="1" pivotButton="0" quotePrefix="0" xfId="0">
      <alignment horizontal="right" vertical="bottom"/>
    </xf>
    <xf numFmtId="0" fontId="7" fillId="4" borderId="3" applyAlignment="1" pivotButton="0" quotePrefix="0" xfId="0">
      <alignment horizontal="right" vertical="bottom"/>
    </xf>
    <xf numFmtId="0" fontId="0" fillId="4" borderId="4" applyAlignment="1" pivotButton="0" quotePrefix="0" xfId="0">
      <alignment vertical="bottom"/>
    </xf>
    <xf numFmtId="0" fontId="0" fillId="4" borderId="5" applyAlignment="1" pivotButton="0" quotePrefix="0" xfId="0">
      <alignment vertical="bottom"/>
    </xf>
    <xf numFmtId="0" fontId="8" fillId="4" borderId="6" applyAlignment="1" pivotButton="0" quotePrefix="0" xfId="0">
      <alignment vertical="bottom"/>
    </xf>
    <xf numFmtId="49" fontId="9" fillId="4" borderId="7" applyAlignment="1" pivotButton="0" quotePrefix="0" xfId="0">
      <alignment vertical="bottom"/>
    </xf>
    <xf numFmtId="0" fontId="8" fillId="4" borderId="7" applyAlignment="1" pivotButton="0" quotePrefix="0" xfId="0">
      <alignment vertical="bottom"/>
    </xf>
    <xf numFmtId="164" fontId="10" fillId="5" borderId="7" applyAlignment="1" pivotButton="0" quotePrefix="0" xfId="0">
      <alignment horizontal="right" vertical="bottom"/>
    </xf>
    <xf numFmtId="49" fontId="10" fillId="5" borderId="7" applyAlignment="1" pivotButton="0" quotePrefix="0" xfId="0">
      <alignment horizontal="right" vertical="bottom"/>
    </xf>
    <xf numFmtId="0" fontId="10" fillId="5" borderId="7" applyAlignment="1" pivotButton="0" quotePrefix="0" xfId="0">
      <alignment horizontal="right" vertical="bottom"/>
    </xf>
    <xf numFmtId="0" fontId="10" fillId="5" borderId="7" applyAlignment="1" pivotButton="0" quotePrefix="0" xfId="0">
      <alignment horizontal="right" vertical="bottom"/>
    </xf>
    <xf numFmtId="164" fontId="10" fillId="5" borderId="8" applyAlignment="1" pivotButton="0" quotePrefix="0" xfId="0">
      <alignment horizontal="right" vertical="bottom"/>
    </xf>
    <xf numFmtId="164" fontId="10" fillId="5" borderId="9" applyAlignment="1" pivotButton="0" quotePrefix="0" xfId="0">
      <alignment horizontal="right" vertical="bottom"/>
    </xf>
    <xf numFmtId="164" fontId="10" fillId="5" borderId="10" applyAlignment="1" pivotButton="0" quotePrefix="0" xfId="0">
      <alignment horizontal="right" vertical="bottom"/>
    </xf>
    <xf numFmtId="164" fontId="10" fillId="6" borderId="9" applyAlignment="1" pivotButton="0" quotePrefix="0" xfId="0">
      <alignment horizontal="right" vertical="bottom"/>
    </xf>
    <xf numFmtId="164" fontId="10" fillId="6" borderId="10" applyAlignment="1" pivotButton="0" quotePrefix="0" xfId="0">
      <alignment horizontal="right" vertical="bottom"/>
    </xf>
    <xf numFmtId="164" fontId="10" fillId="6" borderId="7" applyAlignment="1" pivotButton="0" quotePrefix="0" xfId="0">
      <alignment horizontal="right" vertical="bottom"/>
    </xf>
    <xf numFmtId="164" fontId="10" fillId="6" borderId="11" applyAlignment="1" pivotButton="0" quotePrefix="0" xfId="0">
      <alignment horizontal="right" vertical="bottom"/>
    </xf>
    <xf numFmtId="49" fontId="6" fillId="7" borderId="12" applyAlignment="1" pivotButton="0" quotePrefix="0" xfId="0">
      <alignment horizontal="center" vertical="bottom"/>
    </xf>
    <xf numFmtId="49" fontId="9" fillId="4" borderId="13" applyAlignment="1" pivotButton="0" quotePrefix="0" xfId="0">
      <alignment horizontal="center" vertical="bottom" wrapText="1"/>
    </xf>
    <xf numFmtId="0" fontId="0" fillId="4" borderId="14" applyAlignment="1" pivotButton="0" quotePrefix="0" xfId="0">
      <alignment vertical="bottom"/>
    </xf>
    <xf numFmtId="0" fontId="0" fillId="4" borderId="15" applyAlignment="1" pivotButton="0" quotePrefix="0" xfId="0">
      <alignment vertical="bottom"/>
    </xf>
    <xf numFmtId="0" fontId="0" fillId="4" borderId="6" applyAlignment="1" pivotButton="0" quotePrefix="0" xfId="0">
      <alignment vertical="bottom"/>
    </xf>
    <xf numFmtId="0" fontId="8" fillId="4" borderId="7" applyAlignment="1" pivotButton="0" quotePrefix="0" xfId="0">
      <alignment horizontal="center" vertical="center" wrapText="1"/>
    </xf>
    <xf numFmtId="0" fontId="0" fillId="4" borderId="16" applyAlignment="1" pivotButton="0" quotePrefix="0" xfId="0">
      <alignment vertical="bottom"/>
    </xf>
    <xf numFmtId="17" fontId="8" fillId="5" borderId="16" applyAlignment="1" pivotButton="0" quotePrefix="0" xfId="0">
      <alignment horizontal="right" vertical="bottom"/>
    </xf>
    <xf numFmtId="17" fontId="8" fillId="5" borderId="17" applyAlignment="1" pivotButton="0" quotePrefix="0" xfId="0">
      <alignment horizontal="right" vertical="bottom"/>
    </xf>
    <xf numFmtId="17" fontId="8" fillId="5" borderId="18" applyAlignment="1" pivotButton="0" quotePrefix="0" xfId="0">
      <alignment horizontal="right" vertical="bottom"/>
    </xf>
    <xf numFmtId="17" fontId="8" fillId="5" borderId="19" applyAlignment="1" pivotButton="0" quotePrefix="0" xfId="0">
      <alignment horizontal="right" vertical="bottom"/>
    </xf>
    <xf numFmtId="17" fontId="8" fillId="6" borderId="18" applyAlignment="1" pivotButton="0" quotePrefix="0" xfId="0">
      <alignment horizontal="right" vertical="bottom"/>
    </xf>
    <xf numFmtId="17" fontId="8" fillId="6" borderId="19" applyAlignment="1" pivotButton="0" quotePrefix="0" xfId="0">
      <alignment horizontal="right" vertical="bottom"/>
    </xf>
    <xf numFmtId="17" fontId="8" fillId="6" borderId="16" applyAlignment="1" pivotButton="0" quotePrefix="0" xfId="0">
      <alignment horizontal="right" vertical="bottom"/>
    </xf>
    <xf numFmtId="49" fontId="0" fillId="4" borderId="16" applyAlignment="1" pivotButton="0" quotePrefix="0" xfId="0">
      <alignment vertical="bottom" wrapText="1"/>
    </xf>
    <xf numFmtId="0" fontId="0" fillId="4" borderId="20" applyAlignment="1" pivotButton="0" quotePrefix="0" xfId="0">
      <alignment vertical="bottom"/>
    </xf>
    <xf numFmtId="0" fontId="0" fillId="4" borderId="21" applyAlignment="1" pivotButton="0" quotePrefix="0" xfId="0">
      <alignment vertical="bottom"/>
    </xf>
    <xf numFmtId="0" fontId="8" fillId="5" borderId="21" applyAlignment="1" pivotButton="0" quotePrefix="0" xfId="0">
      <alignment horizontal="right" vertical="bottom"/>
    </xf>
    <xf numFmtId="49" fontId="8" fillId="5" borderId="21" applyAlignment="1" pivotButton="0" quotePrefix="0" xfId="0">
      <alignment horizontal="right" vertical="bottom"/>
    </xf>
    <xf numFmtId="0" fontId="8" fillId="5" borderId="20" applyAlignment="1" pivotButton="0" quotePrefix="0" xfId="0">
      <alignment horizontal="right" vertical="bottom"/>
    </xf>
    <xf numFmtId="49" fontId="8" fillId="5" borderId="14" applyAlignment="1" pivotButton="0" quotePrefix="0" xfId="0">
      <alignment horizontal="right" vertical="bottom"/>
    </xf>
    <xf numFmtId="0" fontId="8" fillId="5" borderId="14" applyAlignment="1" pivotButton="0" quotePrefix="0" xfId="0">
      <alignment horizontal="right" vertical="bottom"/>
    </xf>
    <xf numFmtId="0" fontId="8" fillId="5" borderId="22" applyAlignment="1" pivotButton="0" quotePrefix="0" xfId="0">
      <alignment horizontal="right" vertical="bottom"/>
    </xf>
    <xf numFmtId="49" fontId="8" fillId="6" borderId="14" applyAlignment="1" pivotButton="0" quotePrefix="0" xfId="0">
      <alignment horizontal="right" vertical="bottom"/>
    </xf>
    <xf numFmtId="0" fontId="8" fillId="6" borderId="22" applyAlignment="1" pivotButton="0" quotePrefix="0" xfId="0">
      <alignment horizontal="right" vertical="bottom"/>
    </xf>
    <xf numFmtId="49" fontId="8" fillId="6" borderId="21" applyAlignment="1" pivotButton="0" quotePrefix="0" xfId="0">
      <alignment horizontal="right" vertical="bottom"/>
    </xf>
    <xf numFmtId="0" fontId="8" fillId="6" borderId="21" applyAlignment="1" pivotButton="0" quotePrefix="0" xfId="0">
      <alignment horizontal="right" vertical="bottom"/>
    </xf>
    <xf numFmtId="165" fontId="8" fillId="4" borderId="21" applyAlignment="1" pivotButton="0" quotePrefix="0" xfId="0">
      <alignment horizontal="right" vertical="bottom" wrapText="1"/>
    </xf>
    <xf numFmtId="0" fontId="0" fillId="4" borderId="23" applyAlignment="1" pivotButton="0" quotePrefix="0" xfId="0">
      <alignment vertical="bottom"/>
    </xf>
    <xf numFmtId="166" fontId="8" fillId="5" borderId="23" applyAlignment="1" pivotButton="0" quotePrefix="0" xfId="0">
      <alignment horizontal="right" vertical="bottom"/>
    </xf>
    <xf numFmtId="49" fontId="8" fillId="5" borderId="23" applyAlignment="1" pivotButton="0" quotePrefix="0" xfId="0">
      <alignment horizontal="right" vertical="bottom"/>
    </xf>
    <xf numFmtId="49" fontId="8" fillId="5" borderId="24" applyAlignment="1" pivotButton="0" quotePrefix="0" xfId="0">
      <alignment horizontal="right" vertical="bottom"/>
    </xf>
    <xf numFmtId="49" fontId="8" fillId="5" borderId="25" applyAlignment="1" pivotButton="0" quotePrefix="0" xfId="0">
      <alignment horizontal="right" vertical="bottom"/>
    </xf>
    <xf numFmtId="49" fontId="8" fillId="5" borderId="26" applyAlignment="1" pivotButton="0" quotePrefix="0" xfId="0">
      <alignment horizontal="right" vertical="bottom"/>
    </xf>
    <xf numFmtId="49" fontId="8" fillId="6" borderId="25" applyAlignment="1" pivotButton="0" quotePrefix="0" xfId="0">
      <alignment horizontal="right" vertical="bottom"/>
    </xf>
    <xf numFmtId="49" fontId="8" fillId="6" borderId="26" applyAlignment="1" pivotButton="0" quotePrefix="0" xfId="0">
      <alignment horizontal="right" vertical="bottom"/>
    </xf>
    <xf numFmtId="49" fontId="8" fillId="6" borderId="23" applyAlignment="1" pivotButton="0" quotePrefix="0" xfId="0">
      <alignment horizontal="right" vertical="bottom"/>
    </xf>
    <xf numFmtId="167" fontId="8" fillId="4" borderId="23" applyAlignment="1" pivotButton="0" quotePrefix="0" xfId="0">
      <alignment horizontal="right" vertical="bottom" wrapText="1"/>
    </xf>
    <xf numFmtId="49" fontId="0" fillId="4" borderId="7" applyAlignment="1" pivotButton="0" quotePrefix="0" xfId="0">
      <alignment vertical="bottom"/>
    </xf>
    <xf numFmtId="0" fontId="0" fillId="4" borderId="7" applyAlignment="1" pivotButton="0" quotePrefix="0" xfId="0">
      <alignment vertical="bottom"/>
    </xf>
    <xf numFmtId="17" fontId="0" fillId="4" borderId="7" applyAlignment="1" pivotButton="0" quotePrefix="0" xfId="0">
      <alignment vertical="bottom"/>
    </xf>
    <xf numFmtId="17" fontId="0" fillId="4" borderId="8" applyAlignment="1" pivotButton="0" quotePrefix="0" xfId="0">
      <alignment vertical="bottom"/>
    </xf>
    <xf numFmtId="0" fontId="0" fillId="4" borderId="9" applyAlignment="1" pivotButton="0" quotePrefix="0" xfId="0">
      <alignment vertical="bottom"/>
    </xf>
    <xf numFmtId="17" fontId="0" fillId="4" borderId="9" applyAlignment="1" pivotButton="0" quotePrefix="0" xfId="0">
      <alignment vertical="bottom"/>
    </xf>
    <xf numFmtId="17" fontId="0" fillId="4" borderId="10" applyAlignment="1" pivotButton="0" quotePrefix="0" xfId="0">
      <alignment vertical="bottom"/>
    </xf>
    <xf numFmtId="0" fontId="0" fillId="4" borderId="8" applyAlignment="1" pivotButton="0" quotePrefix="0" xfId="0">
      <alignment vertical="bottom"/>
    </xf>
    <xf numFmtId="0" fontId="0" fillId="4" borderId="10" applyAlignment="1" pivotButton="0" quotePrefix="0" xfId="0">
      <alignment vertical="bottom"/>
    </xf>
    <xf numFmtId="0" fontId="0" fillId="4" borderId="27" applyAlignment="1" pivotButton="0" quotePrefix="0" xfId="0">
      <alignment vertical="bottom"/>
    </xf>
    <xf numFmtId="166" fontId="11" fillId="4" borderId="9" applyAlignment="1" pivotButton="0" quotePrefix="0" xfId="0">
      <alignment vertical="bottom"/>
    </xf>
    <xf numFmtId="49" fontId="11" fillId="8" borderId="7" applyAlignment="1" pivotButton="0" quotePrefix="0" xfId="0">
      <alignment vertical="bottom"/>
    </xf>
    <xf numFmtId="166" fontId="11" fillId="8" borderId="7" applyAlignment="1" pivotButton="0" quotePrefix="0" xfId="0">
      <alignment vertical="bottom"/>
    </xf>
    <xf numFmtId="166" fontId="11" fillId="8" borderId="8" applyAlignment="1" pivotButton="0" quotePrefix="0" xfId="0">
      <alignment vertical="bottom"/>
    </xf>
    <xf numFmtId="166" fontId="11" fillId="8" borderId="10" applyAlignment="1" pivotButton="0" quotePrefix="0" xfId="0">
      <alignment vertical="bottom"/>
    </xf>
    <xf numFmtId="49" fontId="12" fillId="4" borderId="7" applyAlignment="1" pivotButton="0" quotePrefix="0" xfId="0">
      <alignment horizontal="left" vertical="bottom"/>
    </xf>
    <xf numFmtId="166" fontId="13" fillId="4" borderId="7" applyAlignment="1" pivotButton="0" quotePrefix="0" xfId="0">
      <alignment vertical="bottom"/>
    </xf>
    <xf numFmtId="168" fontId="12" fillId="4" borderId="7" applyAlignment="1" pivotButton="0" quotePrefix="0" xfId="0">
      <alignment vertical="bottom"/>
    </xf>
    <xf numFmtId="169" fontId="0" fillId="4" borderId="7" applyAlignment="1" pivotButton="0" quotePrefix="0" xfId="0">
      <alignment vertical="bottom"/>
    </xf>
    <xf numFmtId="169" fontId="0" fillId="4" borderId="8" applyAlignment="1" pivotButton="0" quotePrefix="0" xfId="0">
      <alignment vertical="bottom"/>
    </xf>
    <xf numFmtId="166" fontId="13" fillId="4" borderId="9" applyAlignment="1" pivotButton="0" quotePrefix="0" xfId="0">
      <alignment vertical="bottom"/>
    </xf>
    <xf numFmtId="169" fontId="0" fillId="4" borderId="9" applyAlignment="1" pivotButton="0" quotePrefix="0" xfId="0">
      <alignment vertical="bottom"/>
    </xf>
    <xf numFmtId="169" fontId="0" fillId="4" borderId="10" applyAlignment="1" pivotButton="0" quotePrefix="0" xfId="0">
      <alignment vertical="bottom"/>
    </xf>
    <xf numFmtId="166" fontId="13" fillId="4" borderId="8" applyAlignment="1" pivotButton="0" quotePrefix="0" xfId="0">
      <alignment vertical="bottom"/>
    </xf>
    <xf numFmtId="166" fontId="0" fillId="4" borderId="7" applyAlignment="1" pivotButton="0" quotePrefix="0" xfId="0">
      <alignment vertical="bottom"/>
    </xf>
    <xf numFmtId="49" fontId="10" fillId="4" borderId="7" applyAlignment="1" pivotButton="0" quotePrefix="0" xfId="0">
      <alignment horizontal="left" vertical="bottom"/>
    </xf>
    <xf numFmtId="170" fontId="0" fillId="4" borderId="7" applyAlignment="1" pivotButton="0" quotePrefix="0" xfId="0">
      <alignment vertical="bottom"/>
    </xf>
    <xf numFmtId="170" fontId="0" fillId="4" borderId="8" applyAlignment="1" pivotButton="0" quotePrefix="0" xfId="0">
      <alignment vertical="bottom"/>
    </xf>
    <xf numFmtId="170" fontId="0" fillId="4" borderId="9" applyAlignment="1" pivotButton="0" quotePrefix="0" xfId="0">
      <alignment vertical="bottom"/>
    </xf>
    <xf numFmtId="170" fontId="0" fillId="4" borderId="10" applyAlignment="1" pivotButton="0" quotePrefix="0" xfId="0">
      <alignment vertical="bottom"/>
    </xf>
    <xf numFmtId="49" fontId="8" fillId="4" borderId="7" applyAlignment="1" pivotButton="0" quotePrefix="0" xfId="0">
      <alignment horizontal="left" vertical="bottom"/>
    </xf>
    <xf numFmtId="168" fontId="0" fillId="4" borderId="7" applyAlignment="1" pivotButton="0" quotePrefix="0" xfId="0">
      <alignment vertical="bottom"/>
    </xf>
    <xf numFmtId="171" fontId="0" fillId="4" borderId="7" applyAlignment="1" pivotButton="0" quotePrefix="0" xfId="0">
      <alignment vertical="bottom"/>
    </xf>
    <xf numFmtId="0" fontId="9" fillId="4" borderId="20" applyAlignment="1" pivotButton="0" quotePrefix="0" xfId="0">
      <alignment vertical="bottom"/>
    </xf>
    <xf numFmtId="49" fontId="11" fillId="8" borderId="16" applyAlignment="1" pivotButton="0" quotePrefix="0" xfId="0">
      <alignment vertical="bottom"/>
    </xf>
    <xf numFmtId="166" fontId="11" fillId="8" borderId="16" applyAlignment="1" pivotButton="0" quotePrefix="0" xfId="0">
      <alignment vertical="bottom"/>
    </xf>
    <xf numFmtId="166" fontId="11" fillId="8" borderId="17" applyAlignment="1" pivotButton="0" quotePrefix="0" xfId="0">
      <alignment vertical="bottom"/>
    </xf>
    <xf numFmtId="166" fontId="11" fillId="8" borderId="19" applyAlignment="1" pivotButton="0" quotePrefix="0" xfId="0">
      <alignment vertical="bottom"/>
    </xf>
    <xf numFmtId="49" fontId="10" fillId="4" borderId="21" applyAlignment="1" pivotButton="0" quotePrefix="0" xfId="0">
      <alignment horizontal="left" vertical="bottom"/>
    </xf>
    <xf numFmtId="166" fontId="0" fillId="4" borderId="21" applyAlignment="1" pivotButton="0" quotePrefix="0" xfId="0">
      <alignment vertical="bottom"/>
    </xf>
    <xf numFmtId="168" fontId="0" fillId="4" borderId="21" applyAlignment="1" pivotButton="0" quotePrefix="0" xfId="0">
      <alignment vertical="bottom"/>
    </xf>
    <xf numFmtId="172" fontId="10" fillId="4" borderId="21" applyAlignment="1" pivotButton="0" quotePrefix="0" xfId="0">
      <alignment horizontal="right" vertical="bottom"/>
    </xf>
    <xf numFmtId="172" fontId="10" fillId="4" borderId="20" applyAlignment="1" pivotButton="0" quotePrefix="0" xfId="0">
      <alignment horizontal="right" vertical="bottom"/>
    </xf>
    <xf numFmtId="172" fontId="10" fillId="4" borderId="14" applyAlignment="1" pivotButton="0" quotePrefix="0" xfId="0">
      <alignment horizontal="right" vertical="bottom"/>
    </xf>
    <xf numFmtId="172" fontId="10" fillId="4" borderId="22" applyAlignment="1" pivotButton="0" quotePrefix="0" xfId="0">
      <alignment horizontal="right" vertical="bottom"/>
    </xf>
    <xf numFmtId="49" fontId="10" fillId="4" borderId="21" applyAlignment="1" pivotButton="0" quotePrefix="0" xfId="0">
      <alignment horizontal="center" vertical="bottom" wrapText="1"/>
    </xf>
    <xf numFmtId="172" fontId="0" fillId="4" borderId="21" applyAlignment="1" pivotButton="0" quotePrefix="0" xfId="0">
      <alignment vertical="bottom"/>
    </xf>
    <xf numFmtId="170" fontId="10" fillId="4" borderId="21" applyAlignment="1" pivotButton="0" quotePrefix="0" xfId="0">
      <alignment vertical="bottom"/>
    </xf>
    <xf numFmtId="170" fontId="10" fillId="4" borderId="20" applyAlignment="1" pivotButton="0" quotePrefix="0" xfId="0">
      <alignment vertical="bottom"/>
    </xf>
    <xf numFmtId="170" fontId="10" fillId="4" borderId="14" applyAlignment="1" pivotButton="0" quotePrefix="0" xfId="0">
      <alignment vertical="bottom"/>
    </xf>
    <xf numFmtId="170" fontId="10" fillId="4" borderId="22" applyAlignment="1" pivotButton="0" quotePrefix="0" xfId="0">
      <alignment vertical="bottom"/>
    </xf>
    <xf numFmtId="49" fontId="14" fillId="4" borderId="21" applyAlignment="1" pivotButton="0" quotePrefix="0" xfId="0">
      <alignment horizontal="left" vertical="bottom"/>
    </xf>
    <xf numFmtId="9" fontId="14" fillId="4" borderId="21" applyAlignment="1" pivotButton="0" quotePrefix="0" xfId="0">
      <alignment vertical="bottom"/>
    </xf>
    <xf numFmtId="9" fontId="14" fillId="7" borderId="21" applyAlignment="1" pivotButton="0" quotePrefix="0" xfId="0">
      <alignment vertical="bottom"/>
    </xf>
    <xf numFmtId="9" fontId="14" fillId="7" borderId="20" applyAlignment="1" pivotButton="0" quotePrefix="0" xfId="0">
      <alignment vertical="bottom"/>
    </xf>
    <xf numFmtId="9" fontId="14" fillId="7" borderId="14" applyAlignment="1" pivotButton="0" quotePrefix="0" xfId="0">
      <alignment vertical="bottom"/>
    </xf>
    <xf numFmtId="9" fontId="14" fillId="7" borderId="22" applyAlignment="1" pivotButton="0" quotePrefix="0" xfId="0">
      <alignment vertical="bottom"/>
    </xf>
    <xf numFmtId="9" fontId="14" fillId="4" borderId="14" applyAlignment="1" pivotButton="0" quotePrefix="0" xfId="0">
      <alignment vertical="bottom"/>
    </xf>
    <xf numFmtId="166" fontId="0" fillId="4" borderId="14" applyAlignment="1" pivotButton="0" quotePrefix="0" xfId="0">
      <alignment vertical="bottom"/>
    </xf>
    <xf numFmtId="9" fontId="14" fillId="4" borderId="22" applyAlignment="1" pivotButton="0" quotePrefix="0" xfId="0">
      <alignment vertical="bottom"/>
    </xf>
    <xf numFmtId="9" fontId="14" fillId="4" borderId="20" applyAlignment="1" pivotButton="0" quotePrefix="0" xfId="0">
      <alignment vertical="bottom"/>
    </xf>
    <xf numFmtId="49" fontId="10" fillId="4" borderId="21" applyAlignment="1" pivotButton="0" quotePrefix="0" xfId="0">
      <alignment vertical="bottom"/>
    </xf>
    <xf numFmtId="2" fontId="7" fillId="4" borderId="21" applyAlignment="1" pivotButton="0" quotePrefix="0" xfId="0">
      <alignment horizontal="center" vertical="bottom" wrapText="1"/>
    </xf>
    <xf numFmtId="2" fontId="7" fillId="4" borderId="21" applyAlignment="1" pivotButton="0" quotePrefix="0" xfId="0">
      <alignment vertical="bottom" wrapText="1"/>
    </xf>
    <xf numFmtId="171" fontId="0" fillId="4" borderId="21" applyAlignment="1" pivotButton="0" quotePrefix="0" xfId="0">
      <alignment vertical="bottom"/>
    </xf>
    <xf numFmtId="49" fontId="14" fillId="4" borderId="23" applyAlignment="1" pivotButton="0" quotePrefix="0" xfId="0">
      <alignment horizontal="left" vertical="bottom"/>
    </xf>
    <xf numFmtId="166" fontId="0" fillId="4" borderId="23" applyAlignment="1" pivotButton="0" quotePrefix="0" xfId="0">
      <alignment vertical="bottom"/>
    </xf>
    <xf numFmtId="168" fontId="0" fillId="4" borderId="23" applyAlignment="1" pivotButton="0" quotePrefix="0" xfId="0">
      <alignment vertical="bottom"/>
    </xf>
    <xf numFmtId="9" fontId="14" fillId="4" borderId="23" applyAlignment="1" pivotButton="0" quotePrefix="0" xfId="0">
      <alignment vertical="bottom"/>
    </xf>
    <xf numFmtId="9" fontId="14" fillId="4" borderId="24" applyAlignment="1" pivotButton="0" quotePrefix="0" xfId="0">
      <alignment vertical="bottom"/>
    </xf>
    <xf numFmtId="9" fontId="14" fillId="4" borderId="25" applyAlignment="1" pivotButton="0" quotePrefix="0" xfId="0">
      <alignment vertical="bottom"/>
    </xf>
    <xf numFmtId="9" fontId="14" fillId="4" borderId="26" applyAlignment="1" pivotButton="0" quotePrefix="0" xfId="0">
      <alignment vertical="bottom"/>
    </xf>
    <xf numFmtId="166" fontId="0" fillId="4" borderId="25" applyAlignment="1" pivotButton="0" quotePrefix="0" xfId="0">
      <alignment vertical="bottom"/>
    </xf>
    <xf numFmtId="171" fontId="8" fillId="4" borderId="23" applyAlignment="1" pivotButton="0" quotePrefix="0" xfId="0">
      <alignment vertical="bottom"/>
    </xf>
    <xf numFmtId="172" fontId="8" fillId="4" borderId="7" applyAlignment="1" pivotButton="0" quotePrefix="0" xfId="0">
      <alignment horizontal="right" vertical="bottom"/>
    </xf>
    <xf numFmtId="172" fontId="8" fillId="4" borderId="8" applyAlignment="1" pivotButton="0" quotePrefix="0" xfId="0">
      <alignment horizontal="right" vertical="bottom"/>
    </xf>
    <xf numFmtId="172" fontId="8" fillId="4" borderId="9" applyAlignment="1" pivotButton="0" quotePrefix="0" xfId="0">
      <alignment horizontal="right" vertical="bottom"/>
    </xf>
    <xf numFmtId="164" fontId="0" fillId="4" borderId="10" applyAlignment="1" pivotButton="0" quotePrefix="0" xfId="0">
      <alignment vertical="bottom"/>
    </xf>
    <xf numFmtId="164" fontId="0" fillId="4" borderId="7" applyAlignment="1" pivotButton="0" quotePrefix="0" xfId="0">
      <alignment vertical="bottom"/>
    </xf>
    <xf numFmtId="49" fontId="8" fillId="4" borderId="16" applyAlignment="1" pivotButton="0" quotePrefix="0" xfId="0">
      <alignment horizontal="left" vertical="bottom"/>
    </xf>
    <xf numFmtId="166" fontId="0" fillId="4" borderId="16" applyAlignment="1" pivotButton="0" quotePrefix="0" xfId="0">
      <alignment vertical="bottom"/>
    </xf>
    <xf numFmtId="168" fontId="0" fillId="4" borderId="16" applyAlignment="1" pivotButton="0" quotePrefix="0" xfId="0">
      <alignment vertical="bottom"/>
    </xf>
    <xf numFmtId="172" fontId="8" fillId="4" borderId="16" applyAlignment="1" pivotButton="0" quotePrefix="0" xfId="0">
      <alignment horizontal="right" vertical="bottom"/>
    </xf>
    <xf numFmtId="9" fontId="0" fillId="4" borderId="16" applyAlignment="1" pivotButton="0" quotePrefix="0" xfId="0">
      <alignment vertical="bottom"/>
    </xf>
    <xf numFmtId="172" fontId="8" fillId="4" borderId="17" applyAlignment="1" pivotButton="0" quotePrefix="0" xfId="0">
      <alignment horizontal="right" vertical="bottom"/>
    </xf>
    <xf numFmtId="172" fontId="8" fillId="4" borderId="18" applyAlignment="1" pivotButton="0" quotePrefix="0" xfId="0">
      <alignment horizontal="right" vertical="bottom"/>
    </xf>
    <xf numFmtId="9" fontId="0" fillId="4" borderId="19" applyAlignment="1" pivotButton="0" quotePrefix="0" xfId="0">
      <alignment vertical="bottom"/>
    </xf>
    <xf numFmtId="170" fontId="0" fillId="4" borderId="17" applyAlignment="1" pivotButton="0" quotePrefix="0" xfId="0">
      <alignment vertical="bottom"/>
    </xf>
    <xf numFmtId="170" fontId="0" fillId="4" borderId="18" applyAlignment="1" pivotButton="0" quotePrefix="0" xfId="0">
      <alignment vertical="bottom"/>
    </xf>
    <xf numFmtId="170" fontId="0" fillId="4" borderId="16" applyAlignment="1" pivotButton="0" quotePrefix="0" xfId="0">
      <alignment vertical="bottom"/>
    </xf>
    <xf numFmtId="171" fontId="0" fillId="4" borderId="16" applyAlignment="1" pivotButton="0" quotePrefix="0" xfId="0">
      <alignment vertical="bottom"/>
    </xf>
    <xf numFmtId="49" fontId="8" fillId="4" borderId="21" applyAlignment="1" pivotButton="0" quotePrefix="0" xfId="0">
      <alignment horizontal="left" vertical="bottom"/>
    </xf>
    <xf numFmtId="172" fontId="8" fillId="4" borderId="21" applyAlignment="1" pivotButton="0" quotePrefix="0" xfId="0">
      <alignment horizontal="right" vertical="bottom"/>
    </xf>
    <xf numFmtId="164" fontId="0" fillId="4" borderId="21" applyAlignment="1" pivotButton="0" quotePrefix="0" xfId="0">
      <alignment vertical="bottom"/>
    </xf>
    <xf numFmtId="172" fontId="8" fillId="4" borderId="20" applyAlignment="1" pivotButton="0" quotePrefix="0" xfId="0">
      <alignment horizontal="right" vertical="bottom"/>
    </xf>
    <xf numFmtId="172" fontId="8" fillId="4" borderId="14" applyAlignment="1" pivotButton="0" quotePrefix="0" xfId="0">
      <alignment horizontal="right" vertical="bottom"/>
    </xf>
    <xf numFmtId="164" fontId="0" fillId="4" borderId="22" applyAlignment="1" pivotButton="0" quotePrefix="0" xfId="0">
      <alignment vertical="bottom"/>
    </xf>
    <xf numFmtId="170" fontId="0" fillId="4" borderId="20" applyAlignment="1" pivotButton="0" quotePrefix="0" xfId="0">
      <alignment vertical="bottom"/>
    </xf>
    <xf numFmtId="170" fontId="0" fillId="4" borderId="14" applyAlignment="1" pivotButton="0" quotePrefix="0" xfId="0">
      <alignment vertical="bottom"/>
    </xf>
    <xf numFmtId="170" fontId="0" fillId="4" borderId="21" applyAlignment="1" pivotButton="0" quotePrefix="0" xfId="0">
      <alignment vertical="bottom"/>
    </xf>
    <xf numFmtId="9" fontId="0" fillId="4" borderId="21" applyAlignment="1" pivotButton="0" quotePrefix="0" xfId="0">
      <alignment vertical="bottom"/>
    </xf>
    <xf numFmtId="9" fontId="0" fillId="4" borderId="22" applyAlignment="1" pivotButton="0" quotePrefix="0" xfId="0">
      <alignment vertical="bottom"/>
    </xf>
    <xf numFmtId="49" fontId="16" fillId="4" borderId="21" applyAlignment="1" pivotButton="0" quotePrefix="0" xfId="0">
      <alignment horizontal="left" vertical="bottom"/>
    </xf>
    <xf numFmtId="172" fontId="16" fillId="4" borderId="21" applyAlignment="1" pivotButton="0" quotePrefix="0" xfId="0">
      <alignment horizontal="right" vertical="bottom"/>
    </xf>
    <xf numFmtId="172" fontId="17" fillId="4" borderId="21" applyAlignment="1" pivotButton="0" quotePrefix="0" xfId="0">
      <alignment horizontal="right" vertical="bottom"/>
    </xf>
    <xf numFmtId="172" fontId="16" fillId="4" borderId="20" applyAlignment="1" pivotButton="0" quotePrefix="0" xfId="0">
      <alignment horizontal="right" vertical="bottom"/>
    </xf>
    <xf numFmtId="172" fontId="16" fillId="4" borderId="14" applyAlignment="1" pivotButton="0" quotePrefix="0" xfId="0">
      <alignment horizontal="right" vertical="bottom"/>
    </xf>
    <xf numFmtId="172" fontId="16" fillId="4" borderId="22" applyAlignment="1" pivotButton="0" quotePrefix="0" xfId="0">
      <alignment horizontal="right" vertical="bottom"/>
    </xf>
    <xf numFmtId="166" fontId="0" fillId="4" borderId="20" applyAlignment="1" pivotButton="0" quotePrefix="0" xfId="0">
      <alignment vertical="bottom"/>
    </xf>
    <xf numFmtId="0" fontId="18" fillId="4" borderId="20" applyAlignment="1" pivotButton="0" quotePrefix="0" xfId="0">
      <alignment vertical="bottom"/>
    </xf>
    <xf numFmtId="49" fontId="8" fillId="4" borderId="14" applyAlignment="1" pivotButton="0" quotePrefix="0" xfId="0">
      <alignment vertical="bottom"/>
    </xf>
    <xf numFmtId="166" fontId="11" fillId="4" borderId="14" applyAlignment="1" pivotButton="0" quotePrefix="0" xfId="0">
      <alignment vertical="bottom"/>
    </xf>
    <xf numFmtId="170" fontId="8" fillId="4" borderId="14" applyAlignment="1" pivotButton="0" quotePrefix="0" xfId="0">
      <alignment vertical="bottom"/>
    </xf>
    <xf numFmtId="9" fontId="8" fillId="4" borderId="14" applyAlignment="1" pivotButton="0" quotePrefix="0" xfId="0">
      <alignment vertical="bottom"/>
    </xf>
    <xf numFmtId="0" fontId="0" fillId="4" borderId="25" applyAlignment="1" pivotButton="0" quotePrefix="0" xfId="0">
      <alignment vertical="bottom"/>
    </xf>
    <xf numFmtId="49" fontId="11" fillId="8" borderId="21" applyAlignment="1" pivotButton="0" quotePrefix="0" xfId="0">
      <alignment vertical="bottom"/>
    </xf>
    <xf numFmtId="166" fontId="11" fillId="8" borderId="21" applyAlignment="1" pivotButton="0" quotePrefix="0" xfId="0">
      <alignment vertical="bottom"/>
    </xf>
    <xf numFmtId="49" fontId="9" fillId="4" borderId="7" applyAlignment="1" pivotButton="0" quotePrefix="0" xfId="0">
      <alignment horizontal="center" vertical="bottom"/>
    </xf>
    <xf numFmtId="49" fontId="12" fillId="4" borderId="21" applyAlignment="1" pivotButton="0" quotePrefix="0" xfId="0">
      <alignment horizontal="left" vertical="bottom"/>
    </xf>
    <xf numFmtId="172" fontId="12" fillId="4" borderId="21" applyAlignment="1" pivotButton="0" quotePrefix="0" xfId="0">
      <alignment horizontal="right" vertical="bottom"/>
    </xf>
    <xf numFmtId="172" fontId="12" fillId="4" borderId="20" applyAlignment="1" pivotButton="0" quotePrefix="0" xfId="0">
      <alignment horizontal="right" vertical="bottom"/>
    </xf>
    <xf numFmtId="172" fontId="12" fillId="4" borderId="14" applyAlignment="1" pivotButton="0" quotePrefix="0" xfId="0">
      <alignment horizontal="right" vertical="bottom"/>
    </xf>
    <xf numFmtId="172" fontId="12" fillId="4" borderId="22" applyAlignment="1" pivotButton="0" quotePrefix="0" xfId="0">
      <alignment horizontal="right" vertical="bottom"/>
    </xf>
    <xf numFmtId="171" fontId="9" fillId="4" borderId="23" applyAlignment="1" pivotButton="0" quotePrefix="0" xfId="0">
      <alignment horizontal="center" vertical="center"/>
    </xf>
    <xf numFmtId="49" fontId="9" fillId="4" borderId="7" applyAlignment="1" pivotButton="0" quotePrefix="0" xfId="0">
      <alignment horizontal="center" vertical="center" wrapText="1"/>
    </xf>
    <xf numFmtId="170" fontId="10" fillId="7" borderId="14" applyAlignment="1" pivotButton="0" quotePrefix="0" xfId="0">
      <alignment vertical="bottom"/>
    </xf>
    <xf numFmtId="170" fontId="10" fillId="7" borderId="20" applyAlignment="1" pivotButton="0" quotePrefix="0" xfId="0">
      <alignment vertical="bottom"/>
    </xf>
    <xf numFmtId="9" fontId="16" fillId="4" borderId="21" applyAlignment="1" pivotButton="0" quotePrefix="0" xfId="0">
      <alignment vertical="bottom"/>
    </xf>
    <xf numFmtId="9" fontId="16" fillId="4" borderId="20" applyAlignment="1" pivotButton="0" quotePrefix="0" xfId="0">
      <alignment vertical="bottom"/>
    </xf>
    <xf numFmtId="9" fontId="16" fillId="4" borderId="14" applyAlignment="1" pivotButton="0" quotePrefix="0" xfId="0">
      <alignment vertical="bottom"/>
    </xf>
    <xf numFmtId="9" fontId="16" fillId="4" borderId="22" applyAlignment="1" pivotButton="0" quotePrefix="0" xfId="0">
      <alignment vertical="bottom"/>
    </xf>
    <xf numFmtId="49" fontId="16" fillId="4" borderId="23" applyAlignment="1" pivotButton="0" quotePrefix="0" xfId="0">
      <alignment horizontal="left" vertical="bottom"/>
    </xf>
    <xf numFmtId="9" fontId="16" fillId="4" borderId="23" applyAlignment="1" pivotButton="0" quotePrefix="0" xfId="0">
      <alignment vertical="bottom"/>
    </xf>
    <xf numFmtId="9" fontId="16" fillId="4" borderId="24" applyAlignment="1" pivotButton="0" quotePrefix="0" xfId="0">
      <alignment vertical="bottom"/>
    </xf>
    <xf numFmtId="9" fontId="16" fillId="4" borderId="25" applyAlignment="1" pivotButton="0" quotePrefix="0" xfId="0">
      <alignment vertical="bottom"/>
    </xf>
    <xf numFmtId="9" fontId="16" fillId="4" borderId="26" applyAlignment="1" pivotButton="0" quotePrefix="0" xfId="0">
      <alignment vertical="bottom"/>
    </xf>
    <xf numFmtId="49" fontId="12" fillId="4" borderId="16" applyAlignment="1" pivotButton="0" quotePrefix="0" xfId="0">
      <alignment horizontal="left" vertical="bottom"/>
    </xf>
    <xf numFmtId="172" fontId="19" fillId="4" borderId="16" applyAlignment="1" pivotButton="0" quotePrefix="0" xfId="0">
      <alignment horizontal="right" vertical="bottom"/>
    </xf>
    <xf numFmtId="172" fontId="12" fillId="4" borderId="16" applyAlignment="1" pivotButton="0" quotePrefix="0" xfId="0">
      <alignment horizontal="right" vertical="bottom"/>
    </xf>
    <xf numFmtId="172" fontId="10" fillId="4" borderId="16" applyAlignment="1" pivotButton="0" quotePrefix="0" xfId="0">
      <alignment horizontal="right" vertical="bottom"/>
    </xf>
    <xf numFmtId="172" fontId="12" fillId="4" borderId="17" applyAlignment="1" pivotButton="0" quotePrefix="0" xfId="0">
      <alignment horizontal="right" vertical="bottom"/>
    </xf>
    <xf numFmtId="172" fontId="12" fillId="4" borderId="18" applyAlignment="1" pivotButton="0" quotePrefix="0" xfId="0">
      <alignment horizontal="right" vertical="bottom"/>
    </xf>
    <xf numFmtId="172" fontId="10" fillId="4" borderId="19" applyAlignment="1" pivotButton="0" quotePrefix="0" xfId="0">
      <alignment horizontal="right" vertical="bottom"/>
    </xf>
    <xf numFmtId="166" fontId="0" fillId="4" borderId="18" applyAlignment="1" pivotButton="0" quotePrefix="0" xfId="0">
      <alignment vertical="bottom"/>
    </xf>
    <xf numFmtId="172" fontId="19" fillId="4" borderId="19" applyAlignment="1" pivotButton="0" quotePrefix="0" xfId="0">
      <alignment horizontal="right" vertical="bottom"/>
    </xf>
    <xf numFmtId="171" fontId="9" fillId="4" borderId="16" applyAlignment="1" pivotButton="0" quotePrefix="0" xfId="0">
      <alignment vertical="center"/>
    </xf>
    <xf numFmtId="49" fontId="9" fillId="4" borderId="16" applyAlignment="1" pivotButton="0" quotePrefix="0" xfId="0">
      <alignment horizontal="center" vertical="center" wrapText="1"/>
    </xf>
    <xf numFmtId="171" fontId="9" fillId="4" borderId="21" applyAlignment="1" pivotButton="0" quotePrefix="0" xfId="0">
      <alignment vertical="center"/>
    </xf>
    <xf numFmtId="49" fontId="10" fillId="4" borderId="21" applyAlignment="1" pivotButton="0" quotePrefix="0" xfId="0">
      <alignment horizontal="center" vertical="center" wrapText="1"/>
    </xf>
    <xf numFmtId="171" fontId="9" fillId="4" borderId="23" applyAlignment="1" pivotButton="0" quotePrefix="0" xfId="0">
      <alignment vertical="center"/>
    </xf>
    <xf numFmtId="172" fontId="12" fillId="4" borderId="19" applyAlignment="1" pivotButton="0" quotePrefix="0" xfId="0">
      <alignment horizontal="right" vertical="bottom"/>
    </xf>
    <xf numFmtId="171" fontId="0" fillId="4" borderId="16" applyAlignment="1" pivotButton="0" quotePrefix="0" xfId="0">
      <alignment vertical="center"/>
    </xf>
    <xf numFmtId="171" fontId="0" fillId="4" borderId="16" applyAlignment="1" pivotButton="0" quotePrefix="0" xfId="0">
      <alignment vertical="center" wrapText="1"/>
    </xf>
    <xf numFmtId="166" fontId="11" fillId="4" borderId="21" applyAlignment="1" pivotButton="0" quotePrefix="0" xfId="0">
      <alignment vertical="bottom"/>
    </xf>
    <xf numFmtId="172" fontId="8" fillId="4" borderId="21" applyAlignment="1" pivotButton="0" quotePrefix="0" xfId="0">
      <alignment vertical="bottom"/>
    </xf>
    <xf numFmtId="170" fontId="0" fillId="4" borderId="22" applyAlignment="1" pivotButton="0" quotePrefix="0" xfId="0">
      <alignment vertical="bottom"/>
    </xf>
    <xf numFmtId="171" fontId="9" fillId="4" borderId="21" applyAlignment="1" pivotButton="0" quotePrefix="0" xfId="0">
      <alignment vertical="center" wrapText="1"/>
    </xf>
    <xf numFmtId="171" fontId="0" fillId="4" borderId="23" applyAlignment="1" pivotButton="0" quotePrefix="0" xfId="0">
      <alignment vertical="bottom"/>
    </xf>
    <xf numFmtId="171" fontId="9" fillId="4" borderId="23" applyAlignment="1" pivotButton="0" quotePrefix="0" xfId="0">
      <alignment vertical="center" wrapText="1"/>
    </xf>
    <xf numFmtId="172" fontId="8" fillId="4" borderId="19" applyAlignment="1" pivotButton="0" quotePrefix="0" xfId="0">
      <alignment horizontal="right" vertical="bottom"/>
    </xf>
    <xf numFmtId="49" fontId="9" fillId="4" borderId="16" applyAlignment="1" pivotButton="0" quotePrefix="0" xfId="0">
      <alignment vertical="center" wrapText="1"/>
    </xf>
    <xf numFmtId="172" fontId="0" fillId="7" borderId="20" applyAlignment="1" pivotButton="0" quotePrefix="0" xfId="0">
      <alignment vertical="bottom"/>
    </xf>
    <xf numFmtId="170" fontId="10" fillId="4" borderId="21" applyAlignment="1" pivotButton="0" quotePrefix="0" xfId="0">
      <alignment horizontal="right" vertical="bottom"/>
    </xf>
    <xf numFmtId="170" fontId="10" fillId="4" borderId="20" applyAlignment="1" pivotButton="0" quotePrefix="0" xfId="0">
      <alignment horizontal="right" vertical="bottom"/>
    </xf>
    <xf numFmtId="170" fontId="10" fillId="4" borderId="14" applyAlignment="1" pivotButton="0" quotePrefix="0" xfId="0">
      <alignment horizontal="right" vertical="bottom"/>
    </xf>
    <xf numFmtId="170" fontId="10" fillId="7" borderId="20" applyAlignment="1" pivotButton="0" quotePrefix="0" xfId="0">
      <alignment horizontal="right" vertical="bottom"/>
    </xf>
    <xf numFmtId="170" fontId="10" fillId="7" borderId="14" applyAlignment="1" pivotButton="0" quotePrefix="0" xfId="0">
      <alignment horizontal="right" vertical="bottom"/>
    </xf>
    <xf numFmtId="164" fontId="12" fillId="4" borderId="22" applyAlignment="1" pivotButton="0" quotePrefix="0" xfId="0">
      <alignment vertical="bottom"/>
    </xf>
    <xf numFmtId="170" fontId="10" fillId="7" borderId="21" applyAlignment="1" pivotButton="0" quotePrefix="0" xfId="0">
      <alignment horizontal="right" vertical="bottom"/>
    </xf>
    <xf numFmtId="164" fontId="12" fillId="4" borderId="21" applyAlignment="1" pivotButton="0" quotePrefix="0" xfId="0">
      <alignment vertical="bottom"/>
    </xf>
    <xf numFmtId="0" fontId="12" fillId="4" borderId="21" applyAlignment="1" pivotButton="0" quotePrefix="0" xfId="0">
      <alignment vertical="center" wrapText="1"/>
    </xf>
    <xf numFmtId="170" fontId="10" fillId="7" borderId="22" applyAlignment="1" pivotButton="0" quotePrefix="0" xfId="0">
      <alignment vertical="bottom"/>
    </xf>
    <xf numFmtId="170" fontId="10" fillId="7" borderId="21" applyAlignment="1" pivotButton="0" quotePrefix="0" xfId="0">
      <alignment vertical="bottom"/>
    </xf>
    <xf numFmtId="49" fontId="16" fillId="4" borderId="21" applyAlignment="1" pivotButton="0" quotePrefix="0" xfId="0">
      <alignment vertical="bottom"/>
    </xf>
    <xf numFmtId="170" fontId="0" fillId="7" borderId="20" applyAlignment="1" pivotButton="0" quotePrefix="0" xfId="0">
      <alignment vertical="bottom"/>
    </xf>
    <xf numFmtId="9" fontId="16" fillId="7" borderId="26" applyAlignment="1" pivotButton="0" quotePrefix="0" xfId="0">
      <alignment vertical="bottom"/>
    </xf>
    <xf numFmtId="9" fontId="16" fillId="7" borderId="23" applyAlignment="1" pivotButton="0" quotePrefix="0" xfId="0">
      <alignment vertical="bottom"/>
    </xf>
    <xf numFmtId="49" fontId="9" fillId="4" borderId="16" applyAlignment="1" pivotButton="0" quotePrefix="0" xfId="0">
      <alignment horizontal="left" vertical="bottom"/>
    </xf>
    <xf numFmtId="172" fontId="9" fillId="4" borderId="16" applyAlignment="1" pivotButton="0" quotePrefix="0" xfId="0">
      <alignment horizontal="right" vertical="bottom"/>
    </xf>
    <xf numFmtId="172" fontId="9" fillId="4" borderId="17" applyAlignment="1" pivotButton="0" quotePrefix="0" xfId="0">
      <alignment horizontal="right" vertical="bottom"/>
    </xf>
    <xf numFmtId="172" fontId="9" fillId="4" borderId="18" applyAlignment="1" pivotButton="0" quotePrefix="0" xfId="0">
      <alignment horizontal="right" vertical="bottom"/>
    </xf>
    <xf numFmtId="49" fontId="12" fillId="4" borderId="16" applyAlignment="1" pivotButton="0" quotePrefix="0" xfId="0">
      <alignment horizontal="center" vertical="bottom" wrapText="1"/>
    </xf>
    <xf numFmtId="170" fontId="12" fillId="9" borderId="14" applyAlignment="1" pivotButton="0" quotePrefix="0" xfId="0">
      <alignment vertical="bottom"/>
    </xf>
    <xf numFmtId="170" fontId="12" fillId="7" borderId="21" applyAlignment="1" pivotButton="0" quotePrefix="0" xfId="0">
      <alignment vertical="bottom"/>
    </xf>
    <xf numFmtId="49" fontId="9" fillId="4" borderId="23" applyAlignment="1" pivotButton="0" quotePrefix="0" xfId="0">
      <alignment horizontal="center" vertical="bottom"/>
    </xf>
    <xf numFmtId="49" fontId="8" fillId="4" borderId="7" applyAlignment="1" pivotButton="0" quotePrefix="0" xfId="0">
      <alignment vertical="bottom"/>
    </xf>
    <xf numFmtId="168" fontId="8" fillId="4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4" borderId="8" applyAlignment="1" pivotButton="0" quotePrefix="0" xfId="0">
      <alignment vertical="bottom"/>
    </xf>
    <xf numFmtId="164" fontId="8" fillId="4" borderId="9" applyAlignment="1" pivotButton="0" quotePrefix="0" xfId="0">
      <alignment vertical="bottom"/>
    </xf>
    <xf numFmtId="164" fontId="8" fillId="4" borderId="10" applyAlignment="1" pivotButton="0" quotePrefix="0" xfId="0">
      <alignment vertical="bottom"/>
    </xf>
    <xf numFmtId="9" fontId="8" fillId="4" borderId="7" applyAlignment="1" pivotButton="0" quotePrefix="0" xfId="0">
      <alignment horizontal="left" vertical="bottom" wrapText="1"/>
    </xf>
    <xf numFmtId="49" fontId="16" fillId="4" borderId="7" applyAlignment="1" pivotButton="0" quotePrefix="0" xfId="0">
      <alignment horizontal="left" vertical="bottom"/>
    </xf>
    <xf numFmtId="172" fontId="16" fillId="4" borderId="7" applyAlignment="1" pivotButton="0" quotePrefix="0" xfId="0">
      <alignment horizontal="right" vertical="bottom"/>
    </xf>
    <xf numFmtId="172" fontId="16" fillId="4" borderId="8" applyAlignment="1" pivotButton="0" quotePrefix="0" xfId="0">
      <alignment horizontal="right" vertical="bottom"/>
    </xf>
    <xf numFmtId="172" fontId="16" fillId="4" borderId="9" applyAlignment="1" pivotButton="0" quotePrefix="0" xfId="0">
      <alignment horizontal="right" vertical="bottom"/>
    </xf>
    <xf numFmtId="172" fontId="16" fillId="4" borderId="10" applyAlignment="1" pivotButton="0" quotePrefix="0" xfId="0">
      <alignment horizontal="right" vertical="bottom"/>
    </xf>
    <xf numFmtId="166" fontId="0" fillId="4" borderId="8" applyAlignment="1" pivotButton="0" quotePrefix="0" xfId="0">
      <alignment vertical="bottom"/>
    </xf>
    <xf numFmtId="166" fontId="0" fillId="4" borderId="9" applyAlignment="1" pivotButton="0" quotePrefix="0" xfId="0">
      <alignment vertical="bottom"/>
    </xf>
    <xf numFmtId="0" fontId="18" fillId="4" borderId="8" applyAlignment="1" pivotButton="0" quotePrefix="0" xfId="0">
      <alignment vertical="bottom"/>
    </xf>
    <xf numFmtId="166" fontId="11" fillId="4" borderId="18" applyAlignment="1" pivotButton="0" quotePrefix="0" xfId="0">
      <alignment vertical="bottom"/>
    </xf>
    <xf numFmtId="0" fontId="0" fillId="4" borderId="18" applyAlignment="1" pivotButton="0" quotePrefix="0" xfId="0">
      <alignment vertical="bottom"/>
    </xf>
    <xf numFmtId="1" fontId="8" fillId="4" borderId="18" applyAlignment="1" pivotButton="0" quotePrefix="0" xfId="0">
      <alignment vertical="bottom"/>
    </xf>
    <xf numFmtId="49" fontId="11" fillId="8" borderId="21" applyAlignment="1" pivotButton="0" quotePrefix="0" xfId="0">
      <alignment horizontal="right" vertical="bottom"/>
    </xf>
    <xf numFmtId="166" fontId="11" fillId="8" borderId="21" applyAlignment="1" pivotButton="0" quotePrefix="0" xfId="0">
      <alignment horizontal="right" vertical="bottom"/>
    </xf>
    <xf numFmtId="49" fontId="0" fillId="4" borderId="21" applyAlignment="1" pivotButton="0" quotePrefix="0" xfId="0">
      <alignment vertical="bottom"/>
    </xf>
    <xf numFmtId="166" fontId="11" fillId="4" borderId="21" applyAlignment="1" pivotButton="0" quotePrefix="0" xfId="0">
      <alignment horizontal="right" vertical="bottom"/>
    </xf>
    <xf numFmtId="164" fontId="10" fillId="4" borderId="21" applyAlignment="1" pivotButton="0" quotePrefix="0" xfId="0">
      <alignment horizontal="right" vertical="bottom"/>
    </xf>
    <xf numFmtId="166" fontId="11" fillId="4" borderId="20" applyAlignment="1" pivotButton="0" quotePrefix="0" xfId="0">
      <alignment horizontal="right" vertical="bottom"/>
    </xf>
    <xf numFmtId="166" fontId="11" fillId="4" borderId="14" applyAlignment="1" pivotButton="0" quotePrefix="0" xfId="0">
      <alignment horizontal="right" vertical="bottom"/>
    </xf>
    <xf numFmtId="164" fontId="10" fillId="4" borderId="22" applyAlignment="1" pivotButton="0" quotePrefix="0" xfId="0">
      <alignment horizontal="right" vertical="bottom"/>
    </xf>
    <xf numFmtId="166" fontId="11" fillId="4" borderId="20" applyAlignment="1" pivotButton="0" quotePrefix="0" xfId="0">
      <alignment vertical="bottom"/>
    </xf>
    <xf numFmtId="49" fontId="0" fillId="4" borderId="23" applyAlignment="1" pivotButton="0" quotePrefix="0" xfId="0">
      <alignment vertical="bottom"/>
    </xf>
    <xf numFmtId="166" fontId="11" fillId="4" borderId="23" applyAlignment="1" pivotButton="0" quotePrefix="0" xfId="0">
      <alignment vertical="bottom"/>
    </xf>
    <xf numFmtId="166" fontId="11" fillId="4" borderId="23" applyAlignment="1" pivotButton="0" quotePrefix="0" xfId="0">
      <alignment horizontal="right" vertical="bottom"/>
    </xf>
    <xf numFmtId="164" fontId="10" fillId="4" borderId="23" applyAlignment="1" pivotButton="0" quotePrefix="0" xfId="0">
      <alignment horizontal="right" vertical="bottom"/>
    </xf>
    <xf numFmtId="166" fontId="11" fillId="4" borderId="24" applyAlignment="1" pivotButton="0" quotePrefix="0" xfId="0">
      <alignment horizontal="right" vertical="bottom"/>
    </xf>
    <xf numFmtId="166" fontId="11" fillId="4" borderId="25" applyAlignment="1" pivotButton="0" quotePrefix="0" xfId="0">
      <alignment horizontal="right" vertical="bottom"/>
    </xf>
    <xf numFmtId="164" fontId="10" fillId="4" borderId="26" applyAlignment="1" pivotButton="0" quotePrefix="0" xfId="0">
      <alignment horizontal="right" vertical="bottom"/>
    </xf>
    <xf numFmtId="166" fontId="11" fillId="4" borderId="24" applyAlignment="1" pivotButton="0" quotePrefix="0" xfId="0">
      <alignment vertical="bottom"/>
    </xf>
    <xf numFmtId="166" fontId="11" fillId="4" borderId="25" applyAlignment="1" pivotButton="0" quotePrefix="0" xfId="0">
      <alignment vertical="bottom"/>
    </xf>
    <xf numFmtId="166" fontId="11" fillId="4" borderId="7" applyAlignment="1" pivotButton="0" quotePrefix="0" xfId="0">
      <alignment vertical="bottom"/>
    </xf>
    <xf numFmtId="166" fontId="11" fillId="4" borderId="7" applyAlignment="1" pivotButton="0" quotePrefix="0" xfId="0">
      <alignment horizontal="right" vertical="bottom"/>
    </xf>
    <xf numFmtId="164" fontId="8" fillId="4" borderId="7" applyAlignment="1" pivotButton="0" quotePrefix="0" xfId="0">
      <alignment horizontal="right" vertical="bottom"/>
    </xf>
    <xf numFmtId="166" fontId="11" fillId="4" borderId="8" applyAlignment="1" pivotButton="0" quotePrefix="0" xfId="0">
      <alignment horizontal="right" vertical="bottom"/>
    </xf>
    <xf numFmtId="166" fontId="11" fillId="4" borderId="9" applyAlignment="1" pivotButton="0" quotePrefix="0" xfId="0">
      <alignment horizontal="right" vertical="bottom"/>
    </xf>
    <xf numFmtId="164" fontId="8" fillId="4" borderId="10" applyAlignment="1" pivotButton="0" quotePrefix="0" xfId="0">
      <alignment horizontal="right" vertical="bottom"/>
    </xf>
    <xf numFmtId="166" fontId="11" fillId="4" borderId="8" applyAlignment="1" pivotButton="0" quotePrefix="0" xfId="0">
      <alignment vertical="bottom"/>
    </xf>
    <xf numFmtId="49" fontId="10" fillId="4" borderId="16" applyAlignment="1" pivotButton="0" quotePrefix="0" xfId="0">
      <alignment horizontal="left" vertical="bottom"/>
    </xf>
    <xf numFmtId="166" fontId="11" fillId="4" borderId="16" applyAlignment="1" pivotButton="0" quotePrefix="0" xfId="0">
      <alignment vertical="bottom"/>
    </xf>
    <xf numFmtId="166" fontId="11" fillId="4" borderId="16" applyAlignment="1" pivotButton="0" quotePrefix="0" xfId="0">
      <alignment horizontal="right" vertical="bottom"/>
    </xf>
    <xf numFmtId="166" fontId="11" fillId="4" borderId="17" applyAlignment="1" pivotButton="0" quotePrefix="0" xfId="0">
      <alignment horizontal="right" vertical="bottom"/>
    </xf>
    <xf numFmtId="166" fontId="11" fillId="4" borderId="18" applyAlignment="1" pivotButton="0" quotePrefix="0" xfId="0">
      <alignment horizontal="right" vertical="bottom"/>
    </xf>
    <xf numFmtId="170" fontId="0" fillId="4" borderId="19" applyAlignment="1" pivotButton="0" quotePrefix="0" xfId="0">
      <alignment vertical="bottom"/>
    </xf>
    <xf numFmtId="166" fontId="11" fillId="4" borderId="17" applyAlignment="1" pivotButton="0" quotePrefix="0" xfId="0">
      <alignment vertical="bottom"/>
    </xf>
    <xf numFmtId="166" fontId="11" fillId="4" borderId="22" applyAlignment="1" pivotButton="0" quotePrefix="0" xfId="0">
      <alignment horizontal="right" vertical="bottom"/>
    </xf>
    <xf numFmtId="49" fontId="9" fillId="4" borderId="21" applyAlignment="1" pivotButton="0" quotePrefix="0" xfId="0">
      <alignment horizontal="left" vertical="bottom"/>
    </xf>
    <xf numFmtId="168" fontId="9" fillId="4" borderId="21" applyAlignment="1" pivotButton="0" quotePrefix="0" xfId="0">
      <alignment vertical="bottom"/>
    </xf>
    <xf numFmtId="168" fontId="9" fillId="4" borderId="20" applyAlignment="1" pivotButton="0" quotePrefix="0" xfId="0">
      <alignment vertical="bottom"/>
    </xf>
    <xf numFmtId="168" fontId="9" fillId="4" borderId="14" applyAlignment="1" pivotButton="0" quotePrefix="0" xfId="0">
      <alignment vertical="bottom"/>
    </xf>
    <xf numFmtId="168" fontId="0" fillId="4" borderId="14" applyAlignment="1" pivotButton="0" quotePrefix="0" xfId="0">
      <alignment vertical="bottom"/>
    </xf>
    <xf numFmtId="49" fontId="8" fillId="7" borderId="21" applyAlignment="1" pivotButton="0" quotePrefix="0" xfId="0">
      <alignment horizontal="center" vertical="bottom" wrapText="1"/>
    </xf>
    <xf numFmtId="170" fontId="8" fillId="7" borderId="20" applyAlignment="1" pivotButton="0" quotePrefix="0" xfId="0">
      <alignment horizontal="center" vertical="bottom"/>
    </xf>
    <xf numFmtId="170" fontId="8" fillId="7" borderId="14" applyAlignment="1" pivotButton="0" quotePrefix="0" xfId="0">
      <alignment horizontal="center" vertical="bottom"/>
    </xf>
    <xf numFmtId="166" fontId="8" fillId="4" borderId="21" applyAlignment="1" pivotButton="0" quotePrefix="0" xfId="0">
      <alignment vertical="bottom"/>
    </xf>
    <xf numFmtId="164" fontId="12" fillId="4" borderId="14" applyAlignment="1" pivotButton="0" quotePrefix="0" xfId="0">
      <alignment vertical="bottom"/>
    </xf>
    <xf numFmtId="170" fontId="12" fillId="9" borderId="22" applyAlignment="1" pivotButton="0" quotePrefix="0" xfId="0">
      <alignment vertical="bottom"/>
    </xf>
    <xf numFmtId="9" fontId="12" fillId="4" borderId="21" applyAlignment="1" pivotButton="0" quotePrefix="0" xfId="0">
      <alignment vertical="bottom"/>
    </xf>
    <xf numFmtId="170" fontId="12" fillId="9" borderId="21" applyAlignment="1" pivotButton="0" quotePrefix="0" xfId="0">
      <alignment vertical="bottom"/>
    </xf>
    <xf numFmtId="49" fontId="9" fillId="4" borderId="20" applyAlignment="1" pivotButton="0" quotePrefix="0" xfId="0">
      <alignment horizontal="center" vertical="bottom"/>
    </xf>
    <xf numFmtId="170" fontId="10" fillId="4" borderId="21" applyAlignment="1" pivotButton="0" quotePrefix="0" xfId="0">
      <alignment horizontal="left" vertical="bottom"/>
    </xf>
    <xf numFmtId="170" fontId="12" fillId="4" borderId="22" applyAlignment="1" pivotButton="0" quotePrefix="0" xfId="0">
      <alignment vertical="bottom"/>
    </xf>
    <xf numFmtId="170" fontId="12" fillId="4" borderId="21" applyAlignment="1" pivotButton="0" quotePrefix="0" xfId="0">
      <alignment vertical="bottom"/>
    </xf>
    <xf numFmtId="49" fontId="8" fillId="7" borderId="21" applyAlignment="1" pivotButton="0" quotePrefix="0" xfId="0">
      <alignment vertical="bottom"/>
    </xf>
    <xf numFmtId="0" fontId="9" fillId="4" borderId="20" applyAlignment="1" pivotButton="0" quotePrefix="0" xfId="0">
      <alignment horizontal="center" vertical="bottom"/>
    </xf>
    <xf numFmtId="166" fontId="13" fillId="4" borderId="21" applyAlignment="1" pivotButton="0" quotePrefix="0" xfId="0">
      <alignment vertical="bottom"/>
    </xf>
    <xf numFmtId="168" fontId="12" fillId="4" borderId="21" applyAlignment="1" pivotButton="0" quotePrefix="0" xfId="0">
      <alignment vertical="bottom"/>
    </xf>
    <xf numFmtId="164" fontId="12" fillId="9" borderId="21" applyAlignment="1" pivotButton="0" quotePrefix="0" xfId="0">
      <alignment vertical="bottom"/>
    </xf>
    <xf numFmtId="168" fontId="12" fillId="4" borderId="20" applyAlignment="1" pivotButton="0" quotePrefix="0" xfId="0">
      <alignment vertical="bottom"/>
    </xf>
    <xf numFmtId="168" fontId="12" fillId="4" borderId="14" applyAlignment="1" pivotButton="0" quotePrefix="0" xfId="0">
      <alignment vertical="bottom"/>
    </xf>
    <xf numFmtId="164" fontId="12" fillId="9" borderId="22" applyAlignment="1" pivotButton="0" quotePrefix="0" xfId="0">
      <alignment vertical="bottom"/>
    </xf>
    <xf numFmtId="170" fontId="16" fillId="4" borderId="21" applyAlignment="1" pivotButton="0" quotePrefix="0" xfId="0">
      <alignment vertical="bottom"/>
    </xf>
    <xf numFmtId="170" fontId="16" fillId="4" borderId="20" applyAlignment="1" pivotButton="0" quotePrefix="0" xfId="0">
      <alignment vertical="bottom"/>
    </xf>
    <xf numFmtId="170" fontId="16" fillId="4" borderId="14" applyAlignment="1" pivotButton="0" quotePrefix="0" xfId="0">
      <alignment vertical="bottom"/>
    </xf>
    <xf numFmtId="170" fontId="16" fillId="4" borderId="22" applyAlignment="1" pivotButton="0" quotePrefix="0" xfId="0">
      <alignment vertical="bottom"/>
    </xf>
    <xf numFmtId="170" fontId="16" fillId="4" borderId="21" applyAlignment="1" pivotButton="0" quotePrefix="0" xfId="0">
      <alignment horizontal="left" vertical="bottom"/>
    </xf>
    <xf numFmtId="166" fontId="16" fillId="4" borderId="21" applyAlignment="1" pivotButton="0" quotePrefix="0" xfId="0">
      <alignment vertical="bottom"/>
    </xf>
    <xf numFmtId="170" fontId="9" fillId="4" borderId="20" applyAlignment="1" pivotButton="0" quotePrefix="0" xfId="0">
      <alignment vertical="bottom"/>
    </xf>
    <xf numFmtId="164" fontId="0" fillId="4" borderId="20" applyAlignment="1" pivotButton="0" quotePrefix="0" xfId="0">
      <alignment vertical="bottom"/>
    </xf>
    <xf numFmtId="164" fontId="0" fillId="4" borderId="14" applyAlignment="1" pivotButton="0" quotePrefix="0" xfId="0">
      <alignment vertical="bottom"/>
    </xf>
    <xf numFmtId="170" fontId="0" fillId="7" borderId="22" applyAlignment="1" pivotButton="0" quotePrefix="0" xfId="0">
      <alignment vertical="bottom"/>
    </xf>
    <xf numFmtId="170" fontId="0" fillId="7" borderId="21" applyAlignment="1" pivotButton="0" quotePrefix="0" xfId="0">
      <alignment vertical="bottom"/>
    </xf>
    <xf numFmtId="49" fontId="20" fillId="4" borderId="21" applyAlignment="1" pivotButton="0" quotePrefix="0" xfId="0">
      <alignment vertical="bottom"/>
    </xf>
    <xf numFmtId="49" fontId="21" fillId="4" borderId="21" applyAlignment="1" pivotButton="0" quotePrefix="0" xfId="0">
      <alignment horizontal="left" vertical="bottom"/>
    </xf>
    <xf numFmtId="168" fontId="12" fillId="4" borderId="22" applyAlignment="1" pivotButton="0" quotePrefix="0" xfId="0">
      <alignment vertical="bottom"/>
    </xf>
    <xf numFmtId="49" fontId="16" fillId="4" borderId="21" applyAlignment="1" pivotButton="0" quotePrefix="0" xfId="0">
      <alignment horizontal="center" vertical="bottom" wrapText="1"/>
    </xf>
    <xf numFmtId="0" fontId="10" fillId="4" borderId="21" applyAlignment="1" pivotButton="0" quotePrefix="0" xfId="0">
      <alignment vertical="bottom"/>
    </xf>
    <xf numFmtId="168" fontId="10" fillId="4" borderId="21" applyAlignment="1" pivotButton="0" quotePrefix="0" xfId="0">
      <alignment vertical="bottom"/>
    </xf>
    <xf numFmtId="168" fontId="0" fillId="4" borderId="20" applyAlignment="1" pivotButton="0" quotePrefix="0" xfId="0">
      <alignment vertical="bottom"/>
    </xf>
    <xf numFmtId="168" fontId="10" fillId="4" borderId="14" applyAlignment="1" pivotButton="0" quotePrefix="0" xfId="0">
      <alignment vertical="bottom"/>
    </xf>
    <xf numFmtId="164" fontId="8" fillId="4" borderId="22" applyAlignment="1" pivotButton="0" quotePrefix="0" xfId="0">
      <alignment vertical="bottom"/>
    </xf>
    <xf numFmtId="164" fontId="8" fillId="4" borderId="21" applyAlignment="1" pivotButton="0" quotePrefix="0" xfId="0">
      <alignment vertical="bottom"/>
    </xf>
    <xf numFmtId="168" fontId="8" fillId="4" borderId="21" applyAlignment="1" pivotButton="0" quotePrefix="0" xfId="0">
      <alignment vertical="bottom"/>
    </xf>
    <xf numFmtId="166" fontId="22" fillId="4" borderId="21" applyAlignment="1" pivotButton="0" quotePrefix="0" xfId="0">
      <alignment vertical="bottom"/>
    </xf>
    <xf numFmtId="168" fontId="14" fillId="4" borderId="21" applyAlignment="1" pivotButton="0" quotePrefix="0" xfId="0">
      <alignment vertical="bottom"/>
    </xf>
    <xf numFmtId="166" fontId="21" fillId="4" borderId="21" applyAlignment="1" pivotButton="0" quotePrefix="0" xfId="0">
      <alignment vertical="bottom"/>
    </xf>
    <xf numFmtId="0" fontId="12" fillId="4" borderId="21" applyAlignment="1" pivotButton="0" quotePrefix="0" xfId="0">
      <alignment horizontal="left" vertical="bottom"/>
    </xf>
    <xf numFmtId="172" fontId="8" fillId="4" borderId="22" applyAlignment="1" pivotButton="0" quotePrefix="0" xfId="0">
      <alignment horizontal="right" vertical="bottom"/>
    </xf>
    <xf numFmtId="172" fontId="23" fillId="4" borderId="21" applyAlignment="1" pivotButton="0" quotePrefix="0" xfId="0">
      <alignment horizontal="right" vertical="bottom"/>
    </xf>
    <xf numFmtId="0" fontId="9" fillId="4" borderId="20" applyAlignment="1" pivotButton="0" quotePrefix="0" xfId="0">
      <alignment vertical="center" wrapText="1"/>
    </xf>
    <xf numFmtId="170" fontId="16" fillId="4" borderId="21" applyAlignment="1" pivotButton="0" quotePrefix="0" xfId="0">
      <alignment horizontal="right" vertical="bottom"/>
    </xf>
    <xf numFmtId="170" fontId="16" fillId="4" borderId="22" applyAlignment="1" pivotButton="0" quotePrefix="0" xfId="0">
      <alignment horizontal="right" vertical="bottom"/>
    </xf>
    <xf numFmtId="0" fontId="21" fillId="4" borderId="21" applyAlignment="1" pivotButton="0" quotePrefix="0" xfId="0">
      <alignment vertical="bottom"/>
    </xf>
    <xf numFmtId="168" fontId="21" fillId="4" borderId="21" applyAlignment="1" pivotButton="0" quotePrefix="0" xfId="0">
      <alignment vertical="bottom"/>
    </xf>
    <xf numFmtId="0" fontId="0" fillId="4" borderId="20" applyAlignment="1" pivotButton="0" quotePrefix="0" xfId="0">
      <alignment vertical="center" wrapText="1"/>
    </xf>
    <xf numFmtId="170" fontId="16" fillId="7" borderId="22" applyAlignment="1" pivotButton="0" quotePrefix="0" xfId="0">
      <alignment horizontal="right" vertical="bottom"/>
    </xf>
    <xf numFmtId="170" fontId="16" fillId="7" borderId="21" applyAlignment="1" pivotButton="0" quotePrefix="0" xfId="0">
      <alignment horizontal="right" vertical="bottom"/>
    </xf>
    <xf numFmtId="172" fontId="16" fillId="7" borderId="21" applyAlignment="1" pivotButton="0" quotePrefix="0" xfId="0">
      <alignment horizontal="right" vertical="bottom"/>
    </xf>
    <xf numFmtId="9" fontId="16" fillId="4" borderId="21" applyAlignment="1" pivotButton="0" quotePrefix="0" xfId="0">
      <alignment horizontal="right" vertical="bottom"/>
    </xf>
    <xf numFmtId="9" fontId="16" fillId="4" borderId="20" applyAlignment="1" pivotButton="0" quotePrefix="0" xfId="0">
      <alignment horizontal="right" vertical="bottom"/>
    </xf>
    <xf numFmtId="9" fontId="16" fillId="4" borderId="14" applyAlignment="1" pivotButton="0" quotePrefix="0" xfId="0">
      <alignment horizontal="right" vertical="bottom"/>
    </xf>
    <xf numFmtId="9" fontId="16" fillId="4" borderId="22" applyAlignment="1" pivotButton="0" quotePrefix="0" xfId="0">
      <alignment horizontal="right" vertical="bottom"/>
    </xf>
    <xf numFmtId="170" fontId="16" fillId="4" borderId="20" applyAlignment="1" pivotButton="0" quotePrefix="0" xfId="0">
      <alignment horizontal="right" vertical="bottom"/>
    </xf>
    <xf numFmtId="166" fontId="16" fillId="4" borderId="14" applyAlignment="1" pivotButton="0" quotePrefix="0" xfId="0">
      <alignment vertical="bottom"/>
    </xf>
    <xf numFmtId="0" fontId="0" fillId="4" borderId="14" applyAlignment="1" pivotButton="0" quotePrefix="0" xfId="0">
      <alignment vertical="center" wrapText="1"/>
    </xf>
    <xf numFmtId="9" fontId="10" fillId="4" borderId="14" applyAlignment="1" pivotButton="0" quotePrefix="0" xfId="0">
      <alignment horizontal="right" vertical="bottom"/>
    </xf>
    <xf numFmtId="9" fontId="10" fillId="7" borderId="14" applyAlignment="1" pivotButton="0" quotePrefix="0" xfId="0">
      <alignment horizontal="right" vertical="bottom"/>
    </xf>
    <xf numFmtId="172" fontId="23" fillId="4" borderId="14" applyAlignment="1" pivotButton="0" quotePrefix="0" xfId="0">
      <alignment horizontal="right" vertical="bottom"/>
    </xf>
    <xf numFmtId="9" fontId="23" fillId="4" borderId="14" applyAlignment="1" pivotButton="0" quotePrefix="0" xfId="0">
      <alignment horizontal="right" vertical="bottom"/>
    </xf>
    <xf numFmtId="170" fontId="16" fillId="4" borderId="14" applyAlignment="1" pivotButton="0" quotePrefix="0" xfId="0">
      <alignment horizontal="right" vertical="bottom"/>
    </xf>
    <xf numFmtId="49" fontId="16" fillId="4" borderId="14" applyAlignment="1" pivotButton="0" quotePrefix="0" xfId="0">
      <alignment horizontal="left" vertical="bottom"/>
    </xf>
    <xf numFmtId="0" fontId="21" fillId="4" borderId="14" applyAlignment="1" pivotButton="0" quotePrefix="0" xfId="0">
      <alignment vertical="bottom"/>
    </xf>
    <xf numFmtId="166" fontId="21" fillId="4" borderId="14" applyAlignment="1" pivotButton="0" quotePrefix="0" xfId="0">
      <alignment vertical="bottom"/>
    </xf>
    <xf numFmtId="168" fontId="21" fillId="4" borderId="14" applyAlignment="1" pivotButton="0" quotePrefix="0" xfId="0">
      <alignment vertical="bottom"/>
    </xf>
    <xf numFmtId="9" fontId="17" fillId="4" borderId="14" applyAlignment="1" pivotButton="0" quotePrefix="0" xfId="0">
      <alignment horizontal="right" vertical="bottom"/>
    </xf>
    <xf numFmtId="49" fontId="24" fillId="4" borderId="20" applyAlignment="1" pivotButton="0" quotePrefix="0" xfId="0">
      <alignment vertical="bottom"/>
    </xf>
    <xf numFmtId="0" fontId="0" fillId="4" borderId="22" applyAlignment="1" pivotButton="0" quotePrefix="0" xfId="0">
      <alignment vertical="bottom"/>
    </xf>
    <xf numFmtId="49" fontId="11" fillId="8" borderId="20" applyAlignment="1" pivotButton="0" quotePrefix="0" xfId="0">
      <alignment horizontal="right" vertical="bottom"/>
    </xf>
    <xf numFmtId="49" fontId="0" fillId="4" borderId="21" applyAlignment="1" pivotButton="0" quotePrefix="0" xfId="0">
      <alignment vertical="bottom" wrapText="1"/>
    </xf>
    <xf numFmtId="9" fontId="12" fillId="4" borderId="20" applyAlignment="1" pivotButton="0" quotePrefix="0" xfId="0">
      <alignment horizontal="center" vertical="bottom"/>
    </xf>
    <xf numFmtId="49" fontId="0" fillId="4" borderId="14" applyAlignment="1" pivotButton="0" quotePrefix="0" xfId="0">
      <alignment vertical="bottom"/>
    </xf>
    <xf numFmtId="49" fontId="7" fillId="4" borderId="21" applyAlignment="1" pivotButton="0" quotePrefix="0" xfId="0">
      <alignment horizontal="center" vertical="bottom" wrapText="1"/>
    </xf>
    <xf numFmtId="9" fontId="16" fillId="7" borderId="22" applyAlignment="1" pivotButton="0" quotePrefix="0" xfId="0">
      <alignment vertical="bottom"/>
    </xf>
    <xf numFmtId="49" fontId="7" fillId="4" borderId="21" applyAlignment="1" pivotButton="0" quotePrefix="0" xfId="0">
      <alignment vertical="bottom"/>
    </xf>
    <xf numFmtId="9" fontId="0" fillId="4" borderId="20" applyAlignment="1" pivotButton="0" quotePrefix="0" xfId="0">
      <alignment vertical="bottom"/>
    </xf>
    <xf numFmtId="9" fontId="0" fillId="4" borderId="14" applyAlignment="1" pivotButton="0" quotePrefix="0" xfId="0">
      <alignment vertical="bottom"/>
    </xf>
    <xf numFmtId="0" fontId="18" fillId="4" borderId="20" applyAlignment="1" pivotButton="0" quotePrefix="0" xfId="0">
      <alignment horizontal="center" vertical="bottom"/>
    </xf>
    <xf numFmtId="166" fontId="8" fillId="4" borderId="20" applyAlignment="1" pivotButton="0" quotePrefix="0" xfId="0">
      <alignment vertical="bottom"/>
    </xf>
    <xf numFmtId="166" fontId="8" fillId="4" borderId="14" applyAlignment="1" pivotButton="0" quotePrefix="0" xfId="0">
      <alignment vertical="bottom"/>
    </xf>
    <xf numFmtId="0" fontId="25" fillId="4" borderId="21" applyAlignment="1" pivotButton="0" quotePrefix="0" xfId="0">
      <alignment horizontal="left" vertical="top" wrapText="1"/>
    </xf>
    <xf numFmtId="9" fontId="25" fillId="4" borderId="22" applyAlignment="1" pivotButton="0" quotePrefix="0" xfId="0">
      <alignment vertical="bottom"/>
    </xf>
    <xf numFmtId="9" fontId="25" fillId="4" borderId="21" applyAlignment="1" pivotButton="0" quotePrefix="0" xfId="0">
      <alignment vertical="bottom"/>
    </xf>
    <xf numFmtId="9" fontId="21" fillId="4" borderId="20" applyAlignment="1" pivotButton="0" quotePrefix="0" xfId="0">
      <alignment vertical="bottom"/>
    </xf>
    <xf numFmtId="9" fontId="21" fillId="4" borderId="14" applyAlignment="1" pivotButton="0" quotePrefix="0" xfId="0">
      <alignment vertical="bottom"/>
    </xf>
    <xf numFmtId="166" fontId="21" fillId="4" borderId="20" applyAlignment="1" pivotButton="0" quotePrefix="0" xfId="0">
      <alignment vertical="bottom"/>
    </xf>
    <xf numFmtId="0" fontId="7" fillId="4" borderId="21" applyAlignment="1" pivotButton="0" quotePrefix="0" xfId="0">
      <alignment vertical="bottom"/>
    </xf>
    <xf numFmtId="0" fontId="14" fillId="4" borderId="20" applyAlignment="1" pivotButton="0" quotePrefix="0" xfId="0">
      <alignment vertical="bottom"/>
    </xf>
    <xf numFmtId="49" fontId="7" fillId="4" borderId="21" applyAlignment="1" pivotButton="0" quotePrefix="0" xfId="0">
      <alignment horizontal="left" vertical="top" wrapText="1"/>
    </xf>
    <xf numFmtId="49" fontId="26" fillId="4" borderId="14" applyAlignment="1" pivotButton="0" quotePrefix="0" xfId="0">
      <alignment vertical="bottom"/>
    </xf>
    <xf numFmtId="49" fontId="26" fillId="4" borderId="14" applyAlignment="1" pivotButton="0" quotePrefix="0" xfId="0">
      <alignment horizontal="right" vertical="bottom"/>
    </xf>
    <xf numFmtId="49" fontId="25" fillId="4" borderId="21" applyAlignment="1" pivotButton="0" quotePrefix="0" xfId="0">
      <alignment horizontal="left" vertical="top" wrapText="1"/>
    </xf>
    <xf numFmtId="9" fontId="0" fillId="7" borderId="22" applyAlignment="1" pivotButton="0" quotePrefix="0" xfId="0">
      <alignment vertical="bottom"/>
    </xf>
    <xf numFmtId="9" fontId="0" fillId="7" borderId="21" applyAlignment="1" pivotButton="0" quotePrefix="0" xfId="0">
      <alignment vertical="bottom"/>
    </xf>
    <xf numFmtId="9" fontId="0" fillId="7" borderId="14" applyAlignment="1" pivotButton="0" quotePrefix="0" xfId="0">
      <alignment vertical="bottom"/>
    </xf>
    <xf numFmtId="166" fontId="22" fillId="4" borderId="20" applyAlignment="1" pivotButton="0" quotePrefix="0" xfId="0">
      <alignment vertical="bottom"/>
    </xf>
    <xf numFmtId="166" fontId="22" fillId="4" borderId="14" applyAlignment="1" pivotButton="0" quotePrefix="0" xfId="0">
      <alignment vertical="bottom"/>
    </xf>
    <xf numFmtId="49" fontId="7" fillId="4" borderId="21" applyAlignment="1" pivotButton="0" quotePrefix="0" xfId="0">
      <alignment vertical="bottom" wrapText="1"/>
    </xf>
    <xf numFmtId="49" fontId="0" fillId="4" borderId="25" applyAlignment="1" pivotButton="0" quotePrefix="0" xfId="0">
      <alignment vertical="bottom"/>
    </xf>
    <xf numFmtId="9" fontId="0" fillId="7" borderId="25" applyAlignment="1" pivotButton="0" quotePrefix="0" xfId="0">
      <alignment vertical="bottom"/>
    </xf>
    <xf numFmtId="9" fontId="0" fillId="4" borderId="25" applyAlignment="1" pivotButton="0" quotePrefix="0" xfId="0">
      <alignment vertical="bottom"/>
    </xf>
    <xf numFmtId="166" fontId="22" fillId="7" borderId="21" applyAlignment="1" pivotButton="0" quotePrefix="0" xfId="0">
      <alignment vertical="bottom"/>
    </xf>
    <xf numFmtId="2" fontId="25" fillId="4" borderId="21" applyAlignment="1" pivotButton="0" quotePrefix="0" xfId="0">
      <alignment horizontal="center" vertical="bottom" wrapText="1"/>
    </xf>
    <xf numFmtId="49" fontId="0" fillId="4" borderId="18" applyAlignment="1" pivotButton="0" quotePrefix="0" xfId="0">
      <alignment vertical="bottom"/>
    </xf>
    <xf numFmtId="9" fontId="0" fillId="4" borderId="18" applyAlignment="1" pivotButton="0" quotePrefix="0" xfId="0">
      <alignment vertical="bottom"/>
    </xf>
    <xf numFmtId="49" fontId="25" fillId="4" borderId="21" applyAlignment="1" pivotButton="0" quotePrefix="0" xfId="0">
      <alignment horizontal="left" vertical="bottom" wrapText="1"/>
    </xf>
    <xf numFmtId="0" fontId="7" fillId="4" borderId="22" applyAlignment="1" pivotButton="0" quotePrefix="0" xfId="0">
      <alignment vertical="bottom" wrapText="1"/>
    </xf>
    <xf numFmtId="170" fontId="12" fillId="4" borderId="14" applyAlignment="1" pivotButton="0" quotePrefix="0" xfId="0">
      <alignment vertical="bottom"/>
    </xf>
    <xf numFmtId="2" fontId="7" fillId="4" borderId="14" applyAlignment="1" pivotButton="0" quotePrefix="0" xfId="0">
      <alignment horizontal="center" vertical="bottom" wrapText="1"/>
    </xf>
    <xf numFmtId="0" fontId="9" fillId="4" borderId="14" applyAlignment="1" pivotButton="0" quotePrefix="0" xfId="0">
      <alignment horizontal="center" vertical="bottom"/>
    </xf>
    <xf numFmtId="49" fontId="16" fillId="4" borderId="25" applyAlignment="1" pivotButton="0" quotePrefix="0" xfId="0">
      <alignment vertical="bottom"/>
    </xf>
    <xf numFmtId="49" fontId="16" fillId="4" borderId="18" applyAlignment="1" pivotButton="0" quotePrefix="0" xfId="0">
      <alignment vertical="bottom"/>
    </xf>
    <xf numFmtId="9" fontId="16" fillId="4" borderId="18" applyAlignment="1" pivotButton="0" quotePrefix="0" xfId="0">
      <alignment vertical="bottom"/>
    </xf>
    <xf numFmtId="172" fontId="9" fillId="4" borderId="21" applyAlignment="1" pivotButton="0" quotePrefix="0" xfId="0">
      <alignment horizontal="right" vertical="bottom"/>
    </xf>
    <xf numFmtId="172" fontId="9" fillId="4" borderId="20" applyAlignment="1" pivotButton="0" quotePrefix="0" xfId="0">
      <alignment horizontal="right" vertical="bottom"/>
    </xf>
    <xf numFmtId="172" fontId="9" fillId="4" borderId="14" applyAlignment="1" pivotButton="0" quotePrefix="0" xfId="0">
      <alignment horizontal="right" vertical="bottom"/>
    </xf>
    <xf numFmtId="172" fontId="9" fillId="4" borderId="22" applyAlignment="1" pivotButton="0" quotePrefix="0" xfId="0">
      <alignment horizontal="right" vertical="bottom"/>
    </xf>
    <xf numFmtId="49" fontId="12" fillId="4" borderId="21" applyAlignment="1" pivotButton="0" quotePrefix="0" xfId="0">
      <alignment horizontal="center" vertical="center" wrapText="1"/>
    </xf>
    <xf numFmtId="170" fontId="23" fillId="7" borderId="20" applyAlignment="1" pivotButton="0" quotePrefix="0" xfId="0">
      <alignment vertical="bottom"/>
    </xf>
    <xf numFmtId="168" fontId="7" fillId="4" borderId="21" applyAlignment="1" pivotButton="0" quotePrefix="0" xfId="0">
      <alignment vertical="bottom"/>
    </xf>
    <xf numFmtId="164" fontId="7" fillId="4" borderId="14" applyAlignment="1" pivotButton="0" quotePrefix="0" xfId="0">
      <alignment vertical="bottom"/>
    </xf>
    <xf numFmtId="0" fontId="7" fillId="4" borderId="20" applyAlignment="1" pivotButton="0" quotePrefix="0" xfId="0">
      <alignment vertical="bottom"/>
    </xf>
    <xf numFmtId="0" fontId="7" fillId="4" borderId="14" applyAlignment="1" pivotButton="0" quotePrefix="0" xfId="0">
      <alignment vertical="bottom"/>
    </xf>
    <xf numFmtId="164" fontId="7" fillId="6" borderId="22" applyAlignment="1" pivotButton="0" quotePrefix="0" xfId="0">
      <alignment vertical="bottom"/>
    </xf>
    <xf numFmtId="164" fontId="7" fillId="6" borderId="21" applyAlignment="1" pivotButton="0" quotePrefix="0" xfId="0">
      <alignment vertical="bottom"/>
    </xf>
    <xf numFmtId="168" fontId="6" fillId="4" borderId="21" applyAlignment="1" pivotButton="0" quotePrefix="0" xfId="0">
      <alignment vertical="bottom"/>
    </xf>
    <xf numFmtId="170" fontId="7" fillId="4" borderId="14" applyAlignment="1" pivotButton="0" quotePrefix="0" xfId="0">
      <alignment vertical="bottom"/>
    </xf>
    <xf numFmtId="170" fontId="7" fillId="4" borderId="22" applyAlignment="1" pivotButton="0" quotePrefix="0" xfId="0">
      <alignment vertical="bottom"/>
    </xf>
    <xf numFmtId="170" fontId="7" fillId="4" borderId="21" applyAlignment="1" pivotButton="0" quotePrefix="0" xfId="0">
      <alignment vertical="bottom"/>
    </xf>
    <xf numFmtId="9" fontId="21" fillId="4" borderId="21" applyAlignment="1" pivotButton="0" quotePrefix="0" xfId="0">
      <alignment vertical="bottom"/>
    </xf>
    <xf numFmtId="9" fontId="21" fillId="4" borderId="22" applyAlignment="1" pivotButton="0" quotePrefix="0" xfId="0">
      <alignment vertical="bottom"/>
    </xf>
    <xf numFmtId="170" fontId="19" fillId="9" borderId="14" applyAlignment="1" pivotButton="0" quotePrefix="0" xfId="0">
      <alignment vertical="bottom"/>
    </xf>
    <xf numFmtId="0" fontId="12" fillId="4" borderId="21" applyAlignment="1" pivotButton="0" quotePrefix="0" xfId="0">
      <alignment horizontal="center" vertical="center" wrapText="1"/>
    </xf>
    <xf numFmtId="9" fontId="12" fillId="4" borderId="21" applyAlignment="1" pivotButton="0" quotePrefix="0" xfId="0">
      <alignment horizontal="center" vertical="center" wrapText="1"/>
    </xf>
    <xf numFmtId="0" fontId="10" fillId="4" borderId="20" applyAlignment="1" pivotButton="0" quotePrefix="0" xfId="0">
      <alignment vertical="bottom"/>
    </xf>
    <xf numFmtId="0" fontId="10" fillId="4" borderId="14" applyAlignment="1" pivotButton="0" quotePrefix="0" xfId="0">
      <alignment vertical="bottom"/>
    </xf>
    <xf numFmtId="9" fontId="14" fillId="9" borderId="14" applyAlignment="1" pivotButton="0" quotePrefix="0" xfId="0">
      <alignment vertical="bottom"/>
    </xf>
    <xf numFmtId="0" fontId="12" fillId="4" borderId="23" applyAlignment="1" pivotButton="0" quotePrefix="0" xfId="0">
      <alignment vertical="center" wrapText="1"/>
    </xf>
    <xf numFmtId="172" fontId="10" fillId="4" borderId="18" applyAlignment="1" pivotButton="0" quotePrefix="0" xfId="0">
      <alignment horizontal="right" vertical="bottom"/>
    </xf>
    <xf numFmtId="49" fontId="12" fillId="4" borderId="7" applyAlignment="1" pivotButton="0" quotePrefix="0" xfId="0">
      <alignment horizontal="center" vertical="bottom" wrapText="1"/>
    </xf>
    <xf numFmtId="49" fontId="6" fillId="4" borderId="21" applyAlignment="1" pivotButton="0" quotePrefix="0" xfId="0">
      <alignment vertical="bottom"/>
    </xf>
    <xf numFmtId="49" fontId="12" fillId="4" borderId="7" applyAlignment="1" pivotButton="0" quotePrefix="0" xfId="0">
      <alignment horizontal="center" vertical="center" wrapText="1"/>
    </xf>
    <xf numFmtId="0" fontId="0" fillId="4" borderId="20" applyAlignment="1" pivotButton="0" quotePrefix="0" xfId="0">
      <alignment vertical="bottom"/>
    </xf>
    <xf numFmtId="172" fontId="0" fillId="4" borderId="16" applyAlignment="1" pivotButton="0" quotePrefix="0" xfId="0">
      <alignment vertical="bottom"/>
    </xf>
    <xf numFmtId="170" fontId="10" fillId="4" borderId="16" applyAlignment="1" pivotButton="0" quotePrefix="0" xfId="0">
      <alignment vertical="bottom"/>
    </xf>
    <xf numFmtId="170" fontId="10" fillId="4" borderId="17" applyAlignment="1" pivotButton="0" quotePrefix="0" xfId="0">
      <alignment vertical="bottom"/>
    </xf>
    <xf numFmtId="170" fontId="10" fillId="4" borderId="18" applyAlignment="1" pivotButton="0" quotePrefix="0" xfId="0">
      <alignment vertical="bottom"/>
    </xf>
    <xf numFmtId="170" fontId="10" fillId="4" borderId="19" applyAlignment="1" pivotButton="0" quotePrefix="0" xfId="0">
      <alignment vertical="bottom"/>
    </xf>
    <xf numFmtId="49" fontId="12" fillId="4" borderId="23" applyAlignment="1" pivotButton="0" quotePrefix="0" xfId="0">
      <alignment horizontal="left" vertical="bottom"/>
    </xf>
    <xf numFmtId="172" fontId="12" fillId="4" borderId="23" applyAlignment="1" pivotButton="0" quotePrefix="0" xfId="0">
      <alignment horizontal="right" vertical="bottom"/>
    </xf>
    <xf numFmtId="164" fontId="10" fillId="4" borderId="24" applyAlignment="1" pivotButton="0" quotePrefix="0" xfId="0">
      <alignment vertical="bottom"/>
    </xf>
    <xf numFmtId="172" fontId="12" fillId="4" borderId="25" applyAlignment="1" pivotButton="0" quotePrefix="0" xfId="0">
      <alignment horizontal="right" vertical="bottom"/>
    </xf>
    <xf numFmtId="164" fontId="12" fillId="4" borderId="26" applyAlignment="1" pivotButton="0" quotePrefix="0" xfId="0">
      <alignment vertical="bottom"/>
    </xf>
    <xf numFmtId="164" fontId="12" fillId="4" borderId="24" applyAlignment="1" pivotButton="0" quotePrefix="0" xfId="0">
      <alignment vertical="bottom"/>
    </xf>
    <xf numFmtId="164" fontId="12" fillId="9" borderId="25" applyAlignment="1" pivotButton="0" quotePrefix="0" xfId="0">
      <alignment vertical="bottom"/>
    </xf>
    <xf numFmtId="164" fontId="12" fillId="9" borderId="23" applyAlignment="1" pivotButton="0" quotePrefix="0" xfId="0">
      <alignment vertical="bottom"/>
    </xf>
    <xf numFmtId="170" fontId="14" fillId="4" borderId="21" applyAlignment="1" pivotButton="0" quotePrefix="0" xfId="0">
      <alignment vertical="bottom"/>
    </xf>
    <xf numFmtId="170" fontId="14" fillId="4" borderId="22" applyAlignment="1" pivotButton="0" quotePrefix="0" xfId="0">
      <alignment vertical="bottom"/>
    </xf>
    <xf numFmtId="166" fontId="10" fillId="4" borderId="21" applyAlignment="1" pivotButton="0" quotePrefix="0" xfId="0">
      <alignment vertical="bottom"/>
    </xf>
    <xf numFmtId="166" fontId="14" fillId="4" borderId="21" applyAlignment="1" pivotButton="0" quotePrefix="0" xfId="0">
      <alignment vertical="bottom"/>
    </xf>
    <xf numFmtId="173" fontId="0" fillId="4" borderId="21" applyAlignment="1" pivotButton="0" quotePrefix="0" xfId="0">
      <alignment vertical="bottom"/>
    </xf>
    <xf numFmtId="173" fontId="0" fillId="7" borderId="21" applyAlignment="1" pivotButton="0" quotePrefix="0" xfId="0">
      <alignment vertical="bottom"/>
    </xf>
    <xf numFmtId="173" fontId="0" fillId="7" borderId="20" applyAlignment="1" pivotButton="0" quotePrefix="0" xfId="0">
      <alignment vertical="bottom"/>
    </xf>
    <xf numFmtId="173" fontId="0" fillId="7" borderId="14" applyAlignment="1" pivotButton="0" quotePrefix="0" xfId="0">
      <alignment vertical="bottom"/>
    </xf>
    <xf numFmtId="173" fontId="0" fillId="4" borderId="22" applyAlignment="1" pivotButton="0" quotePrefix="0" xfId="0">
      <alignment vertical="bottom"/>
    </xf>
    <xf numFmtId="9" fontId="18" fillId="4" borderId="14" applyAlignment="1" pivotButton="0" quotePrefix="0" xfId="0">
      <alignment vertical="bottom"/>
    </xf>
    <xf numFmtId="0" fontId="9" fillId="4" borderId="14" applyAlignment="1" pivotButton="0" quotePrefix="0" xfId="0">
      <alignment vertical="bottom"/>
    </xf>
    <xf numFmtId="0" fontId="0" fillId="4" borderId="14" applyAlignment="1" pivotButton="0" quotePrefix="0" xfId="0">
      <alignment vertical="bottom" wrapText="1"/>
    </xf>
    <xf numFmtId="9" fontId="22" fillId="4" borderId="14" applyAlignment="1" pivotButton="0" quotePrefix="0" xfId="0">
      <alignment vertical="bottom"/>
    </xf>
    <xf numFmtId="170" fontId="23" fillId="4" borderId="14" applyAlignment="1" pivotButton="0" quotePrefix="0" xfId="0">
      <alignment vertical="bottom"/>
    </xf>
    <xf numFmtId="49" fontId="11" fillId="8" borderId="23" applyAlignment="1" pivotButton="0" quotePrefix="0" xfId="0">
      <alignment vertical="bottom"/>
    </xf>
    <xf numFmtId="166" fontId="11" fillId="8" borderId="23" applyAlignment="1" pivotButton="0" quotePrefix="0" xfId="0">
      <alignment vertical="bottom"/>
    </xf>
    <xf numFmtId="164" fontId="11" fillId="8" borderId="23" applyAlignment="1" pivotButton="0" quotePrefix="0" xfId="0">
      <alignment vertical="bottom"/>
    </xf>
    <xf numFmtId="49" fontId="6" fillId="4" borderId="16" applyAlignment="1" pivotButton="0" quotePrefix="0" xfId="0">
      <alignment vertical="bottom"/>
    </xf>
    <xf numFmtId="168" fontId="6" fillId="4" borderId="16" applyAlignment="1" pivotButton="0" quotePrefix="0" xfId="0">
      <alignment vertical="bottom"/>
    </xf>
    <xf numFmtId="0" fontId="0" fillId="4" borderId="17" applyAlignment="1" pivotButton="0" quotePrefix="0" xfId="0">
      <alignment vertical="bottom"/>
    </xf>
    <xf numFmtId="164" fontId="8" fillId="4" borderId="18" applyAlignment="1" pivotButton="0" quotePrefix="0" xfId="0">
      <alignment vertical="bottom"/>
    </xf>
    <xf numFmtId="164" fontId="8" fillId="6" borderId="18" applyAlignment="1" pivotButton="0" quotePrefix="0" xfId="0">
      <alignment vertical="bottom"/>
    </xf>
    <xf numFmtId="0" fontId="0" fillId="4" borderId="19" applyAlignment="1" pivotButton="0" quotePrefix="0" xfId="0">
      <alignment vertical="bottom"/>
    </xf>
    <xf numFmtId="164" fontId="8" fillId="6" borderId="17" applyAlignment="1" pivotButton="0" quotePrefix="0" xfId="0">
      <alignment vertical="bottom"/>
    </xf>
    <xf numFmtId="164" fontId="8" fillId="6" borderId="19" applyAlignment="1" pivotButton="0" quotePrefix="0" xfId="0">
      <alignment vertical="bottom"/>
    </xf>
    <xf numFmtId="164" fontId="8" fillId="6" borderId="16" applyAlignment="1" pivotButton="0" quotePrefix="0" xfId="0">
      <alignment vertical="bottom"/>
    </xf>
    <xf numFmtId="170" fontId="10" fillId="4" borderId="16" applyAlignment="1" pivotButton="0" quotePrefix="0" xfId="0">
      <alignment horizontal="right" vertical="bottom"/>
    </xf>
    <xf numFmtId="164" fontId="0" fillId="4" borderId="16" applyAlignment="1" pivotButton="0" quotePrefix="0" xfId="0">
      <alignment vertical="bottom"/>
    </xf>
    <xf numFmtId="49" fontId="16" fillId="4" borderId="16" applyAlignment="1" pivotButton="0" quotePrefix="0" xfId="0">
      <alignment horizontal="left" vertical="bottom"/>
    </xf>
    <xf numFmtId="170" fontId="8" fillId="4" borderId="21" applyAlignment="1" pivotButton="0" quotePrefix="0" xfId="0">
      <alignment horizontal="right" vertical="bottom" wrapText="1"/>
    </xf>
    <xf numFmtId="170" fontId="0" fillId="4" borderId="23" applyAlignment="1" pivotButton="0" quotePrefix="0" xfId="0">
      <alignment vertical="bottom"/>
    </xf>
    <xf numFmtId="0" fontId="0" fillId="4" borderId="24" applyAlignment="1" pivotButton="0" quotePrefix="0" xfId="0">
      <alignment vertical="bottom"/>
    </xf>
    <xf numFmtId="170" fontId="0" fillId="4" borderId="25" applyAlignment="1" pivotButton="0" quotePrefix="0" xfId="0">
      <alignment vertical="bottom"/>
    </xf>
    <xf numFmtId="0" fontId="0" fillId="4" borderId="26" applyAlignment="1" pivotButton="0" quotePrefix="0" xfId="0">
      <alignment vertical="bottom"/>
    </xf>
    <xf numFmtId="170" fontId="0" fillId="4" borderId="24" applyAlignment="1" pivotButton="0" quotePrefix="0" xfId="0">
      <alignment vertical="bottom"/>
    </xf>
    <xf numFmtId="170" fontId="0" fillId="4" borderId="26" applyAlignment="1" pivotButton="0" quotePrefix="0" xfId="0">
      <alignment vertical="bottom"/>
    </xf>
    <xf numFmtId="49" fontId="8" fillId="4" borderId="21" applyAlignment="1" pivotButton="0" quotePrefix="0" xfId="0">
      <alignment horizontal="right" vertical="bottom"/>
    </xf>
    <xf numFmtId="168" fontId="8" fillId="4" borderId="14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4" borderId="8" applyAlignment="1" pivotButton="0" quotePrefix="0" xfId="0">
      <alignment vertical="bottom"/>
    </xf>
    <xf numFmtId="164" fontId="9" fillId="4" borderId="9" applyAlignment="1" pivotButton="0" quotePrefix="0" xfId="0">
      <alignment vertical="bottom"/>
    </xf>
    <xf numFmtId="164" fontId="0" fillId="4" borderId="9" applyAlignment="1" pivotButton="0" quotePrefix="0" xfId="0">
      <alignment vertical="bottom"/>
    </xf>
    <xf numFmtId="170" fontId="8" fillId="4" borderId="21" applyAlignment="1" pivotButton="0" quotePrefix="0" xfId="0">
      <alignment horizontal="right" vertical="bottom"/>
    </xf>
    <xf numFmtId="170" fontId="10" fillId="7" borderId="16" applyAlignment="1" pivotButton="0" quotePrefix="0" xfId="0">
      <alignment horizontal="right" vertical="bottom"/>
    </xf>
    <xf numFmtId="172" fontId="12" fillId="7" borderId="16" applyAlignment="1" pivotButton="0" quotePrefix="0" xfId="0">
      <alignment horizontal="right" vertical="bottom"/>
    </xf>
    <xf numFmtId="170" fontId="10" fillId="7" borderId="17" applyAlignment="1" pivotButton="0" quotePrefix="0" xfId="0">
      <alignment horizontal="right" vertical="bottom"/>
    </xf>
    <xf numFmtId="170" fontId="10" fillId="7" borderId="18" applyAlignment="1" pivotButton="0" quotePrefix="0" xfId="0">
      <alignment horizontal="right" vertical="bottom"/>
    </xf>
    <xf numFmtId="164" fontId="12" fillId="4" borderId="19" applyAlignment="1" pivotButton="0" quotePrefix="0" xfId="0">
      <alignment vertical="bottom"/>
    </xf>
    <xf numFmtId="164" fontId="12" fillId="4" borderId="16" applyAlignment="1" pivotButton="0" quotePrefix="0" xfId="0">
      <alignment vertical="bottom"/>
    </xf>
    <xf numFmtId="170" fontId="0" fillId="7" borderId="14" applyAlignment="1" pivotButton="0" quotePrefix="0" xfId="0">
      <alignment vertical="bottom"/>
    </xf>
    <xf numFmtId="164" fontId="10" fillId="4" borderId="21" applyAlignment="1" pivotButton="0" quotePrefix="0" xfId="0">
      <alignment vertical="bottom"/>
    </xf>
    <xf numFmtId="170" fontId="7" fillId="4" borderId="20" applyAlignment="1" pivotButton="0" quotePrefix="0" xfId="0">
      <alignment vertical="bottom"/>
    </xf>
    <xf numFmtId="49" fontId="12" fillId="4" borderId="21" applyAlignment="1" pivotButton="0" quotePrefix="0" xfId="0">
      <alignment vertical="bottom"/>
    </xf>
    <xf numFmtId="164" fontId="12" fillId="4" borderId="20" applyAlignment="1" pivotButton="0" quotePrefix="0" xfId="0">
      <alignment vertical="bottom"/>
    </xf>
    <xf numFmtId="0" fontId="10" fillId="4" borderId="21" applyAlignment="1" pivotButton="0" quotePrefix="0" xfId="0">
      <alignment horizontal="left" vertical="bottom"/>
    </xf>
    <xf numFmtId="49" fontId="8" fillId="4" borderId="21" applyAlignment="1" pivotButton="0" quotePrefix="0" xfId="0">
      <alignment vertical="bottom"/>
    </xf>
    <xf numFmtId="0" fontId="8" fillId="4" borderId="21" applyAlignment="1" pivotButton="0" quotePrefix="0" xfId="0">
      <alignment vertical="bottom"/>
    </xf>
    <xf numFmtId="168" fontId="8" fillId="4" borderId="20" applyAlignment="1" pivotButton="0" quotePrefix="0" xfId="0">
      <alignment vertical="bottom"/>
    </xf>
    <xf numFmtId="168" fontId="8" fillId="4" borderId="22" applyAlignment="1" pivotButton="0" quotePrefix="0" xfId="0">
      <alignment vertical="bottom"/>
    </xf>
    <xf numFmtId="49" fontId="10" fillId="4" borderId="21" applyAlignment="1" pivotButton="0" quotePrefix="0" xfId="0">
      <alignment horizontal="left" vertical="center"/>
    </xf>
    <xf numFmtId="170" fontId="9" fillId="9" borderId="14" applyAlignment="1" pivotButton="0" quotePrefix="0" xfId="0">
      <alignment vertical="bottom"/>
    </xf>
    <xf numFmtId="170" fontId="9" fillId="9" borderId="21" applyAlignment="1" pivotButton="0" quotePrefix="0" xfId="0">
      <alignment vertical="bottom"/>
    </xf>
    <xf numFmtId="49" fontId="10" fillId="4" borderId="21" applyAlignment="1" pivotButton="0" quotePrefix="0" xfId="0">
      <alignment horizontal="left" vertical="bottom" wrapText="1"/>
    </xf>
    <xf numFmtId="174" fontId="0" fillId="4" borderId="21" applyAlignment="1" pivotButton="0" quotePrefix="0" xfId="0">
      <alignment vertical="bottom"/>
    </xf>
    <xf numFmtId="174" fontId="0" fillId="4" borderId="20" applyAlignment="1" pivotButton="0" quotePrefix="0" xfId="0">
      <alignment vertical="bottom"/>
    </xf>
    <xf numFmtId="174" fontId="0" fillId="4" borderId="14" applyAlignment="1" pivotButton="0" quotePrefix="0" xfId="0">
      <alignment vertical="bottom"/>
    </xf>
    <xf numFmtId="174" fontId="0" fillId="4" borderId="22" applyAlignment="1" pivotButton="0" quotePrefix="0" xfId="0">
      <alignment vertical="bottom"/>
    </xf>
    <xf numFmtId="170" fontId="0" fillId="6" borderId="22" applyAlignment="1" pivotButton="0" quotePrefix="0" xfId="0">
      <alignment vertical="bottom"/>
    </xf>
    <xf numFmtId="170" fontId="0" fillId="6" borderId="21" applyAlignment="1" pivotButton="0" quotePrefix="0" xfId="0">
      <alignment vertical="bottom"/>
    </xf>
    <xf numFmtId="0" fontId="0" fillId="6" borderId="21" applyAlignment="1" pivotButton="0" quotePrefix="0" xfId="0">
      <alignment vertical="bottom"/>
    </xf>
    <xf numFmtId="49" fontId="10" fillId="7" borderId="21" applyAlignment="1" pivotButton="0" quotePrefix="0" xfId="0">
      <alignment horizontal="left" vertical="bottom"/>
    </xf>
    <xf numFmtId="164" fontId="10" fillId="4" borderId="21" applyAlignment="1" pivotButton="0" quotePrefix="0" xfId="0">
      <alignment horizontal="left" vertical="bottom"/>
    </xf>
    <xf numFmtId="0" fontId="16" fillId="4" borderId="6" applyAlignment="1" pivotButton="0" quotePrefix="0" xfId="0">
      <alignment vertical="bottom"/>
    </xf>
    <xf numFmtId="0" fontId="16" fillId="4" borderId="21" applyAlignment="1" pivotButton="0" quotePrefix="0" xfId="0">
      <alignment vertical="bottom"/>
    </xf>
    <xf numFmtId="166" fontId="6" fillId="4" borderId="14" applyAlignment="1" pivotButton="0" quotePrefix="0" xfId="0">
      <alignment vertical="bottom"/>
    </xf>
    <xf numFmtId="0" fontId="8" fillId="4" borderId="21" applyAlignment="1" pivotButton="0" quotePrefix="0" xfId="0">
      <alignment horizontal="left" vertical="bottom" wrapText="1"/>
    </xf>
    <xf numFmtId="164" fontId="9" fillId="4" borderId="21" applyAlignment="1" pivotButton="0" quotePrefix="0" xfId="0">
      <alignment vertical="bottom"/>
    </xf>
    <xf numFmtId="164" fontId="9" fillId="4" borderId="14" applyAlignment="1" pivotButton="0" quotePrefix="0" xfId="0">
      <alignment vertical="bottom"/>
    </xf>
    <xf numFmtId="0" fontId="21" fillId="4" borderId="6" applyAlignment="1" pivotButton="0" quotePrefix="0" xfId="0">
      <alignment vertical="bottom"/>
    </xf>
    <xf numFmtId="170" fontId="21" fillId="4" borderId="21" applyAlignment="1" pivotButton="0" quotePrefix="0" xfId="0">
      <alignment vertical="bottom"/>
    </xf>
    <xf numFmtId="166" fontId="6" fillId="4" borderId="21" applyAlignment="1" pivotButton="0" quotePrefix="0" xfId="0">
      <alignment vertical="bottom"/>
    </xf>
    <xf numFmtId="49" fontId="10" fillId="4" borderId="23" applyAlignment="1" pivotButton="0" quotePrefix="0" xfId="0">
      <alignment horizontal="left" vertical="bottom"/>
    </xf>
    <xf numFmtId="49" fontId="10" fillId="4" borderId="7" applyAlignment="1" pivotButton="0" quotePrefix="0" xfId="0">
      <alignment vertical="bottom"/>
    </xf>
    <xf numFmtId="164" fontId="10" fillId="4" borderId="7" applyAlignment="1" pivotButton="0" quotePrefix="0" xfId="0">
      <alignment vertical="bottom"/>
    </xf>
    <xf numFmtId="164" fontId="10" fillId="4" borderId="8" applyAlignment="1" pivotButton="0" quotePrefix="0" xfId="0">
      <alignment vertical="bottom"/>
    </xf>
    <xf numFmtId="164" fontId="10" fillId="4" borderId="9" applyAlignment="1" pivotButton="0" quotePrefix="0" xfId="0">
      <alignment vertical="bottom"/>
    </xf>
    <xf numFmtId="164" fontId="10" fillId="4" borderId="10" applyAlignment="1" pivotButton="0" quotePrefix="0" xfId="0">
      <alignment vertical="bottom"/>
    </xf>
    <xf numFmtId="0" fontId="7" fillId="4" borderId="21" applyAlignment="1" pivotButton="0" quotePrefix="0" xfId="0">
      <alignment horizontal="left" vertical="bottom"/>
    </xf>
    <xf numFmtId="0" fontId="16" fillId="4" borderId="21" applyAlignment="1" pivotButton="0" quotePrefix="0" xfId="0">
      <alignment horizontal="left" vertical="bottom"/>
    </xf>
    <xf numFmtId="0" fontId="0" fillId="4" borderId="21" applyAlignment="1" pivotButton="0" quotePrefix="0" xfId="0">
      <alignment vertical="bottom" wrapText="1"/>
    </xf>
    <xf numFmtId="170" fontId="21" fillId="4" borderId="14" applyAlignment="1" pivotButton="0" quotePrefix="0" xfId="0">
      <alignment vertical="bottom"/>
    </xf>
    <xf numFmtId="0" fontId="7" fillId="4" borderId="21" applyAlignment="1" pivotButton="0" quotePrefix="0" xfId="0">
      <alignment vertical="bottom" wrapText="1"/>
    </xf>
    <xf numFmtId="9" fontId="0" fillId="4" borderId="23" applyAlignment="1" pivotButton="0" quotePrefix="0" xfId="0">
      <alignment vertical="bottom"/>
    </xf>
    <xf numFmtId="2" fontId="0" fillId="4" borderId="23" applyAlignment="1" pivotButton="0" quotePrefix="0" xfId="0">
      <alignment vertical="bottom"/>
    </xf>
    <xf numFmtId="9" fontId="0" fillId="4" borderId="26" applyAlignment="1" pivotButton="0" quotePrefix="0" xfId="0">
      <alignment vertical="bottom"/>
    </xf>
    <xf numFmtId="164" fontId="12" fillId="4" borderId="7" applyAlignment="1" pivotButton="0" quotePrefix="0" xfId="0">
      <alignment vertical="bottom"/>
    </xf>
    <xf numFmtId="164" fontId="12" fillId="4" borderId="10" applyAlignment="1" pivotButton="0" quotePrefix="0" xfId="0">
      <alignment vertical="bottom"/>
    </xf>
    <xf numFmtId="170" fontId="8" fillId="4" borderId="7" applyAlignment="1" pivotButton="0" quotePrefix="0" xfId="0">
      <alignment vertical="bottom"/>
    </xf>
    <xf numFmtId="9" fontId="8" fillId="4" borderId="21" applyAlignment="1" pivotButton="0" quotePrefix="0" xfId="0">
      <alignment horizontal="left" vertical="bottom" wrapText="1"/>
    </xf>
    <xf numFmtId="49" fontId="0" fillId="4" borderId="16" applyAlignment="1" pivotButton="0" quotePrefix="0" xfId="0">
      <alignment vertical="bottom"/>
    </xf>
    <xf numFmtId="170" fontId="0" fillId="7" borderId="19" applyAlignment="1" pivotButton="0" quotePrefix="0" xfId="0">
      <alignment vertical="bottom"/>
    </xf>
    <xf numFmtId="170" fontId="8" fillId="4" borderId="21" applyAlignment="1" pivotButton="0" quotePrefix="0" xfId="0">
      <alignment horizontal="left" vertical="bottom" wrapText="1"/>
    </xf>
    <xf numFmtId="49" fontId="9" fillId="7" borderId="20" applyAlignment="1" pivotButton="0" quotePrefix="0" xfId="0">
      <alignment horizontal="center" vertical="bottom"/>
    </xf>
    <xf numFmtId="170" fontId="19" fillId="4" borderId="21" applyAlignment="1" pivotButton="0" quotePrefix="0" xfId="0">
      <alignment vertical="bottom"/>
    </xf>
    <xf numFmtId="49" fontId="19" fillId="4" borderId="20" applyAlignment="1" pivotButton="0" quotePrefix="0" xfId="0">
      <alignment horizontal="left" vertical="bottom"/>
    </xf>
    <xf numFmtId="0" fontId="19" fillId="4" borderId="20" applyAlignment="1" pivotButton="0" quotePrefix="0" xfId="0">
      <alignment horizontal="left" vertical="bottom"/>
    </xf>
    <xf numFmtId="164" fontId="10" fillId="4" borderId="22" applyAlignment="1" pivotButton="0" quotePrefix="0" xfId="0">
      <alignment vertical="bottom"/>
    </xf>
    <xf numFmtId="0" fontId="8" fillId="4" borderId="21" applyAlignment="1" pivotButton="0" quotePrefix="0" xfId="0">
      <alignment horizontal="left" vertical="bottom"/>
    </xf>
    <xf numFmtId="164" fontId="8" fillId="4" borderId="20" applyAlignment="1" pivotButton="0" quotePrefix="0" xfId="0">
      <alignment vertical="bottom"/>
    </xf>
    <xf numFmtId="164" fontId="8" fillId="4" borderId="14" applyAlignment="1" pivotButton="0" quotePrefix="0" xfId="0">
      <alignment vertical="bottom"/>
    </xf>
    <xf numFmtId="172" fontId="12" fillId="7" borderId="21" applyAlignment="1" pivotButton="0" quotePrefix="0" xfId="0">
      <alignment horizontal="right" vertical="bottom"/>
    </xf>
    <xf numFmtId="164" fontId="10" fillId="4" borderId="14" applyAlignment="1" pivotButton="0" quotePrefix="0" xfId="0">
      <alignment vertical="bottom"/>
    </xf>
    <xf numFmtId="164" fontId="12" fillId="4" borderId="23" applyAlignment="1" pivotButton="0" quotePrefix="0" xfId="0">
      <alignment vertical="bottom"/>
    </xf>
    <xf numFmtId="172" fontId="12" fillId="4" borderId="24" applyAlignment="1" pivotButton="0" quotePrefix="0" xfId="0">
      <alignment horizontal="right" vertical="bottom"/>
    </xf>
    <xf numFmtId="164" fontId="10" fillId="4" borderId="26" applyAlignment="1" pivotButton="0" quotePrefix="0" xfId="0">
      <alignment vertical="bottom"/>
    </xf>
    <xf numFmtId="166" fontId="0" fillId="4" borderId="26" applyAlignment="1" pivotButton="0" quotePrefix="0" xfId="0">
      <alignment vertical="bottom"/>
    </xf>
    <xf numFmtId="0" fontId="10" fillId="4" borderId="23" applyAlignment="1" pivotButton="0" quotePrefix="0" xfId="0">
      <alignment vertical="bottom"/>
    </xf>
    <xf numFmtId="168" fontId="8" fillId="4" borderId="10" applyAlignment="1" pivotButton="0" quotePrefix="0" xfId="0">
      <alignment vertical="bottom"/>
    </xf>
    <xf numFmtId="49" fontId="21" fillId="4" borderId="7" applyAlignment="1" pivotButton="0" quotePrefix="0" xfId="0">
      <alignment horizontal="left" vertical="bottom"/>
    </xf>
    <xf numFmtId="175" fontId="8" fillId="4" borderId="7" applyAlignment="1" pivotButton="0" quotePrefix="0" xfId="0">
      <alignment vertical="bottom"/>
    </xf>
    <xf numFmtId="175" fontId="8" fillId="4" borderId="8" applyAlignment="1" pivotButton="0" quotePrefix="0" xfId="0">
      <alignment vertical="bottom"/>
    </xf>
    <xf numFmtId="175" fontId="0" fillId="4" borderId="9" applyAlignment="1" pivotButton="0" quotePrefix="0" xfId="0">
      <alignment vertical="bottom"/>
    </xf>
    <xf numFmtId="175" fontId="8" fillId="4" borderId="10" applyAlignment="1" pivotButton="0" quotePrefix="0" xfId="0">
      <alignment vertical="bottom"/>
    </xf>
    <xf numFmtId="175" fontId="0" fillId="4" borderId="8" applyAlignment="1" pivotButton="0" quotePrefix="0" xfId="0">
      <alignment vertical="bottom"/>
    </xf>
    <xf numFmtId="175" fontId="0" fillId="4" borderId="10" applyAlignment="1" pivotButton="0" quotePrefix="0" xfId="0">
      <alignment vertical="bottom"/>
    </xf>
    <xf numFmtId="175" fontId="0" fillId="4" borderId="21" applyAlignment="1" pivotButton="0" quotePrefix="0" xfId="0">
      <alignment vertical="bottom"/>
    </xf>
    <xf numFmtId="175" fontId="0" fillId="4" borderId="7" applyAlignment="1" pivotButton="0" quotePrefix="0" xfId="0">
      <alignment vertical="bottom"/>
    </xf>
    <xf numFmtId="170" fontId="12" fillId="9" borderId="7" applyAlignment="1" pivotButton="0" quotePrefix="0" xfId="0">
      <alignment vertical="bottom"/>
    </xf>
    <xf numFmtId="170" fontId="12" fillId="9" borderId="10" applyAlignment="1" pivotButton="0" quotePrefix="0" xfId="0">
      <alignment vertical="bottom"/>
    </xf>
    <xf numFmtId="170" fontId="12" fillId="9" borderId="8" applyAlignment="1" pivotButton="0" quotePrefix="0" xfId="0">
      <alignment vertical="bottom"/>
    </xf>
    <xf numFmtId="175" fontId="9" fillId="4" borderId="7" applyAlignment="1" pivotButton="0" quotePrefix="0" xfId="0">
      <alignment vertical="bottom"/>
    </xf>
    <xf numFmtId="175" fontId="9" fillId="4" borderId="8" applyAlignment="1" pivotButton="0" quotePrefix="0" xfId="0">
      <alignment vertical="bottom"/>
    </xf>
    <xf numFmtId="2" fontId="0" fillId="4" borderId="9" applyAlignment="1" pivotButton="0" quotePrefix="0" xfId="0">
      <alignment vertical="bottom"/>
    </xf>
    <xf numFmtId="2" fontId="0" fillId="4" borderId="8" applyAlignment="1" pivotButton="0" quotePrefix="0" xfId="0">
      <alignment vertical="bottom"/>
    </xf>
    <xf numFmtId="2" fontId="0" fillId="4" borderId="10" applyAlignment="1" pivotButton="0" quotePrefix="0" xfId="0">
      <alignment vertical="bottom"/>
    </xf>
    <xf numFmtId="2" fontId="0" fillId="4" borderId="21" applyAlignment="1" pivotButton="0" quotePrefix="0" xfId="0">
      <alignment vertical="bottom"/>
    </xf>
    <xf numFmtId="164" fontId="21" fillId="4" borderId="7" applyAlignment="1" pivotButton="0" quotePrefix="0" xfId="0">
      <alignment vertical="bottom"/>
    </xf>
    <xf numFmtId="164" fontId="21" fillId="4" borderId="8" applyAlignment="1" pivotButton="0" quotePrefix="0" xfId="0">
      <alignment vertical="bottom"/>
    </xf>
    <xf numFmtId="164" fontId="21" fillId="4" borderId="9" applyAlignment="1" pivotButton="0" quotePrefix="0" xfId="0">
      <alignment vertical="bottom"/>
    </xf>
    <xf numFmtId="164" fontId="21" fillId="4" borderId="10" applyAlignment="1" pivotButton="0" quotePrefix="0" xfId="0">
      <alignment vertical="bottom"/>
    </xf>
    <xf numFmtId="0" fontId="21" fillId="4" borderId="21" applyAlignment="1" pivotButton="0" quotePrefix="0" xfId="0">
      <alignment vertical="bottom"/>
    </xf>
    <xf numFmtId="164" fontId="21" fillId="10" borderId="7" applyAlignment="1" pivotButton="0" quotePrefix="0" xfId="0">
      <alignment vertical="bottom"/>
    </xf>
    <xf numFmtId="164" fontId="12" fillId="4" borderId="8" applyAlignment="1" pivotButton="0" quotePrefix="0" xfId="0">
      <alignment vertical="bottom"/>
    </xf>
    <xf numFmtId="0" fontId="21" fillId="10" borderId="9" applyAlignment="1" pivotButton="0" quotePrefix="0" xfId="0">
      <alignment vertical="bottom"/>
    </xf>
    <xf numFmtId="164" fontId="21" fillId="10" borderId="10" applyAlignment="1" pivotButton="0" quotePrefix="0" xfId="0">
      <alignment vertical="bottom"/>
    </xf>
    <xf numFmtId="0" fontId="21" fillId="10" borderId="8" applyAlignment="1" pivotButton="0" quotePrefix="0" xfId="0">
      <alignment vertical="bottom"/>
    </xf>
    <xf numFmtId="0" fontId="21" fillId="10" borderId="10" applyAlignment="1" pivotButton="0" quotePrefix="0" xfId="0">
      <alignment vertical="bottom"/>
    </xf>
    <xf numFmtId="0" fontId="21" fillId="10" borderId="21" applyAlignment="1" pivotButton="0" quotePrefix="0" xfId="0">
      <alignment vertical="bottom"/>
    </xf>
    <xf numFmtId="170" fontId="10" fillId="4" borderId="7" applyAlignment="1" pivotButton="0" quotePrefix="0" xfId="0">
      <alignment horizontal="left" vertical="bottom"/>
    </xf>
    <xf numFmtId="49" fontId="12" fillId="4" borderId="16" applyAlignment="1" pivotButton="0" quotePrefix="0" xfId="0">
      <alignment vertical="bottom"/>
    </xf>
    <xf numFmtId="164" fontId="12" fillId="4" borderId="17" applyAlignment="1" pivotButton="0" quotePrefix="0" xfId="0">
      <alignment vertical="bottom"/>
    </xf>
    <xf numFmtId="164" fontId="12" fillId="4" borderId="18" applyAlignment="1" pivotButton="0" quotePrefix="0" xfId="0">
      <alignment vertical="bottom"/>
    </xf>
    <xf numFmtId="164" fontId="0" fillId="9" borderId="18" applyAlignment="1" pivotButton="0" quotePrefix="0" xfId="0">
      <alignment vertical="bottom"/>
    </xf>
    <xf numFmtId="164" fontId="0" fillId="9" borderId="19" applyAlignment="1" pivotButton="0" quotePrefix="0" xfId="0">
      <alignment vertical="bottom"/>
    </xf>
    <xf numFmtId="164" fontId="0" fillId="9" borderId="16" applyAlignment="1" pivotButton="0" quotePrefix="0" xfId="0">
      <alignment vertical="bottom"/>
    </xf>
    <xf numFmtId="168" fontId="0" fillId="4" borderId="22" applyAlignment="1" pivotButton="0" quotePrefix="0" xfId="0">
      <alignment vertical="bottom"/>
    </xf>
    <xf numFmtId="2" fontId="6" fillId="4" borderId="21" applyAlignment="1" pivotButton="0" quotePrefix="0" xfId="0">
      <alignment vertical="bottom"/>
    </xf>
    <xf numFmtId="171" fontId="8" fillId="4" borderId="21" applyAlignment="1" pivotButton="0" quotePrefix="0" xfId="0">
      <alignment vertical="bottom"/>
    </xf>
    <xf numFmtId="9" fontId="17" fillId="4" borderId="14" applyAlignment="1" pivotButton="0" quotePrefix="0" xfId="0">
      <alignment vertical="bottom"/>
    </xf>
    <xf numFmtId="171" fontId="8" fillId="6" borderId="14" applyAlignment="1" pivotButton="0" quotePrefix="0" xfId="0">
      <alignment vertical="bottom"/>
    </xf>
    <xf numFmtId="171" fontId="8" fillId="6" borderId="20" applyAlignment="1" pivotButton="0" quotePrefix="0" xfId="0">
      <alignment vertical="bottom"/>
    </xf>
    <xf numFmtId="171" fontId="8" fillId="6" borderId="22" applyAlignment="1" pivotButton="0" quotePrefix="0" xfId="0">
      <alignment vertical="bottom"/>
    </xf>
    <xf numFmtId="169" fontId="0" fillId="4" borderId="21" applyAlignment="1" pivotButton="0" quotePrefix="0" xfId="0">
      <alignment vertical="bottom"/>
    </xf>
    <xf numFmtId="171" fontId="8" fillId="6" borderId="21" applyAlignment="1" pivotButton="0" quotePrefix="0" xfId="0">
      <alignment vertical="bottom"/>
    </xf>
    <xf numFmtId="169" fontId="0" fillId="4" borderId="23" applyAlignment="1" pivotButton="0" quotePrefix="0" xfId="0">
      <alignment vertical="bottom"/>
    </xf>
    <xf numFmtId="171" fontId="0" fillId="4" borderId="8" applyAlignment="1" pivotButton="0" quotePrefix="0" xfId="0">
      <alignment vertical="bottom"/>
    </xf>
    <xf numFmtId="171" fontId="0" fillId="4" borderId="10" applyAlignment="1" pivotButton="0" quotePrefix="0" xfId="0">
      <alignment vertical="bottom"/>
    </xf>
    <xf numFmtId="169" fontId="8" fillId="4" borderId="7" applyAlignment="1" pivotButton="0" quotePrefix="0" xfId="0">
      <alignment vertical="bottom"/>
    </xf>
    <xf numFmtId="171" fontId="8" fillId="4" borderId="7" applyAlignment="1" pivotButton="0" quotePrefix="0" xfId="0">
      <alignment vertical="bottom"/>
    </xf>
    <xf numFmtId="171" fontId="8" fillId="4" borderId="8" applyAlignment="1" pivotButton="0" quotePrefix="0" xfId="0">
      <alignment vertical="bottom"/>
    </xf>
    <xf numFmtId="171" fontId="8" fillId="4" borderId="9" applyAlignment="1" pivotButton="0" quotePrefix="0" xfId="0">
      <alignment vertical="bottom"/>
    </xf>
    <xf numFmtId="169" fontId="8" fillId="4" borderId="10" applyAlignment="1" pivotButton="0" quotePrefix="0" xfId="0">
      <alignment vertical="bottom"/>
    </xf>
    <xf numFmtId="171" fontId="8" fillId="7" borderId="9" applyAlignment="1" pivotButton="0" quotePrefix="0" xfId="0">
      <alignment vertical="bottom"/>
    </xf>
    <xf numFmtId="2" fontId="8" fillId="4" borderId="14" applyAlignment="1" pivotButton="0" quotePrefix="0" xfId="0">
      <alignment vertical="bottom"/>
    </xf>
    <xf numFmtId="170" fontId="8" fillId="4" borderId="16" applyAlignment="1" pivotButton="0" quotePrefix="0" xfId="0">
      <alignment vertical="bottom"/>
    </xf>
    <xf numFmtId="170" fontId="8" fillId="7" borderId="16" applyAlignment="1" pivotButton="0" quotePrefix="0" xfId="0">
      <alignment vertical="bottom"/>
    </xf>
    <xf numFmtId="170" fontId="8" fillId="4" borderId="17" applyAlignment="1" pivotButton="0" quotePrefix="0" xfId="0">
      <alignment vertical="bottom"/>
    </xf>
    <xf numFmtId="170" fontId="8" fillId="4" borderId="18" applyAlignment="1" pivotButton="0" quotePrefix="0" xfId="0">
      <alignment vertical="bottom"/>
    </xf>
    <xf numFmtId="170" fontId="8" fillId="7" borderId="18" applyAlignment="1" pivotButton="0" quotePrefix="0" xfId="0">
      <alignment vertical="bottom"/>
    </xf>
    <xf numFmtId="170" fontId="8" fillId="4" borderId="19" applyAlignment="1" pivotButton="0" quotePrefix="0" xfId="0">
      <alignment vertical="bottom"/>
    </xf>
    <xf numFmtId="170" fontId="8" fillId="7" borderId="19" applyAlignment="1" pivotButton="0" quotePrefix="0" xfId="0">
      <alignment vertical="bottom"/>
    </xf>
    <xf numFmtId="9" fontId="9" fillId="4" borderId="20" applyAlignment="1" pivotButton="0" quotePrefix="0" xfId="0">
      <alignment horizontal="center" vertical="bottom"/>
    </xf>
    <xf numFmtId="170" fontId="16" fillId="7" borderId="20" applyAlignment="1" pivotButton="0" quotePrefix="0" xfId="0">
      <alignment vertical="bottom"/>
    </xf>
    <xf numFmtId="170" fontId="16" fillId="7" borderId="14" applyAlignment="1" pivotButton="0" quotePrefix="0" xfId="0">
      <alignment vertical="bottom"/>
    </xf>
    <xf numFmtId="170" fontId="21" fillId="4" borderId="21" applyAlignment="1" pivotButton="0" quotePrefix="0" xfId="0">
      <alignment horizontal="right" vertical="bottom" wrapText="1"/>
    </xf>
    <xf numFmtId="9" fontId="18" fillId="4" borderId="20" applyAlignment="1" pivotButton="0" quotePrefix="0" xfId="0">
      <alignment horizontal="center" vertical="bottom"/>
    </xf>
    <xf numFmtId="170" fontId="7" fillId="7" borderId="21" applyAlignment="1" pivotButton="0" quotePrefix="0" xfId="0">
      <alignment vertical="bottom"/>
    </xf>
    <xf numFmtId="0" fontId="0" fillId="7" borderId="21" applyAlignment="1" pivotButton="0" quotePrefix="0" xfId="0">
      <alignment vertical="bottom"/>
    </xf>
    <xf numFmtId="0" fontId="6" fillId="4" borderId="21" applyAlignment="1" pivotButton="0" quotePrefix="0" xfId="0">
      <alignment horizontal="left" vertical="bottom"/>
    </xf>
    <xf numFmtId="171" fontId="12" fillId="4" borderId="21" applyAlignment="1" pivotButton="0" quotePrefix="0" xfId="0">
      <alignment vertical="bottom"/>
    </xf>
    <xf numFmtId="171" fontId="12" fillId="4" borderId="20" applyAlignment="1" pivotButton="0" quotePrefix="0" xfId="0">
      <alignment vertical="bottom"/>
    </xf>
    <xf numFmtId="171" fontId="12" fillId="4" borderId="14" applyAlignment="1" pivotButton="0" quotePrefix="0" xfId="0">
      <alignment vertical="bottom"/>
    </xf>
    <xf numFmtId="171" fontId="0" fillId="4" borderId="22" applyAlignment="1" pivotButton="0" quotePrefix="0" xfId="0">
      <alignment vertical="bottom"/>
    </xf>
    <xf numFmtId="171" fontId="0" fillId="4" borderId="14" applyAlignment="1" pivotButton="0" quotePrefix="0" xfId="0">
      <alignment vertical="bottom"/>
    </xf>
    <xf numFmtId="2" fontId="25" fillId="4" borderId="18" applyAlignment="1" pivotButton="0" quotePrefix="0" xfId="0">
      <alignment vertical="bottom"/>
    </xf>
    <xf numFmtId="170" fontId="25" fillId="4" borderId="18" applyAlignment="1" pivotButton="0" quotePrefix="0" xfId="0">
      <alignment vertical="bottom"/>
    </xf>
    <xf numFmtId="164" fontId="0" fillId="7" borderId="21" applyAlignment="1" pivotButton="0" quotePrefix="0" xfId="0">
      <alignment vertical="bottom"/>
    </xf>
    <xf numFmtId="164" fontId="10" fillId="4" borderId="16" applyAlignment="1" pivotButton="0" quotePrefix="0" xfId="0">
      <alignment vertical="bottom"/>
    </xf>
    <xf numFmtId="164" fontId="10" fillId="4" borderId="19" applyAlignment="1" pivotButton="0" quotePrefix="0" xfId="0">
      <alignment vertical="bottom"/>
    </xf>
    <xf numFmtId="164" fontId="12" fillId="9" borderId="16" applyAlignment="1" pivotButton="0" quotePrefix="0" xfId="0">
      <alignment vertical="bottom"/>
    </xf>
    <xf numFmtId="0" fontId="10" fillId="4" borderId="16" applyAlignment="1" pivotButton="0" quotePrefix="0" xfId="0">
      <alignment vertical="bottom"/>
    </xf>
    <xf numFmtId="9" fontId="8" fillId="4" borderId="21" applyAlignment="1" pivotButton="0" quotePrefix="0" xfId="0">
      <alignment horizontal="right" vertical="bottom"/>
    </xf>
    <xf numFmtId="0" fontId="12" fillId="4" borderId="20" applyAlignment="1" pivotButton="0" quotePrefix="0" xfId="0">
      <alignment vertical="bottom"/>
    </xf>
    <xf numFmtId="172" fontId="12" fillId="7" borderId="23" applyAlignment="1" pivotButton="0" quotePrefix="0" xfId="0">
      <alignment horizontal="right" vertical="bottom"/>
    </xf>
    <xf numFmtId="164" fontId="12" fillId="4" borderId="25" applyAlignment="1" pivotButton="0" quotePrefix="0" xfId="0">
      <alignment vertical="bottom"/>
    </xf>
    <xf numFmtId="172" fontId="12" fillId="4" borderId="26" applyAlignment="1" pivotButton="0" quotePrefix="0" xfId="0">
      <alignment horizontal="right" vertical="bottom"/>
    </xf>
    <xf numFmtId="164" fontId="0" fillId="4" borderId="8" applyAlignment="1" pivotButton="0" quotePrefix="0" xfId="0">
      <alignment vertical="bottom"/>
    </xf>
    <xf numFmtId="0" fontId="10" fillId="4" borderId="20" applyAlignment="1" pivotButton="0" quotePrefix="0" xfId="0">
      <alignment vertical="bottom"/>
    </xf>
    <xf numFmtId="0" fontId="10" fillId="4" borderId="22" applyAlignment="1" pivotButton="0" quotePrefix="0" xfId="0">
      <alignment vertical="bottom"/>
    </xf>
    <xf numFmtId="170" fontId="0" fillId="9" borderId="22" applyAlignment="1" pivotButton="0" quotePrefix="0" xfId="0">
      <alignment vertical="bottom"/>
    </xf>
    <xf numFmtId="170" fontId="0" fillId="9" borderId="21" applyAlignment="1" pivotButton="0" quotePrefix="0" xfId="0">
      <alignment vertical="bottom"/>
    </xf>
    <xf numFmtId="0" fontId="8" fillId="4" borderId="21" applyAlignment="1" pivotButton="0" quotePrefix="0" xfId="0">
      <alignment vertical="bottom" wrapText="1"/>
    </xf>
    <xf numFmtId="166" fontId="9" fillId="4" borderId="14" applyAlignment="1" pivotButton="0" quotePrefix="0" xfId="0">
      <alignment vertical="bottom"/>
    </xf>
    <xf numFmtId="166" fontId="9" fillId="4" borderId="21" applyAlignment="1" pivotButton="0" quotePrefix="0" xfId="0">
      <alignment vertical="bottom"/>
    </xf>
    <xf numFmtId="0" fontId="10" fillId="4" borderId="21" applyAlignment="1" pivotButton="0" quotePrefix="0" xfId="0">
      <alignment horizontal="left" vertical="bottom" wrapText="1"/>
    </xf>
    <xf numFmtId="164" fontId="0" fillId="4" borderId="23" applyAlignment="1" pivotButton="0" quotePrefix="0" xfId="0">
      <alignment vertical="bottom"/>
    </xf>
    <xf numFmtId="164" fontId="0" fillId="4" borderId="24" applyAlignment="1" pivotButton="0" quotePrefix="0" xfId="0">
      <alignment vertical="bottom"/>
    </xf>
    <xf numFmtId="164" fontId="0" fillId="4" borderId="25" applyAlignment="1" pivotButton="0" quotePrefix="0" xfId="0">
      <alignment vertical="bottom"/>
    </xf>
    <xf numFmtId="164" fontId="0" fillId="4" borderId="26" applyAlignment="1" pivotButton="0" quotePrefix="0" xfId="0">
      <alignment vertical="bottom"/>
    </xf>
    <xf numFmtId="1" fontId="12" fillId="4" borderId="20" applyAlignment="1" pivotButton="0" quotePrefix="0" xfId="0">
      <alignment vertical="bottom"/>
    </xf>
    <xf numFmtId="171" fontId="0" fillId="4" borderId="9" applyAlignment="1" pivotButton="0" quotePrefix="0" xfId="0">
      <alignment vertical="bottom"/>
    </xf>
    <xf numFmtId="49" fontId="10" fillId="4" borderId="18" applyAlignment="1" pivotButton="0" quotePrefix="0" xfId="0">
      <alignment vertical="bottom"/>
    </xf>
    <xf numFmtId="171" fontId="0" fillId="4" borderId="18" applyAlignment="1" pivotButton="0" quotePrefix="0" xfId="0">
      <alignment vertical="bottom"/>
    </xf>
    <xf numFmtId="9" fontId="10" fillId="4" borderId="18" applyAlignment="1" pivotButton="0" quotePrefix="0" xfId="0">
      <alignment vertical="bottom"/>
    </xf>
    <xf numFmtId="9" fontId="10" fillId="4" borderId="19" applyAlignment="1" pivotButton="0" quotePrefix="0" xfId="0">
      <alignment vertical="bottom"/>
    </xf>
    <xf numFmtId="9" fontId="10" fillId="4" borderId="16" applyAlignment="1" pivotButton="0" quotePrefix="0" xfId="0">
      <alignment vertical="bottom"/>
    </xf>
    <xf numFmtId="9" fontId="10" fillId="4" borderId="17" applyAlignment="1" pivotButton="0" quotePrefix="0" xfId="0">
      <alignment vertical="bottom"/>
    </xf>
    <xf numFmtId="170" fontId="7" fillId="4" borderId="25" applyAlignment="1" pivotButton="0" quotePrefix="0" xfId="0">
      <alignment vertical="bottom"/>
    </xf>
    <xf numFmtId="1" fontId="0" fillId="4" borderId="21" applyAlignment="1" pivotButton="0" quotePrefix="0" xfId="0">
      <alignment vertical="bottom"/>
    </xf>
    <xf numFmtId="0" fontId="0" fillId="4" borderId="21" applyAlignment="1" pivotButton="0" quotePrefix="0" xfId="0">
      <alignment vertical="bottom"/>
    </xf>
    <xf numFmtId="9" fontId="10" fillId="4" borderId="21" applyAlignment="1" pivotButton="0" quotePrefix="0" xfId="0">
      <alignment horizontal="left" vertical="bottom"/>
    </xf>
    <xf numFmtId="0" fontId="0" fillId="4" borderId="14" applyAlignment="1" pivotButton="0" quotePrefix="0" xfId="0">
      <alignment vertical="bottom"/>
    </xf>
    <xf numFmtId="10" fontId="0" fillId="4" borderId="20" applyAlignment="1" pivotButton="0" quotePrefix="0" xfId="0">
      <alignment vertical="bottom"/>
    </xf>
    <xf numFmtId="10" fontId="0" fillId="4" borderId="14" applyAlignment="1" pivotButton="0" quotePrefix="0" xfId="0">
      <alignment vertical="bottom"/>
    </xf>
    <xf numFmtId="0" fontId="8" fillId="4" borderId="20" applyAlignment="1" pivotButton="0" quotePrefix="0" xfId="0">
      <alignment vertical="bottom"/>
    </xf>
    <xf numFmtId="0" fontId="8" fillId="4" borderId="14" applyAlignment="1" pivotButton="0" quotePrefix="0" xfId="0">
      <alignment vertical="bottom"/>
    </xf>
    <xf numFmtId="164" fontId="21" fillId="4" borderId="21" applyAlignment="1" pivotButton="0" quotePrefix="0" xfId="0">
      <alignment vertical="bottom"/>
    </xf>
    <xf numFmtId="0" fontId="21" fillId="4" borderId="20" applyAlignment="1" pivotButton="0" quotePrefix="0" xfId="0">
      <alignment vertical="bottom"/>
    </xf>
    <xf numFmtId="0" fontId="21" fillId="6" borderId="21" applyAlignment="1" pivotButton="0" quotePrefix="0" xfId="0">
      <alignment vertical="bottom"/>
    </xf>
    <xf numFmtId="164" fontId="12" fillId="9" borderId="26" applyAlignment="1" pivotButton="0" quotePrefix="0" xfId="0">
      <alignment vertical="bottom"/>
    </xf>
    <xf numFmtId="0" fontId="8" fillId="4" borderId="9" applyAlignment="1" pivotButton="0" quotePrefix="0" xfId="0">
      <alignment vertical="bottom"/>
    </xf>
    <xf numFmtId="0" fontId="8" fillId="4" borderId="7" applyAlignment="1" pivotButton="0" quotePrefix="0" xfId="0">
      <alignment vertical="bottom"/>
    </xf>
    <xf numFmtId="0" fontId="8" fillId="4" borderId="7" applyAlignment="1" pivotButton="0" quotePrefix="0" xfId="0">
      <alignment horizontal="left" vertical="bottom"/>
    </xf>
    <xf numFmtId="1" fontId="0" fillId="4" borderId="20" applyAlignment="1" pivotButton="0" quotePrefix="0" xfId="0">
      <alignment vertical="bottom"/>
    </xf>
    <xf numFmtId="0" fontId="8" fillId="4" borderId="16" applyAlignment="1" pivotButton="0" quotePrefix="0" xfId="0">
      <alignment vertical="bottom"/>
    </xf>
    <xf numFmtId="164" fontId="9" fillId="4" borderId="16" applyAlignment="1" pivotButton="0" quotePrefix="0" xfId="0">
      <alignment vertical="bottom"/>
    </xf>
    <xf numFmtId="168" fontId="8" fillId="4" borderId="16" applyAlignment="1" pivotButton="0" quotePrefix="0" xfId="0">
      <alignment vertical="bottom"/>
    </xf>
    <xf numFmtId="0" fontId="8" fillId="4" borderId="18" applyAlignment="1" pivotButton="0" quotePrefix="0" xfId="0">
      <alignment vertical="bottom"/>
    </xf>
    <xf numFmtId="9" fontId="8" fillId="4" borderId="16" applyAlignment="1" pivotButton="0" quotePrefix="0" xfId="0">
      <alignment vertical="bottom"/>
    </xf>
    <xf numFmtId="173" fontId="0" fillId="4" borderId="23" applyAlignment="1" pivotButton="0" quotePrefix="0" xfId="0">
      <alignment vertical="bottom"/>
    </xf>
    <xf numFmtId="173" fontId="0" fillId="4" borderId="24" applyAlignment="1" pivotButton="0" quotePrefix="0" xfId="0">
      <alignment vertical="bottom"/>
    </xf>
    <xf numFmtId="173" fontId="0" fillId="4" borderId="25" applyAlignment="1" pivotButton="0" quotePrefix="0" xfId="0">
      <alignment vertical="bottom"/>
    </xf>
    <xf numFmtId="173" fontId="0" fillId="4" borderId="26" applyAlignment="1" pivotButton="0" quotePrefix="0" xfId="0">
      <alignment vertical="bottom"/>
    </xf>
    <xf numFmtId="0" fontId="0" fillId="4" borderId="23" applyAlignment="1" pivotButton="0" quotePrefix="0" xfId="0">
      <alignment vertical="bottom" wrapText="1"/>
    </xf>
    <xf numFmtId="9" fontId="8" fillId="4" borderId="7" applyAlignment="1" pivotButton="0" quotePrefix="0" xfId="0">
      <alignment horizontal="left" vertical="bottom"/>
    </xf>
    <xf numFmtId="0" fontId="10" fillId="4" borderId="16" applyAlignment="1" pivotButton="0" quotePrefix="0" xfId="0">
      <alignment vertical="bottom" wrapText="1"/>
    </xf>
    <xf numFmtId="49" fontId="8" fillId="11" borderId="21" applyAlignment="1" pivotButton="0" quotePrefix="0" xfId="0">
      <alignment horizontal="left" vertical="bottom"/>
    </xf>
    <xf numFmtId="0" fontId="8" fillId="11" borderId="21" applyAlignment="1" pivotButton="0" quotePrefix="0" xfId="0">
      <alignment vertical="bottom"/>
    </xf>
    <xf numFmtId="9" fontId="8" fillId="11" borderId="21" applyAlignment="1" pivotButton="0" quotePrefix="0" xfId="0">
      <alignment vertical="bottom"/>
    </xf>
    <xf numFmtId="9" fontId="8" fillId="11" borderId="20" applyAlignment="1" pivotButton="0" quotePrefix="0" xfId="0">
      <alignment vertical="bottom"/>
    </xf>
    <xf numFmtId="9" fontId="8" fillId="11" borderId="14" applyAlignment="1" pivotButton="0" quotePrefix="0" xfId="0">
      <alignment vertical="bottom"/>
    </xf>
    <xf numFmtId="9" fontId="8" fillId="11" borderId="22" applyAlignment="1" pivotButton="0" quotePrefix="0" xfId="0">
      <alignment vertical="bottom"/>
    </xf>
    <xf numFmtId="0" fontId="8" fillId="11" borderId="14" applyAlignment="1" pivotButton="0" quotePrefix="0" xfId="0">
      <alignment vertical="bottom"/>
    </xf>
    <xf numFmtId="9" fontId="8" fillId="4" borderId="21" applyAlignment="1" pivotButton="0" quotePrefix="0" xfId="0">
      <alignment vertical="bottom"/>
    </xf>
    <xf numFmtId="171" fontId="8" fillId="4" borderId="20" applyAlignment="1" pivotButton="0" quotePrefix="0" xfId="0">
      <alignment vertical="bottom"/>
    </xf>
    <xf numFmtId="171" fontId="8" fillId="4" borderId="14" applyAlignment="1" pivotButton="0" quotePrefix="0" xfId="0">
      <alignment vertical="bottom"/>
    </xf>
    <xf numFmtId="171" fontId="8" fillId="4" borderId="22" applyAlignment="1" pivotButton="0" quotePrefix="0" xfId="0">
      <alignment vertical="bottom"/>
    </xf>
    <xf numFmtId="0" fontId="8" fillId="7" borderId="21" applyAlignment="1" pivotButton="0" quotePrefix="0" xfId="0">
      <alignment vertical="bottom"/>
    </xf>
    <xf numFmtId="49" fontId="12" fillId="4" borderId="23" applyAlignment="1" pivotButton="0" quotePrefix="0" xfId="0">
      <alignment vertical="bottom"/>
    </xf>
    <xf numFmtId="9" fontId="12" fillId="4" borderId="23" applyAlignment="1" pivotButton="0" quotePrefix="0" xfId="0">
      <alignment vertical="bottom"/>
    </xf>
    <xf numFmtId="164" fontId="12" fillId="9" borderId="10" applyAlignment="1" pivotButton="0" quotePrefix="0" xfId="0">
      <alignment vertical="bottom"/>
    </xf>
    <xf numFmtId="164" fontId="12" fillId="9" borderId="7" applyAlignment="1" pivotButton="0" quotePrefix="0" xfId="0">
      <alignment vertical="bottom"/>
    </xf>
    <xf numFmtId="0" fontId="8" fillId="4" borderId="8" applyAlignment="1" pivotButton="0" quotePrefix="0" xfId="0">
      <alignment vertical="bottom"/>
    </xf>
    <xf numFmtId="164" fontId="0" fillId="4" borderId="18" applyAlignment="1" pivotButton="0" quotePrefix="0" xfId="0">
      <alignment vertical="bottom"/>
    </xf>
    <xf numFmtId="164" fontId="0" fillId="4" borderId="19" applyAlignment="1" pivotButton="0" quotePrefix="0" xfId="0">
      <alignment vertical="bottom"/>
    </xf>
    <xf numFmtId="164" fontId="12" fillId="9" borderId="19" applyAlignment="1" pivotButton="0" quotePrefix="0" xfId="0">
      <alignment vertical="bottom"/>
    </xf>
    <xf numFmtId="0" fontId="0" fillId="4" borderId="16" applyAlignment="1" pivotButton="0" quotePrefix="0" xfId="0">
      <alignment vertical="bottom" wrapText="1"/>
    </xf>
    <xf numFmtId="9" fontId="0" fillId="4" borderId="21" applyAlignment="1" pivotButton="0" quotePrefix="0" xfId="0">
      <alignment vertical="bottom" wrapText="1"/>
    </xf>
    <xf numFmtId="166" fontId="22" fillId="4" borderId="7" applyAlignment="1" pivotButton="0" quotePrefix="0" xfId="0">
      <alignment vertical="bottom"/>
    </xf>
    <xf numFmtId="166" fontId="21" fillId="4" borderId="7" applyAlignment="1" pivotButton="0" quotePrefix="0" xfId="0">
      <alignment vertical="bottom"/>
    </xf>
    <xf numFmtId="164" fontId="14" fillId="4" borderId="7" applyAlignment="1" pivotButton="0" quotePrefix="0" xfId="0">
      <alignment vertical="bottom"/>
    </xf>
    <xf numFmtId="164" fontId="14" fillId="4" borderId="10" applyAlignment="1" pivotButton="0" quotePrefix="0" xfId="0">
      <alignment vertical="bottom"/>
    </xf>
    <xf numFmtId="49" fontId="10" fillId="4" borderId="21" applyAlignment="1" pivotButton="0" quotePrefix="0" xfId="0">
      <alignment vertical="bottom" wrapText="1"/>
    </xf>
    <xf numFmtId="49" fontId="16" fillId="4" borderId="7" applyAlignment="1" pivotButton="0" quotePrefix="0" xfId="0">
      <alignment horizontal="left" vertical="bottom" wrapText="1"/>
    </xf>
    <xf numFmtId="0" fontId="16" fillId="4" borderId="7" applyAlignment="1" pivotButton="0" quotePrefix="0" xfId="0">
      <alignment vertical="bottom"/>
    </xf>
    <xf numFmtId="176" fontId="16" fillId="4" borderId="7" applyAlignment="1" pivotButton="0" quotePrefix="0" xfId="0">
      <alignment vertical="bottom"/>
    </xf>
    <xf numFmtId="164" fontId="16" fillId="4" borderId="7" applyAlignment="1" pivotButton="0" quotePrefix="0" xfId="0">
      <alignment vertical="bottom"/>
    </xf>
    <xf numFmtId="164" fontId="16" fillId="4" borderId="8" applyAlignment="1" pivotButton="0" quotePrefix="0" xfId="0">
      <alignment vertical="bottom"/>
    </xf>
    <xf numFmtId="164" fontId="16" fillId="4" borderId="9" applyAlignment="1" pivotButton="0" quotePrefix="0" xfId="0">
      <alignment vertical="bottom"/>
    </xf>
    <xf numFmtId="164" fontId="16" fillId="4" borderId="10" applyAlignment="1" pivotButton="0" quotePrefix="0" xfId="0">
      <alignment vertical="bottom"/>
    </xf>
    <xf numFmtId="9" fontId="10" fillId="4" borderId="7" applyAlignment="1" pivotButton="0" quotePrefix="0" xfId="0">
      <alignment vertical="bottom"/>
    </xf>
    <xf numFmtId="9" fontId="10" fillId="4" borderId="10" applyAlignment="1" pivotButton="0" quotePrefix="0" xfId="0">
      <alignment vertical="bottom"/>
    </xf>
    <xf numFmtId="0" fontId="7" fillId="4" borderId="7" applyAlignment="1" pivotButton="0" quotePrefix="0" xfId="0">
      <alignment vertical="bottom"/>
    </xf>
    <xf numFmtId="49" fontId="12" fillId="4" borderId="7" applyAlignment="1" pivotButton="0" quotePrefix="0" xfId="0">
      <alignment vertical="bottom"/>
    </xf>
    <xf numFmtId="164" fontId="0" fillId="11" borderId="21" applyAlignment="1" pivotButton="0" quotePrefix="0" xfId="0">
      <alignment vertical="bottom"/>
    </xf>
    <xf numFmtId="49" fontId="25" fillId="4" borderId="7" applyAlignment="1" pivotButton="0" quotePrefix="0" xfId="0">
      <alignment vertical="bottom"/>
    </xf>
    <xf numFmtId="164" fontId="16" fillId="4" borderId="21" applyAlignment="1" pivotButton="0" quotePrefix="0" xfId="0">
      <alignment vertical="bottom"/>
    </xf>
    <xf numFmtId="164" fontId="16" fillId="7" borderId="21" applyAlignment="1" pivotButton="0" quotePrefix="0" xfId="0">
      <alignment vertical="bottom"/>
    </xf>
    <xf numFmtId="164" fontId="16" fillId="4" borderId="20" applyAlignment="1" pivotButton="0" quotePrefix="0" xfId="0">
      <alignment vertical="bottom"/>
    </xf>
    <xf numFmtId="164" fontId="16" fillId="4" borderId="14" applyAlignment="1" pivotButton="0" quotePrefix="0" xfId="0">
      <alignment vertical="bottom"/>
    </xf>
    <xf numFmtId="164" fontId="16" fillId="4" borderId="22" applyAlignment="1" pivotButton="0" quotePrefix="0" xfId="0">
      <alignment vertical="bottom"/>
    </xf>
    <xf numFmtId="49" fontId="9" fillId="4" borderId="21" applyAlignment="1" pivotButton="0" quotePrefix="0" xfId="0">
      <alignment vertical="bottom"/>
    </xf>
    <xf numFmtId="164" fontId="9" fillId="4" borderId="20" applyAlignment="1" pivotButton="0" quotePrefix="0" xfId="0">
      <alignment vertical="bottom"/>
    </xf>
    <xf numFmtId="164" fontId="9" fillId="4" borderId="22" applyAlignment="1" pivotButton="0" quotePrefix="0" xfId="0">
      <alignment vertical="bottom"/>
    </xf>
    <xf numFmtId="164" fontId="0" fillId="9" borderId="22" applyAlignment="1" pivotButton="0" quotePrefix="0" xfId="0">
      <alignment vertical="bottom"/>
    </xf>
    <xf numFmtId="164" fontId="0" fillId="9" borderId="21" applyAlignment="1" pivotButton="0" quotePrefix="0" xfId="0">
      <alignment vertical="bottom"/>
    </xf>
    <xf numFmtId="170" fontId="0" fillId="4" borderId="21" applyAlignment="1" pivotButton="0" quotePrefix="0" xfId="0">
      <alignment vertical="bottom" wrapText="1"/>
    </xf>
    <xf numFmtId="164" fontId="9" fillId="4" borderId="23" applyAlignment="1" pivotButton="0" quotePrefix="0" xfId="0">
      <alignment vertical="bottom"/>
    </xf>
    <xf numFmtId="49" fontId="8" fillId="11" borderId="21" applyAlignment="1" pivotButton="0" quotePrefix="0" xfId="0">
      <alignment vertical="bottom"/>
    </xf>
    <xf numFmtId="0" fontId="0" fillId="11" borderId="21" applyAlignment="1" pivotButton="0" quotePrefix="0" xfId="0">
      <alignment vertical="bottom"/>
    </xf>
    <xf numFmtId="173" fontId="8" fillId="11" borderId="21" applyAlignment="1" pivotButton="0" quotePrefix="0" xfId="0">
      <alignment vertical="bottom"/>
    </xf>
    <xf numFmtId="173" fontId="8" fillId="11" borderId="20" applyAlignment="1" pivotButton="0" quotePrefix="0" xfId="0">
      <alignment vertical="bottom"/>
    </xf>
    <xf numFmtId="173" fontId="8" fillId="11" borderId="14" applyAlignment="1" pivotButton="0" quotePrefix="0" xfId="0">
      <alignment vertical="bottom"/>
    </xf>
    <xf numFmtId="173" fontId="8" fillId="11" borderId="22" applyAlignment="1" pivotButton="0" quotePrefix="0" xfId="0">
      <alignment vertical="bottom"/>
    </xf>
    <xf numFmtId="0" fontId="0" fillId="11" borderId="14" applyAlignment="1" pivotButton="0" quotePrefix="0" xfId="0">
      <alignment vertical="bottom"/>
    </xf>
    <xf numFmtId="0" fontId="21" fillId="4" borderId="22" applyAlignment="1" pivotButton="0" quotePrefix="0" xfId="0">
      <alignment vertical="bottom"/>
    </xf>
    <xf numFmtId="1" fontId="0" fillId="4" borderId="14" applyAlignment="1" pivotButton="0" quotePrefix="0" xfId="0">
      <alignment vertical="bottom"/>
    </xf>
    <xf numFmtId="1" fontId="0" fillId="4" borderId="22" applyAlignment="1" pivotButton="0" quotePrefix="0" xfId="0">
      <alignment vertical="bottom"/>
    </xf>
    <xf numFmtId="168" fontId="16" fillId="4" borderId="21" applyAlignment="1" pivotButton="0" quotePrefix="0" xfId="0">
      <alignment vertical="bottom"/>
    </xf>
    <xf numFmtId="1" fontId="16" fillId="4" borderId="21" applyAlignment="1" pivotButton="0" quotePrefix="0" xfId="0">
      <alignment vertical="bottom"/>
    </xf>
    <xf numFmtId="1" fontId="16" fillId="4" borderId="20" applyAlignment="1" pivotButton="0" quotePrefix="0" xfId="0">
      <alignment vertical="bottom"/>
    </xf>
    <xf numFmtId="1" fontId="16" fillId="4" borderId="14" applyAlignment="1" pivotButton="0" quotePrefix="0" xfId="0">
      <alignment vertical="bottom"/>
    </xf>
    <xf numFmtId="1" fontId="16" fillId="4" borderId="22" applyAlignment="1" pivotButton="0" quotePrefix="0" xfId="0">
      <alignment vertical="bottom"/>
    </xf>
    <xf numFmtId="173" fontId="16" fillId="4" borderId="21" applyAlignment="1" pivotButton="0" quotePrefix="0" xfId="0">
      <alignment vertical="bottom"/>
    </xf>
    <xf numFmtId="173" fontId="0" fillId="4" borderId="20" applyAlignment="1" pivotButton="0" quotePrefix="0" xfId="0">
      <alignment vertical="bottom"/>
    </xf>
    <xf numFmtId="173" fontId="0" fillId="4" borderId="14" applyAlignment="1" pivotButton="0" quotePrefix="0" xfId="0">
      <alignment vertical="bottom"/>
    </xf>
    <xf numFmtId="49" fontId="21" fillId="4" borderId="21" applyAlignment="1" pivotButton="0" quotePrefix="0" xfId="0">
      <alignment vertical="bottom"/>
    </xf>
    <xf numFmtId="170" fontId="21" fillId="4" borderId="20" applyAlignment="1" pivotButton="0" quotePrefix="0" xfId="0">
      <alignment vertical="bottom"/>
    </xf>
    <xf numFmtId="170" fontId="21" fillId="4" borderId="22" applyAlignment="1" pivotButton="0" quotePrefix="0" xfId="0">
      <alignment vertical="bottom"/>
    </xf>
    <xf numFmtId="170" fontId="18" fillId="9" borderId="22" applyAlignment="1" pivotButton="0" quotePrefix="0" xfId="0">
      <alignment vertical="bottom"/>
    </xf>
    <xf numFmtId="170" fontId="18" fillId="9" borderId="21" applyAlignment="1" pivotButton="0" quotePrefix="0" xfId="0">
      <alignment vertical="bottom"/>
    </xf>
    <xf numFmtId="0" fontId="16" fillId="4" borderId="20" applyAlignment="1" pivotButton="0" quotePrefix="0" xfId="0">
      <alignment vertical="bottom"/>
    </xf>
    <xf numFmtId="0" fontId="16" fillId="4" borderId="14" applyAlignment="1" pivotButton="0" quotePrefix="0" xfId="0">
      <alignment vertical="bottom"/>
    </xf>
    <xf numFmtId="170" fontId="14" fillId="9" borderId="22" applyAlignment="1" pivotButton="0" quotePrefix="0" xfId="0">
      <alignment vertical="bottom"/>
    </xf>
    <xf numFmtId="170" fontId="14" fillId="9" borderId="21" applyAlignment="1" pivotButton="0" quotePrefix="0" xfId="0">
      <alignment vertical="bottom"/>
    </xf>
    <xf numFmtId="0" fontId="0" fillId="4" borderId="23" applyAlignment="1" pivotButton="0" quotePrefix="0" xfId="0">
      <alignment vertical="bottom"/>
    </xf>
    <xf numFmtId="164" fontId="0" fillId="9" borderId="26" applyAlignment="1" pivotButton="0" quotePrefix="0" xfId="0">
      <alignment vertical="bottom"/>
    </xf>
    <xf numFmtId="164" fontId="0" fillId="9" borderId="23" applyAlignment="1" pivotButton="0" quotePrefix="0" xfId="0">
      <alignment vertical="bottom"/>
    </xf>
    <xf numFmtId="0" fontId="8" fillId="4" borderId="8" applyAlignment="1" pivotButton="0" quotePrefix="0" xfId="0">
      <alignment vertical="bottom"/>
    </xf>
    <xf numFmtId="164" fontId="12" fillId="4" borderId="9" applyAlignment="1" pivotButton="0" quotePrefix="0" xfId="0">
      <alignment vertical="bottom"/>
    </xf>
    <xf numFmtId="164" fontId="0" fillId="9" borderId="10" applyAlignment="1" pivotButton="0" quotePrefix="0" xfId="0">
      <alignment vertical="bottom"/>
    </xf>
    <xf numFmtId="164" fontId="0" fillId="9" borderId="7" applyAlignment="1" pivotButton="0" quotePrefix="0" xfId="0">
      <alignment vertical="bottom"/>
    </xf>
    <xf numFmtId="171" fontId="12" fillId="4" borderId="23" applyAlignment="1" pivotButton="0" quotePrefix="0" xfId="0">
      <alignment vertical="bottom"/>
    </xf>
    <xf numFmtId="171" fontId="12" fillId="4" borderId="24" applyAlignment="1" pivotButton="0" quotePrefix="0" xfId="0">
      <alignment vertical="bottom"/>
    </xf>
    <xf numFmtId="171" fontId="12" fillId="4" borderId="25" applyAlignment="1" pivotButton="0" quotePrefix="0" xfId="0">
      <alignment vertical="bottom"/>
    </xf>
    <xf numFmtId="171" fontId="0" fillId="4" borderId="25" applyAlignment="1" pivotButton="0" quotePrefix="0" xfId="0">
      <alignment vertical="bottom"/>
    </xf>
    <xf numFmtId="171" fontId="12" fillId="4" borderId="26" applyAlignment="1" pivotButton="0" quotePrefix="0" xfId="0">
      <alignment vertical="bottom"/>
    </xf>
    <xf numFmtId="164" fontId="9" fillId="4" borderId="10" applyAlignment="1" pivotButton="0" quotePrefix="0" xfId="0">
      <alignment vertical="bottom"/>
    </xf>
    <xf numFmtId="164" fontId="0" fillId="7" borderId="7" applyAlignment="1" pivotButton="0" quotePrefix="0" xfId="0">
      <alignment vertical="bottom"/>
    </xf>
    <xf numFmtId="1" fontId="0" fillId="4" borderId="7" applyAlignment="1" pivotButton="0" quotePrefix="0" xfId="0">
      <alignment vertical="bottom"/>
    </xf>
    <xf numFmtId="1" fontId="8" fillId="4" borderId="7" applyAlignment="1" pivotButton="0" quotePrefix="0" xfId="0">
      <alignment vertical="bottom"/>
    </xf>
    <xf numFmtId="1" fontId="0" fillId="4" borderId="8" applyAlignment="1" pivotButton="0" quotePrefix="0" xfId="0">
      <alignment vertical="bottom"/>
    </xf>
    <xf numFmtId="1" fontId="0" fillId="4" borderId="9" applyAlignment="1" pivotButton="0" quotePrefix="0" xfId="0">
      <alignment vertical="bottom"/>
    </xf>
    <xf numFmtId="1" fontId="8" fillId="4" borderId="10" applyAlignment="1" pivotButton="0" quotePrefix="0" xfId="0">
      <alignment vertical="bottom"/>
    </xf>
    <xf numFmtId="1" fontId="0" fillId="4" borderId="10" applyAlignment="1" pivotButton="0" quotePrefix="0" xfId="0">
      <alignment vertical="bottom"/>
    </xf>
    <xf numFmtId="1" fontId="8" fillId="6" borderId="7" applyAlignment="1" pivotButton="0" quotePrefix="0" xfId="0">
      <alignment vertical="bottom"/>
    </xf>
    <xf numFmtId="168" fontId="0" fillId="4" borderId="8" applyAlignment="1" pivotButton="0" quotePrefix="0" xfId="0">
      <alignment vertical="bottom"/>
    </xf>
    <xf numFmtId="168" fontId="0" fillId="4" borderId="9" applyAlignment="1" pivotButton="0" quotePrefix="0" xfId="0">
      <alignment vertical="bottom"/>
    </xf>
    <xf numFmtId="168" fontId="0" fillId="4" borderId="10" applyAlignment="1" pivotButton="0" quotePrefix="0" xfId="0">
      <alignment vertical="bottom"/>
    </xf>
    <xf numFmtId="168" fontId="8" fillId="4" borderId="8" applyAlignment="1" pivotButton="0" quotePrefix="0" xfId="0">
      <alignment vertical="bottom"/>
    </xf>
    <xf numFmtId="168" fontId="8" fillId="4" borderId="9" applyAlignment="1" pivotButton="0" quotePrefix="0" xfId="0">
      <alignment vertical="bottom"/>
    </xf>
    <xf numFmtId="49" fontId="8" fillId="4" borderId="16" applyAlignment="1" pivotButton="0" quotePrefix="0" xfId="0">
      <alignment vertical="bottom"/>
    </xf>
    <xf numFmtId="173" fontId="8" fillId="4" borderId="16" applyAlignment="1" pivotButton="0" quotePrefix="0" xfId="0">
      <alignment vertical="bottom"/>
    </xf>
    <xf numFmtId="173" fontId="8" fillId="4" borderId="17" applyAlignment="1" pivotButton="0" quotePrefix="0" xfId="0">
      <alignment vertical="bottom"/>
    </xf>
    <xf numFmtId="173" fontId="8" fillId="4" borderId="18" applyAlignment="1" pivotButton="0" quotePrefix="0" xfId="0">
      <alignment vertical="bottom"/>
    </xf>
    <xf numFmtId="173" fontId="8" fillId="4" borderId="19" applyAlignment="1" pivotButton="0" quotePrefix="0" xfId="0">
      <alignment vertical="bottom"/>
    </xf>
    <xf numFmtId="177" fontId="27" fillId="4" borderId="16" applyAlignment="1" pivotButton="0" quotePrefix="0" xfId="0">
      <alignment vertical="bottom"/>
    </xf>
    <xf numFmtId="49" fontId="8" fillId="5" borderId="21" applyAlignment="1" pivotButton="0" quotePrefix="0" xfId="0">
      <alignment vertical="bottom"/>
    </xf>
    <xf numFmtId="0" fontId="8" fillId="12" borderId="21" applyAlignment="1" pivotButton="0" quotePrefix="0" xfId="0">
      <alignment vertical="bottom"/>
    </xf>
    <xf numFmtId="173" fontId="8" fillId="12" borderId="21" applyAlignment="1" pivotButton="0" quotePrefix="0" xfId="0">
      <alignment vertical="bottom"/>
    </xf>
    <xf numFmtId="170" fontId="8" fillId="12" borderId="21" applyAlignment="1" pivotButton="0" quotePrefix="0" xfId="0">
      <alignment vertical="bottom"/>
    </xf>
    <xf numFmtId="170" fontId="8" fillId="12" borderId="20" applyAlignment="1" pivotButton="0" quotePrefix="0" xfId="0">
      <alignment vertical="bottom"/>
    </xf>
    <xf numFmtId="170" fontId="8" fillId="12" borderId="14" applyAlignment="1" pivotButton="0" quotePrefix="0" xfId="0">
      <alignment vertical="bottom"/>
    </xf>
    <xf numFmtId="173" fontId="8" fillId="12" borderId="22" applyAlignment="1" pivotButton="0" quotePrefix="0" xfId="0">
      <alignment vertical="bottom"/>
    </xf>
    <xf numFmtId="178" fontId="27" fillId="4" borderId="21" applyAlignment="1" pivotButton="0" quotePrefix="0" xfId="0">
      <alignment horizontal="right" vertical="bottom" wrapText="1"/>
    </xf>
    <xf numFmtId="170" fontId="8" fillId="12" borderId="22" applyAlignment="1" pivotButton="0" quotePrefix="0" xfId="0">
      <alignment vertical="bottom"/>
    </xf>
    <xf numFmtId="179" fontId="27" fillId="4" borderId="21" applyAlignment="1" pivotButton="0" quotePrefix="0" xfId="0">
      <alignment vertical="bottom" wrapText="1"/>
    </xf>
    <xf numFmtId="180" fontId="27" fillId="4" borderId="21" applyAlignment="1" pivotButton="0" quotePrefix="0" xfId="0">
      <alignment vertical="bottom" wrapText="1"/>
    </xf>
    <xf numFmtId="0" fontId="0" fillId="12" borderId="21" applyAlignment="1" pivotButton="0" quotePrefix="0" xfId="0">
      <alignment vertical="bottom"/>
    </xf>
    <xf numFmtId="0" fontId="0" fillId="12" borderId="20" applyAlignment="1" pivotButton="0" quotePrefix="0" xfId="0">
      <alignment vertical="bottom"/>
    </xf>
    <xf numFmtId="0" fontId="0" fillId="12" borderId="14" applyAlignment="1" pivotButton="0" quotePrefix="0" xfId="0">
      <alignment vertical="bottom"/>
    </xf>
    <xf numFmtId="181" fontId="27" fillId="4" borderId="21" applyAlignment="1" pivotButton="0" quotePrefix="0" xfId="0">
      <alignment horizontal="right" vertical="bottom" wrapText="1"/>
    </xf>
    <xf numFmtId="182" fontId="27" fillId="4" borderId="21" applyAlignment="1" pivotButton="0" quotePrefix="0" xfId="0">
      <alignment horizontal="right" vertical="bottom" wrapText="1"/>
    </xf>
    <xf numFmtId="0" fontId="8" fillId="4" borderId="23" applyAlignment="1" pivotButton="0" quotePrefix="0" xfId="0">
      <alignment vertical="bottom"/>
    </xf>
    <xf numFmtId="0" fontId="8" fillId="4" borderId="24" applyAlignment="1" pivotButton="0" quotePrefix="0" xfId="0">
      <alignment vertical="bottom"/>
    </xf>
    <xf numFmtId="0" fontId="8" fillId="4" borderId="25" applyAlignment="1" pivotButton="0" quotePrefix="0" xfId="0">
      <alignment vertical="bottom"/>
    </xf>
    <xf numFmtId="0" fontId="0" fillId="4" borderId="28" applyAlignment="1" pivotButton="0" quotePrefix="0" xfId="0">
      <alignment vertical="bottom"/>
    </xf>
    <xf numFmtId="0" fontId="0" fillId="4" borderId="29" applyAlignment="1" pivotButton="0" quotePrefix="0" xfId="0">
      <alignment vertical="bottom"/>
    </xf>
    <xf numFmtId="175" fontId="0" fillId="4" borderId="29" applyAlignment="1" pivotButton="0" quotePrefix="0" xfId="0">
      <alignment vertical="bottom"/>
    </xf>
    <xf numFmtId="0" fontId="0" fillId="4" borderId="3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0" fillId="4" borderId="14" applyAlignment="1" pivotButton="0" quotePrefix="0" xfId="0">
      <alignment vertical="bottom"/>
    </xf>
    <xf numFmtId="175" fontId="30" fillId="4" borderId="14" applyAlignment="1" pivotButton="0" quotePrefix="0" xfId="0">
      <alignment horizontal="right" vertical="bottom"/>
    </xf>
    <xf numFmtId="175" fontId="31" fillId="4" borderId="14" applyAlignment="1" pivotButton="0" quotePrefix="0" xfId="0">
      <alignment horizontal="right" vertical="bottom"/>
    </xf>
    <xf numFmtId="14" fontId="0" fillId="4" borderId="14" applyAlignment="1" pivotButton="0" quotePrefix="0" xfId="0">
      <alignment vertical="bottom"/>
    </xf>
    <xf numFmtId="14" fontId="30" fillId="4" borderId="14" applyAlignment="1" pivotButton="0" quotePrefix="0" xfId="0">
      <alignment horizontal="right" vertical="bottom"/>
    </xf>
    <xf numFmtId="0" fontId="30" fillId="4" borderId="14" applyAlignment="1" pivotButton="0" quotePrefix="0" xfId="0">
      <alignment horizontal="right" vertical="bottom"/>
    </xf>
    <xf numFmtId="0" fontId="0" fillId="4" borderId="31" applyAlignment="1" pivotButton="0" quotePrefix="0" xfId="0">
      <alignment vertical="bottom"/>
    </xf>
    <xf numFmtId="0" fontId="0" fillId="4" borderId="32" applyAlignment="1" pivotButton="0" quotePrefix="0" xfId="0">
      <alignment vertical="bottom"/>
    </xf>
    <xf numFmtId="49" fontId="32" fillId="4" borderId="33" applyAlignment="1" pivotButton="0" quotePrefix="0" xfId="0">
      <alignment horizontal="center" vertical="center" wrapText="1"/>
    </xf>
    <xf numFmtId="0" fontId="0" fillId="4" borderId="33" applyAlignment="1" pivotButton="0" quotePrefix="0" xfId="0">
      <alignment vertical="bottom"/>
    </xf>
    <xf numFmtId="0" fontId="0" fillId="4" borderId="34" applyAlignment="1" pivotButton="0" quotePrefix="0" xfId="0">
      <alignment vertical="bottom"/>
    </xf>
    <xf numFmtId="49" fontId="32" fillId="13" borderId="33" applyAlignment="1" pivotButton="0" quotePrefix="0" xfId="0">
      <alignment horizontal="center" vertical="center" wrapText="1"/>
    </xf>
    <xf numFmtId="49" fontId="32" fillId="4" borderId="22" applyAlignment="1" pivotButton="0" quotePrefix="0" xfId="0">
      <alignment horizontal="right" vertical="center"/>
    </xf>
    <xf numFmtId="170" fontId="0" fillId="13" borderId="7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49" fontId="32" fillId="4" borderId="22" applyAlignment="1" pivotButton="0" quotePrefix="0" xfId="0">
      <alignment horizontal="right" vertical="bottom"/>
    </xf>
    <xf numFmtId="175" fontId="0" fillId="13" borderId="7" applyAlignment="1" pivotButton="0" quotePrefix="0" xfId="0">
      <alignment vertical="bottom"/>
    </xf>
    <xf numFmtId="49" fontId="0" fillId="13" borderId="7" applyAlignment="1" pivotButton="0" quotePrefix="0" xfId="0">
      <alignment vertical="bottom"/>
    </xf>
    <xf numFmtId="0" fontId="0" fillId="4" borderId="35" applyAlignment="1" pivotButton="0" quotePrefix="0" xfId="0">
      <alignment vertical="bottom"/>
    </xf>
    <xf numFmtId="0" fontId="0" fillId="4" borderId="36" applyAlignment="1" pivotButton="0" quotePrefix="0" xfId="0">
      <alignment vertical="bottom"/>
    </xf>
    <xf numFmtId="49" fontId="32" fillId="11" borderId="33" applyAlignment="1" pivotButton="0" quotePrefix="0" xfId="0">
      <alignment horizontal="center" vertical="center"/>
    </xf>
    <xf numFmtId="0" fontId="0" fillId="4" borderId="37" applyAlignment="1" pivotButton="0" quotePrefix="0" xfId="0">
      <alignment vertical="bottom"/>
    </xf>
    <xf numFmtId="0" fontId="0" fillId="4" borderId="38" applyAlignment="1" pivotButton="0" quotePrefix="0" xfId="0">
      <alignment vertical="bottom"/>
    </xf>
    <xf numFmtId="0" fontId="32" fillId="4" borderId="39" applyAlignment="1" pivotButton="0" quotePrefix="0" xfId="0">
      <alignment horizontal="center" vertical="bottom"/>
    </xf>
    <xf numFmtId="49" fontId="33" fillId="11" borderId="33" applyAlignment="1" pivotButton="0" quotePrefix="0" xfId="0">
      <alignment horizontal="center" vertical="center"/>
    </xf>
    <xf numFmtId="0" fontId="32" fillId="4" borderId="40" applyAlignment="1" pivotButton="0" quotePrefix="0" xfId="0">
      <alignment vertical="bottom"/>
    </xf>
    <xf numFmtId="0" fontId="0" fillId="4" borderId="41" applyAlignment="1" pivotButton="0" quotePrefix="0" xfId="0">
      <alignment vertical="bottom"/>
    </xf>
    <xf numFmtId="0" fontId="0" fillId="4" borderId="40" applyAlignment="1" pivotButton="0" quotePrefix="0" xfId="0">
      <alignment vertical="bottom"/>
    </xf>
    <xf numFmtId="0" fontId="0" fillId="4" borderId="42" applyAlignment="1" pivotButton="0" quotePrefix="0" xfId="0">
      <alignment vertical="bottom"/>
    </xf>
    <xf numFmtId="0" fontId="0" fillId="4" borderId="43" applyAlignment="1" pivotButton="0" quotePrefix="0" xfId="0">
      <alignment vertical="bottom"/>
    </xf>
    <xf numFmtId="0" fontId="0" fillId="4" borderId="44" applyAlignment="1" pivotButton="0" quotePrefix="0" xfId="0">
      <alignment vertical="bottom"/>
    </xf>
    <xf numFmtId="0" fontId="33" fillId="4" borderId="14" applyAlignment="1" pivotButton="0" quotePrefix="0" xfId="0">
      <alignment vertical="center" wrapText="1"/>
    </xf>
    <xf numFmtId="0" fontId="33" fillId="4" borderId="15" applyAlignment="1" pivotButton="0" quotePrefix="0" xfId="0">
      <alignment vertical="center" wrapText="1"/>
    </xf>
    <xf numFmtId="175" fontId="31" fillId="14" borderId="7" applyAlignment="1" pivotButton="0" quotePrefix="0" xfId="0">
      <alignment horizontal="center" vertical="center" wrapText="1"/>
    </xf>
    <xf numFmtId="175" fontId="31" fillId="4" borderId="7" applyAlignment="1" pivotButton="0" quotePrefix="0" xfId="0">
      <alignment horizontal="center" vertical="bottom"/>
    </xf>
    <xf numFmtId="175" fontId="31" fillId="11" borderId="7" applyAlignment="1" pivotButton="0" quotePrefix="0" xfId="0">
      <alignment horizontal="center" vertical="center" wrapText="1"/>
    </xf>
    <xf numFmtId="175" fontId="31" fillId="4" borderId="20" applyAlignment="1" pivotButton="0" quotePrefix="0" xfId="0">
      <alignment horizontal="center" vertical="bottom"/>
    </xf>
    <xf numFmtId="175" fontId="31" fillId="4" borderId="45" applyAlignment="1" pivotButton="0" quotePrefix="0" xfId="0">
      <alignment horizontal="center" vertical="bottom"/>
    </xf>
    <xf numFmtId="175" fontId="31" fillId="4" borderId="34" applyAlignment="1" pivotButton="0" quotePrefix="0" xfId="0">
      <alignment horizontal="center" vertical="bottom"/>
    </xf>
    <xf numFmtId="0" fontId="31" fillId="10" borderId="7" applyAlignment="1" pivotButton="0" quotePrefix="0" xfId="0">
      <alignment horizontal="center" vertical="center" wrapText="1"/>
    </xf>
    <xf numFmtId="0" fontId="31" fillId="4" borderId="45" applyAlignment="1" pivotButton="0" quotePrefix="0" xfId="0">
      <alignment horizontal="center" vertical="bottom"/>
    </xf>
    <xf numFmtId="0" fontId="33" fillId="4" borderId="14" applyAlignment="1" pivotButton="0" quotePrefix="0" xfId="0">
      <alignment vertical="bottom"/>
    </xf>
    <xf numFmtId="0" fontId="33" fillId="4" borderId="15" applyAlignment="1" pivotButton="0" quotePrefix="0" xfId="0">
      <alignment vertical="bottom"/>
    </xf>
    <xf numFmtId="0" fontId="32" fillId="4" borderId="14" applyAlignment="1" pivotButton="0" quotePrefix="0" xfId="0">
      <alignment horizontal="right" vertical="bottom"/>
    </xf>
    <xf numFmtId="0" fontId="31" fillId="4" borderId="9" applyAlignment="1" pivotButton="0" quotePrefix="0" xfId="0">
      <alignment horizontal="center" vertical="bottom"/>
    </xf>
    <xf numFmtId="0" fontId="31" fillId="4" borderId="14" applyAlignment="1" pivotButton="0" quotePrefix="0" xfId="0">
      <alignment horizontal="right" vertical="bottom"/>
    </xf>
    <xf numFmtId="0" fontId="31" fillId="4" borderId="14" applyAlignment="1" pivotButton="0" quotePrefix="0" xfId="0">
      <alignment horizontal="center" vertical="bottom"/>
    </xf>
    <xf numFmtId="0" fontId="31" fillId="4" borderId="42" applyAlignment="1" pivotButton="0" quotePrefix="0" xfId="0">
      <alignment horizontal="center" vertical="bottom"/>
    </xf>
    <xf numFmtId="0" fontId="31" fillId="4" borderId="34" applyAlignment="1" pivotButton="0" quotePrefix="0" xfId="0">
      <alignment horizontal="center" vertical="bottom"/>
    </xf>
    <xf numFmtId="49" fontId="32" fillId="4" borderId="22" applyAlignment="1" pivotButton="0" quotePrefix="0" xfId="0">
      <alignment horizontal="right" vertical="center" wrapText="1"/>
    </xf>
    <xf numFmtId="0" fontId="31" fillId="4" borderId="45" applyAlignment="1" pivotButton="0" quotePrefix="0" xfId="0">
      <alignment horizontal="center" vertical="center" wrapText="1"/>
    </xf>
    <xf numFmtId="175" fontId="31" fillId="4" borderId="18" applyAlignment="1" pivotButton="0" quotePrefix="0" xfId="0">
      <alignment horizontal="center" vertical="bottom"/>
    </xf>
    <xf numFmtId="175" fontId="31" fillId="4" borderId="14" applyAlignment="1" pivotButton="0" quotePrefix="0" xfId="0">
      <alignment horizontal="center" vertical="bottom"/>
    </xf>
    <xf numFmtId="175" fontId="31" fillId="4" borderId="42" applyAlignment="1" pivotButton="0" quotePrefix="0" xfId="0">
      <alignment horizontal="center" vertical="bottom"/>
    </xf>
    <xf numFmtId="175" fontId="31" fillId="4" borderId="46" applyAlignment="1" pivotButton="0" quotePrefix="0" xfId="0">
      <alignment horizontal="center" vertical="bottom"/>
    </xf>
    <xf numFmtId="0" fontId="32" fillId="4" borderId="31" applyAlignment="1" pivotButton="0" quotePrefix="0" xfId="0">
      <alignment vertical="bottom"/>
    </xf>
    <xf numFmtId="0" fontId="31" fillId="4" borderId="36" applyAlignment="1" pivotButton="0" quotePrefix="0" xfId="0">
      <alignment horizontal="center" vertical="bottom"/>
    </xf>
    <xf numFmtId="0" fontId="31" fillId="4" borderId="47" applyAlignment="1" pivotButton="0" quotePrefix="0" xfId="0">
      <alignment horizontal="center" vertical="bottom"/>
    </xf>
    <xf numFmtId="0" fontId="33" fillId="4" borderId="14" applyAlignment="1" pivotButton="0" quotePrefix="0" xfId="0">
      <alignment horizontal="center" vertical="bottom"/>
    </xf>
    <xf numFmtId="0" fontId="33" fillId="4" borderId="15" applyAlignment="1" pivotButton="0" quotePrefix="0" xfId="0">
      <alignment horizontal="center" vertical="bottom"/>
    </xf>
    <xf numFmtId="0" fontId="31" fillId="4" borderId="25" applyAlignment="1" pivotButton="0" quotePrefix="0" xfId="0">
      <alignment horizontal="center" vertical="bottom"/>
    </xf>
    <xf numFmtId="0" fontId="31" fillId="4" borderId="35" applyAlignment="1" pivotButton="0" quotePrefix="0" xfId="0">
      <alignment horizontal="center" vertical="bottom"/>
    </xf>
    <xf numFmtId="0" fontId="31" fillId="4" borderId="43" applyAlignment="1" pivotButton="0" quotePrefix="0" xfId="0">
      <alignment horizontal="center" vertical="bottom"/>
    </xf>
    <xf numFmtId="49" fontId="32" fillId="4" borderId="40" applyAlignment="1" pivotButton="0" quotePrefix="0" xfId="0">
      <alignment horizontal="right" vertical="center" wrapText="1"/>
    </xf>
    <xf numFmtId="1" fontId="31" fillId="4" borderId="40" applyAlignment="1" pivotButton="0" quotePrefix="0" xfId="0">
      <alignment horizontal="center" vertical="center" wrapText="1"/>
    </xf>
    <xf numFmtId="0" fontId="31" fillId="4" borderId="44" applyAlignment="1" pivotButton="0" quotePrefix="0" xfId="0">
      <alignment horizontal="center" vertical="center" wrapText="1"/>
    </xf>
    <xf numFmtId="3" fontId="31" fillId="9" borderId="7" applyAlignment="1" pivotButton="0" quotePrefix="0" xfId="0">
      <alignment horizontal="center" vertical="center" wrapText="1"/>
    </xf>
    <xf numFmtId="3" fontId="31" fillId="4" borderId="20" applyAlignment="1" pivotButton="0" quotePrefix="0" xfId="0">
      <alignment horizontal="center" vertical="bottom"/>
    </xf>
    <xf numFmtId="3" fontId="31" fillId="4" borderId="45" applyAlignment="1" pivotButton="0" quotePrefix="0" xfId="0">
      <alignment horizontal="center" vertical="bottom"/>
    </xf>
    <xf numFmtId="3" fontId="31" fillId="4" borderId="46" applyAlignment="1" pivotButton="0" quotePrefix="0" xfId="0">
      <alignment horizontal="center" vertical="bottom"/>
    </xf>
    <xf numFmtId="49" fontId="32" fillId="4" borderId="31" applyAlignment="1" pivotButton="0" quotePrefix="0" xfId="0">
      <alignment horizontal="right" vertical="bottom"/>
    </xf>
    <xf numFmtId="1" fontId="31" fillId="4" borderId="31" applyAlignment="1" pivotButton="0" quotePrefix="0" xfId="0">
      <alignment horizontal="center" vertical="bottom"/>
    </xf>
    <xf numFmtId="168" fontId="31" fillId="4" borderId="9" applyAlignment="1" pivotButton="0" quotePrefix="0" xfId="0">
      <alignment horizontal="center" vertical="bottom"/>
    </xf>
    <xf numFmtId="0" fontId="31" fillId="4" borderId="40" applyAlignment="1" pivotButton="0" quotePrefix="0" xfId="0">
      <alignment horizontal="center" vertical="bottom"/>
    </xf>
    <xf numFmtId="3" fontId="31" fillId="4" borderId="14" applyAlignment="1" pivotButton="0" quotePrefix="0" xfId="0">
      <alignment horizontal="center" vertical="bottom"/>
    </xf>
    <xf numFmtId="168" fontId="0" fillId="4" borderId="36" applyAlignment="1" pivotButton="0" quotePrefix="0" xfId="0">
      <alignment vertical="bottom"/>
    </xf>
    <xf numFmtId="0" fontId="32" fillId="4" borderId="34" applyAlignment="1" pivotButton="0" quotePrefix="0" xfId="0">
      <alignment vertical="bottom"/>
    </xf>
    <xf numFmtId="0" fontId="32" fillId="4" borderId="14" applyAlignment="1" pivotButton="0" quotePrefix="0" xfId="0">
      <alignment vertical="bottom"/>
    </xf>
    <xf numFmtId="0" fontId="32" fillId="4" borderId="14" applyAlignment="1" pivotButton="0" quotePrefix="0" xfId="0">
      <alignment horizontal="center" vertical="bottom"/>
    </xf>
    <xf numFmtId="0" fontId="32" fillId="4" borderId="9" applyAlignment="1" pivotButton="0" quotePrefix="0" xfId="0">
      <alignment horizontal="center" vertical="bottom"/>
    </xf>
    <xf numFmtId="49" fontId="32" fillId="11" borderId="48" applyAlignment="1" pivotButton="0" quotePrefix="0" xfId="0">
      <alignment horizontal="center" vertical="center"/>
    </xf>
    <xf numFmtId="0" fontId="0" fillId="4" borderId="49" applyAlignment="1" pivotButton="0" quotePrefix="0" xfId="0">
      <alignment vertical="bottom"/>
    </xf>
    <xf numFmtId="0" fontId="0" fillId="4" borderId="50" applyAlignment="1" pivotButton="0" quotePrefix="0" xfId="0">
      <alignment vertical="bottom"/>
    </xf>
    <xf numFmtId="0" fontId="32" fillId="4" borderId="20" applyAlignment="1" pivotButton="0" quotePrefix="0" xfId="0">
      <alignment horizontal="center" vertical="bottom"/>
    </xf>
    <xf numFmtId="175" fontId="0" fillId="4" borderId="7" applyAlignment="1" pivotButton="0" quotePrefix="0" xfId="0">
      <alignment vertical="center" wrapText="1"/>
    </xf>
    <xf numFmtId="2" fontId="0" fillId="4" borderId="7" applyAlignment="1" pivotButton="0" quotePrefix="0" xfId="0">
      <alignment vertical="center" wrapText="1"/>
    </xf>
    <xf numFmtId="0" fontId="32" fillId="4" borderId="14" applyAlignment="1" pivotButton="0" quotePrefix="0" xfId="0">
      <alignment horizontal="right" vertical="center" wrapText="1"/>
    </xf>
    <xf numFmtId="175" fontId="0" fillId="4" borderId="14" applyAlignment="1" pivotButton="0" quotePrefix="0" xfId="0">
      <alignment vertical="center" wrapText="1"/>
    </xf>
    <xf numFmtId="0" fontId="32" fillId="4" borderId="14" applyAlignment="1" pivotButton="0" quotePrefix="0" xfId="0">
      <alignment horizontal="right" vertical="center"/>
    </xf>
    <xf numFmtId="175" fontId="31" fillId="7" borderId="7" applyAlignment="1" pivotButton="0" quotePrefix="0" xfId="0">
      <alignment horizontal="center" vertical="center" wrapText="1"/>
    </xf>
    <xf numFmtId="2" fontId="31" fillId="7" borderId="7" applyAlignment="1" pivotButton="0" quotePrefix="0" xfId="0">
      <alignment horizontal="center" vertical="center" wrapText="1"/>
    </xf>
    <xf numFmtId="49" fontId="32" fillId="4" borderId="43" applyAlignment="1" pivotButton="0" quotePrefix="0" xfId="0">
      <alignment horizontal="left" vertical="bottom"/>
    </xf>
    <xf numFmtId="0" fontId="32" fillId="4" borderId="44" applyAlignment="1" pivotButton="0" quotePrefix="0" xfId="0">
      <alignment horizontal="center" vertical="bottom"/>
    </xf>
    <xf numFmtId="49" fontId="30" fillId="11" borderId="34" applyAlignment="1" pivotButton="0" quotePrefix="0" xfId="0">
      <alignment horizontal="left" vertical="bottom"/>
    </xf>
    <xf numFmtId="170" fontId="30" fillId="11" borderId="42" applyAlignment="1" pivotButton="0" quotePrefix="0" xfId="0">
      <alignment horizontal="center" vertical="bottom"/>
    </xf>
    <xf numFmtId="49" fontId="30" fillId="11" borderId="34" applyAlignment="1" pivotButton="0" quotePrefix="0" xfId="0">
      <alignment vertical="bottom"/>
    </xf>
    <xf numFmtId="175" fontId="30" fillId="11" borderId="42" applyAlignment="1" pivotButton="0" quotePrefix="0" xfId="0">
      <alignment horizontal="center" vertical="bottom"/>
    </xf>
    <xf numFmtId="49" fontId="31" fillId="4" borderId="34" applyAlignment="1" pivotButton="0" quotePrefix="0" xfId="0">
      <alignment horizontal="left" vertical="bottom"/>
    </xf>
    <xf numFmtId="175" fontId="0" fillId="4" borderId="42" applyAlignment="1" pivotButton="0" quotePrefix="0" xfId="0">
      <alignment vertical="bottom"/>
    </xf>
    <xf numFmtId="0" fontId="0" fillId="4" borderId="51" applyAlignment="1" pivotButton="0" quotePrefix="0" xfId="0">
      <alignment vertical="bottom"/>
    </xf>
    <xf numFmtId="49" fontId="31" fillId="4" borderId="46" applyAlignment="1" pivotButton="0" quotePrefix="0" xfId="0">
      <alignment horizontal="left" vertical="bottom"/>
    </xf>
    <xf numFmtId="0" fontId="0" fillId="4" borderId="47" applyAlignment="1" pivotButton="0" quotePrefix="0" xfId="0">
      <alignment vertical="bottom"/>
    </xf>
    <xf numFmtId="0" fontId="0" fillId="4" borderId="52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31" fillId="4" borderId="1" applyAlignment="1" pivotButton="0" quotePrefix="0" xfId="0">
      <alignment vertical="bottom"/>
    </xf>
    <xf numFmtId="0" fontId="31" fillId="4" borderId="4" applyAlignment="1" pivotButton="0" quotePrefix="0" xfId="0">
      <alignment vertical="bottom"/>
    </xf>
    <xf numFmtId="0" fontId="31" fillId="4" borderId="27" applyAlignment="1" pivotButton="0" quotePrefix="0" xfId="0">
      <alignment vertical="bottom"/>
    </xf>
    <xf numFmtId="49" fontId="34" fillId="11" borderId="25" applyAlignment="1" pivotButton="0" quotePrefix="0" xfId="0">
      <alignment vertical="bottom"/>
    </xf>
    <xf numFmtId="0" fontId="31" fillId="4" borderId="25" applyAlignment="1" pivotButton="0" quotePrefix="0" xfId="0">
      <alignment vertical="bottom"/>
    </xf>
    <xf numFmtId="0" fontId="31" fillId="4" borderId="14" applyAlignment="1" pivotButton="0" quotePrefix="0" xfId="0">
      <alignment vertical="bottom"/>
    </xf>
    <xf numFmtId="49" fontId="32" fillId="4" borderId="25" applyAlignment="1" pivotButton="0" quotePrefix="0" xfId="0">
      <alignment horizontal="center" vertical="bottom"/>
    </xf>
    <xf numFmtId="0" fontId="35" fillId="4" borderId="14" applyAlignment="1" pivotButton="0" quotePrefix="0" xfId="0">
      <alignment vertical="bottom"/>
    </xf>
    <xf numFmtId="49" fontId="34" fillId="7" borderId="25" applyAlignment="1" pivotButton="0" quotePrefix="0" xfId="0">
      <alignment vertical="bottom"/>
    </xf>
    <xf numFmtId="0" fontId="31" fillId="4" borderId="6" applyAlignment="1" pivotButton="0" quotePrefix="0" xfId="0">
      <alignment vertical="bottom"/>
    </xf>
    <xf numFmtId="49" fontId="32" fillId="4" borderId="8" applyAlignment="1" pivotButton="0" quotePrefix="0" xfId="0">
      <alignment vertical="bottom"/>
    </xf>
    <xf numFmtId="183" fontId="36" fillId="4" borderId="9" applyAlignment="1" pivotButton="0" quotePrefix="0" xfId="0">
      <alignment vertical="bottom"/>
    </xf>
    <xf numFmtId="183" fontId="36" fillId="4" borderId="10" applyAlignment="1" pivotButton="0" quotePrefix="0" xfId="0">
      <alignment vertical="bottom"/>
    </xf>
    <xf numFmtId="0" fontId="36" fillId="4" borderId="24" applyAlignment="1" pivotButton="0" quotePrefix="0" xfId="0">
      <alignment horizontal="center" vertical="bottom"/>
    </xf>
    <xf numFmtId="49" fontId="32" fillId="4" borderId="14" applyAlignment="1" pivotButton="0" quotePrefix="0" xfId="0">
      <alignment horizontal="right" vertical="bottom"/>
    </xf>
    <xf numFmtId="0" fontId="31" fillId="4" borderId="22" applyAlignment="1" pivotButton="0" quotePrefix="0" xfId="0">
      <alignment vertical="bottom"/>
    </xf>
    <xf numFmtId="49" fontId="36" fillId="11" borderId="24" applyAlignment="1" pivotButton="0" quotePrefix="0" xfId="0">
      <alignment horizontal="center" vertical="bottom"/>
    </xf>
    <xf numFmtId="49" fontId="36" fillId="11" borderId="20" applyAlignment="1" pivotButton="0" quotePrefix="0" xfId="0">
      <alignment horizontal="center" vertical="bottom"/>
    </xf>
    <xf numFmtId="0" fontId="32" fillId="4" borderId="15" applyAlignment="1" pivotButton="0" quotePrefix="0" xfId="0">
      <alignment horizontal="right" vertical="bottom"/>
    </xf>
    <xf numFmtId="1" fontId="32" fillId="4" borderId="9" applyAlignment="1" pivotButton="0" quotePrefix="0" xfId="0">
      <alignment horizontal="right" vertical="bottom"/>
    </xf>
    <xf numFmtId="0" fontId="32" fillId="4" borderId="9" applyAlignment="1" pivotButton="0" quotePrefix="0" xfId="0">
      <alignment horizontal="right" vertical="bottom"/>
    </xf>
    <xf numFmtId="49" fontId="32" fillId="4" borderId="9" applyAlignment="1" pivotButton="0" quotePrefix="0" xfId="0">
      <alignment horizontal="right" vertical="bottom"/>
    </xf>
    <xf numFmtId="49" fontId="37" fillId="4" borderId="14" applyAlignment="1" pivotButton="0" quotePrefix="0" xfId="0">
      <alignment horizontal="right" vertical="bottom"/>
    </xf>
    <xf numFmtId="0" fontId="37" fillId="4" borderId="14" applyAlignment="1" pivotButton="0" quotePrefix="0" xfId="0">
      <alignment horizontal="right" vertical="bottom"/>
    </xf>
    <xf numFmtId="0" fontId="31" fillId="4" borderId="22" applyAlignment="1" pivotButton="0" quotePrefix="0" xfId="0">
      <alignment horizontal="right" vertical="bottom"/>
    </xf>
    <xf numFmtId="1" fontId="32" fillId="4" borderId="10" applyAlignment="1" pivotButton="0" quotePrefix="0" xfId="0">
      <alignment horizontal="right" vertical="bottom"/>
    </xf>
    <xf numFmtId="0" fontId="32" fillId="4" borderId="8" applyAlignment="1" pivotButton="0" quotePrefix="0" xfId="0">
      <alignment horizontal="right" vertical="bottom"/>
    </xf>
    <xf numFmtId="0" fontId="32" fillId="4" borderId="24" applyAlignment="1" pivotButton="0" quotePrefix="0" xfId="0">
      <alignment horizontal="right" vertical="bottom"/>
    </xf>
    <xf numFmtId="0" fontId="32" fillId="4" borderId="25" applyAlignment="1" pivotButton="0" quotePrefix="0" xfId="0">
      <alignment horizontal="right" vertical="bottom"/>
    </xf>
    <xf numFmtId="49" fontId="30" fillId="4" borderId="18" applyAlignment="1" pivotButton="0" quotePrefix="0" xfId="0">
      <alignment vertical="bottom"/>
    </xf>
    <xf numFmtId="0" fontId="31" fillId="4" borderId="18" applyAlignment="1" pivotButton="0" quotePrefix="0" xfId="0">
      <alignment vertical="bottom"/>
    </xf>
    <xf numFmtId="14" fontId="30" fillId="11" borderId="18" applyAlignment="1" pivotButton="0" quotePrefix="0" xfId="0">
      <alignment horizontal="right" vertical="bottom"/>
    </xf>
    <xf numFmtId="14" fontId="30" fillId="4" borderId="18" applyAlignment="1" pivotButton="0" quotePrefix="0" xfId="0">
      <alignment horizontal="right" vertical="bottom"/>
    </xf>
    <xf numFmtId="0" fontId="34" fillId="4" borderId="25" applyAlignment="1" pivotButton="0" quotePrefix="0" xfId="0">
      <alignment vertical="bottom"/>
    </xf>
    <xf numFmtId="14" fontId="30" fillId="4" borderId="25" applyAlignment="1" pivotButton="0" quotePrefix="0" xfId="0">
      <alignment horizontal="left" vertical="bottom"/>
    </xf>
    <xf numFmtId="170" fontId="34" fillId="4" borderId="25" applyAlignment="1" pivotButton="0" quotePrefix="0" xfId="0">
      <alignment horizontal="right" vertical="bottom"/>
    </xf>
    <xf numFmtId="0" fontId="30" fillId="4" borderId="25" applyAlignment="1" pivotButton="0" quotePrefix="0" xfId="0">
      <alignment vertical="bottom"/>
    </xf>
    <xf numFmtId="168" fontId="32" fillId="4" borderId="25" applyAlignment="1" pivotButton="0" quotePrefix="0" xfId="0">
      <alignment horizontal="right" vertical="bottom"/>
    </xf>
    <xf numFmtId="49" fontId="34" fillId="4" borderId="25" applyAlignment="1" pivotButton="0" quotePrefix="0" xfId="0">
      <alignment vertical="bottom"/>
    </xf>
    <xf numFmtId="170" fontId="38" fillId="4" borderId="25" applyAlignment="1" pivotButton="0" quotePrefix="0" xfId="0">
      <alignment horizontal="right" vertical="bottom"/>
    </xf>
    <xf numFmtId="49" fontId="32" fillId="4" borderId="9" applyAlignment="1" pivotButton="0" quotePrefix="0" xfId="0">
      <alignment vertical="bottom"/>
    </xf>
    <xf numFmtId="168" fontId="32" fillId="4" borderId="10" applyAlignment="1" pivotButton="0" quotePrefix="0" xfId="0">
      <alignment horizontal="right" vertical="bottom"/>
    </xf>
    <xf numFmtId="168" fontId="32" fillId="4" borderId="8" applyAlignment="1" pivotButton="0" quotePrefix="0" xfId="0">
      <alignment horizontal="right" vertical="bottom"/>
    </xf>
    <xf numFmtId="168" fontId="32" fillId="4" borderId="9" applyAlignment="1" pivotButton="0" quotePrefix="0" xfId="0">
      <alignment horizontal="right" vertical="bottom"/>
    </xf>
    <xf numFmtId="168" fontId="32" fillId="7" borderId="9" applyAlignment="1" pivotButton="0" quotePrefix="0" xfId="0">
      <alignment horizontal="right" vertical="bottom"/>
    </xf>
    <xf numFmtId="170" fontId="32" fillId="4" borderId="14" applyAlignment="1" pivotButton="0" quotePrefix="0" xfId="0">
      <alignment horizontal="right" vertical="bottom"/>
    </xf>
    <xf numFmtId="168" fontId="32" fillId="4" borderId="14" applyAlignment="1" pivotButton="0" quotePrefix="0" xfId="0">
      <alignment horizontal="right" vertical="bottom"/>
    </xf>
    <xf numFmtId="170" fontId="32" fillId="4" borderId="15" applyAlignment="1" pivotButton="0" quotePrefix="0" xfId="0">
      <alignment horizontal="right" vertical="bottom"/>
    </xf>
    <xf numFmtId="49" fontId="31" fillId="4" borderId="18" applyAlignment="1" pivotButton="0" quotePrefix="0" xfId="0">
      <alignment vertical="bottom"/>
    </xf>
    <xf numFmtId="170" fontId="31" fillId="4" borderId="19" applyAlignment="1" pivotButton="0" quotePrefix="0" xfId="0">
      <alignment horizontal="right" vertical="bottom"/>
    </xf>
    <xf numFmtId="170" fontId="31" fillId="4" borderId="17" applyAlignment="1" pivotButton="0" quotePrefix="0" xfId="0">
      <alignment horizontal="right" vertical="bottom"/>
    </xf>
    <xf numFmtId="170" fontId="31" fillId="4" borderId="18" applyAlignment="1" pivotButton="0" quotePrefix="0" xfId="0">
      <alignment horizontal="right" vertical="bottom"/>
    </xf>
    <xf numFmtId="170" fontId="31" fillId="7" borderId="18" applyAlignment="1" pivotButton="0" quotePrefix="0" xfId="0">
      <alignment horizontal="right" vertical="bottom"/>
    </xf>
    <xf numFmtId="170" fontId="31" fillId="4" borderId="14" applyAlignment="1" pivotButton="0" quotePrefix="0" xfId="0">
      <alignment horizontal="right" vertical="bottom"/>
    </xf>
    <xf numFmtId="170" fontId="31" fillId="15" borderId="18" applyAlignment="1" pivotButton="0" quotePrefix="0" xfId="0">
      <alignment horizontal="right" vertical="bottom"/>
    </xf>
    <xf numFmtId="170" fontId="31" fillId="4" borderId="15" applyAlignment="1" pivotButton="0" quotePrefix="0" xfId="0">
      <alignment horizontal="right" vertical="bottom"/>
    </xf>
    <xf numFmtId="49" fontId="31" fillId="4" borderId="14" applyAlignment="1" pivotButton="0" quotePrefix="0" xfId="0">
      <alignment vertical="bottom"/>
    </xf>
    <xf numFmtId="170" fontId="31" fillId="4" borderId="22" applyAlignment="1" pivotButton="0" quotePrefix="0" xfId="0">
      <alignment horizontal="right" vertical="bottom"/>
    </xf>
    <xf numFmtId="170" fontId="31" fillId="4" borderId="20" applyAlignment="1" pivotButton="0" quotePrefix="0" xfId="0">
      <alignment horizontal="right" vertical="bottom"/>
    </xf>
    <xf numFmtId="168" fontId="31" fillId="4" borderId="14" applyAlignment="1" pivotButton="0" quotePrefix="0" xfId="0">
      <alignment horizontal="right" vertical="bottom"/>
    </xf>
    <xf numFmtId="170" fontId="31" fillId="15" borderId="14" applyAlignment="1" pivotButton="0" quotePrefix="0" xfId="0">
      <alignment horizontal="right" vertical="bottom"/>
    </xf>
    <xf numFmtId="9" fontId="30" fillId="4" borderId="14" applyAlignment="1" pivotButton="0" quotePrefix="0" xfId="0">
      <alignment horizontal="right" vertical="bottom"/>
    </xf>
    <xf numFmtId="9" fontId="30" fillId="7" borderId="14" applyAlignment="1" pivotButton="0" quotePrefix="0" xfId="0">
      <alignment horizontal="right" vertical="bottom"/>
    </xf>
    <xf numFmtId="49" fontId="31" fillId="4" borderId="25" applyAlignment="1" pivotButton="0" quotePrefix="0" xfId="0">
      <alignment vertical="bottom"/>
    </xf>
    <xf numFmtId="170" fontId="31" fillId="4" borderId="26" applyAlignment="1" pivotButton="0" quotePrefix="0" xfId="0">
      <alignment horizontal="right" vertical="bottom"/>
    </xf>
    <xf numFmtId="170" fontId="31" fillId="4" borderId="24" applyAlignment="1" pivotButton="0" quotePrefix="0" xfId="0">
      <alignment horizontal="right" vertical="bottom"/>
    </xf>
    <xf numFmtId="170" fontId="31" fillId="4" borderId="25" applyAlignment="1" pivotButton="0" quotePrefix="0" xfId="0">
      <alignment horizontal="right" vertical="bottom"/>
    </xf>
    <xf numFmtId="170" fontId="31" fillId="15" borderId="25" applyAlignment="1" pivotButton="0" quotePrefix="0" xfId="0">
      <alignment horizontal="right" vertical="bottom"/>
    </xf>
    <xf numFmtId="170" fontId="32" fillId="7" borderId="14" applyAlignment="1" pivotButton="0" quotePrefix="0" xfId="0">
      <alignment horizontal="right" vertical="bottom"/>
    </xf>
    <xf numFmtId="168" fontId="31" fillId="4" borderId="22" applyAlignment="1" pivotButton="0" quotePrefix="0" xfId="0">
      <alignment horizontal="right" vertical="bottom"/>
    </xf>
    <xf numFmtId="168" fontId="31" fillId="4" borderId="20" applyAlignment="1" pivotButton="0" quotePrefix="0" xfId="0">
      <alignment horizontal="right" vertical="bottom"/>
    </xf>
    <xf numFmtId="168" fontId="32" fillId="4" borderId="15" applyAlignment="1" pivotButton="0" quotePrefix="0" xfId="0">
      <alignment horizontal="right" vertical="bottom"/>
    </xf>
    <xf numFmtId="170" fontId="31" fillId="11" borderId="25" applyAlignment="1" pivotButton="0" quotePrefix="0" xfId="0">
      <alignment horizontal="right" vertical="bottom"/>
    </xf>
    <xf numFmtId="49" fontId="31" fillId="4" borderId="9" applyAlignment="1" pivotButton="0" quotePrefix="0" xfId="0">
      <alignment vertical="bottom"/>
    </xf>
    <xf numFmtId="170" fontId="31" fillId="4" borderId="10" applyAlignment="1" pivotButton="0" quotePrefix="0" xfId="0">
      <alignment horizontal="right" vertical="bottom"/>
    </xf>
    <xf numFmtId="168" fontId="31" fillId="4" borderId="8" applyAlignment="1" pivotButton="0" quotePrefix="0" xfId="0">
      <alignment horizontal="right" vertical="bottom"/>
    </xf>
    <xf numFmtId="168" fontId="31" fillId="4" borderId="9" applyAlignment="1" pivotButton="0" quotePrefix="0" xfId="0">
      <alignment horizontal="right" vertical="bottom"/>
    </xf>
    <xf numFmtId="170" fontId="31" fillId="11" borderId="18" applyAlignment="1" pivotButton="0" quotePrefix="0" xfId="0">
      <alignment horizontal="right" vertical="bottom"/>
    </xf>
    <xf numFmtId="170" fontId="31" fillId="7" borderId="14" applyAlignment="1" pivotButton="0" quotePrefix="0" xfId="0">
      <alignment horizontal="right" vertical="bottom"/>
    </xf>
    <xf numFmtId="169" fontId="32" fillId="4" borderId="14" applyAlignment="1" pivotButton="0" quotePrefix="0" xfId="0">
      <alignment horizontal="right" vertical="bottom"/>
    </xf>
    <xf numFmtId="169" fontId="32" fillId="4" borderId="10" applyAlignment="1" pivotButton="0" quotePrefix="0" xfId="0">
      <alignment horizontal="right" vertical="bottom"/>
    </xf>
    <xf numFmtId="171" fontId="32" fillId="4" borderId="8" applyAlignment="1" pivotButton="0" quotePrefix="0" xfId="0">
      <alignment vertical="bottom"/>
    </xf>
    <xf numFmtId="171" fontId="32" fillId="4" borderId="9" applyAlignment="1" pivotButton="0" quotePrefix="0" xfId="0">
      <alignment vertical="bottom"/>
    </xf>
    <xf numFmtId="169" fontId="32" fillId="4" borderId="9" applyAlignment="1" pivotButton="0" quotePrefix="0" xfId="0">
      <alignment horizontal="right" vertical="bottom"/>
    </xf>
    <xf numFmtId="169" fontId="39" fillId="4" borderId="14" applyAlignment="1" pivotButton="0" quotePrefix="0" xfId="0">
      <alignment horizontal="right" vertical="bottom"/>
    </xf>
    <xf numFmtId="169" fontId="32" fillId="7" borderId="9" applyAlignment="1" pivotButton="0" quotePrefix="0" xfId="0">
      <alignment horizontal="right" vertical="bottom"/>
    </xf>
    <xf numFmtId="176" fontId="30" fillId="4" borderId="14" applyAlignment="1" pivotButton="0" quotePrefix="0" xfId="0">
      <alignment horizontal="right" vertical="bottom"/>
    </xf>
    <xf numFmtId="0" fontId="40" fillId="4" borderId="25" applyAlignment="1" pivotButton="0" quotePrefix="0" xfId="0">
      <alignment vertical="bottom"/>
    </xf>
    <xf numFmtId="9" fontId="41" fillId="4" borderId="25" applyAlignment="1" pivotButton="0" quotePrefix="0" xfId="0">
      <alignment vertical="bottom"/>
    </xf>
    <xf numFmtId="9" fontId="31" fillId="4" borderId="14" applyAlignment="1" pivotButton="0" quotePrefix="0" xfId="0">
      <alignment horizontal="right" vertical="bottom"/>
    </xf>
    <xf numFmtId="170" fontId="35" fillId="4" borderId="14" applyAlignment="1" pivotButton="0" quotePrefix="0" xfId="0">
      <alignment horizontal="right" vertical="bottom"/>
    </xf>
    <xf numFmtId="9" fontId="31" fillId="11" borderId="14" applyAlignment="1" pivotButton="0" quotePrefix="0" xfId="0">
      <alignment horizontal="right" vertical="bottom"/>
    </xf>
    <xf numFmtId="0" fontId="30" fillId="4" borderId="27" applyAlignment="1" pivotButton="0" quotePrefix="0" xfId="0">
      <alignment vertical="bottom"/>
    </xf>
    <xf numFmtId="170" fontId="30" fillId="4" borderId="26" applyAlignment="1" pivotButton="0" quotePrefix="0" xfId="0">
      <alignment horizontal="right" vertical="bottom"/>
    </xf>
    <xf numFmtId="170" fontId="30" fillId="4" borderId="24" applyAlignment="1" pivotButton="0" quotePrefix="0" xfId="0">
      <alignment horizontal="right" vertical="bottom"/>
    </xf>
    <xf numFmtId="170" fontId="30" fillId="4" borderId="25" applyAlignment="1" pivotButton="0" quotePrefix="0" xfId="0">
      <alignment horizontal="right" vertical="bottom"/>
    </xf>
    <xf numFmtId="9" fontId="30" fillId="4" borderId="25" applyAlignment="1" pivotButton="0" quotePrefix="0" xfId="0">
      <alignment horizontal="right" vertical="bottom"/>
    </xf>
    <xf numFmtId="170" fontId="30" fillId="4" borderId="14" applyAlignment="1" pivotButton="0" quotePrefix="0" xfId="0">
      <alignment horizontal="right" vertical="bottom"/>
    </xf>
    <xf numFmtId="170" fontId="42" fillId="4" borderId="14" applyAlignment="1" pivotButton="0" quotePrefix="0" xfId="0">
      <alignment horizontal="right" vertical="bottom"/>
    </xf>
    <xf numFmtId="164" fontId="32" fillId="4" borderId="8" applyAlignment="1" pivotButton="0" quotePrefix="0" xfId="0">
      <alignment vertical="bottom"/>
    </xf>
    <xf numFmtId="164" fontId="32" fillId="4" borderId="9" applyAlignment="1" pivotButton="0" quotePrefix="0" xfId="0">
      <alignment vertical="bottom"/>
    </xf>
    <xf numFmtId="164" fontId="32" fillId="4" borderId="14" applyAlignment="1" pivotButton="0" quotePrefix="0" xfId="0">
      <alignment vertical="bottom"/>
    </xf>
    <xf numFmtId="49" fontId="32" fillId="4" borderId="18" applyAlignment="1" pivotButton="0" quotePrefix="0" xfId="0">
      <alignment vertical="bottom"/>
    </xf>
    <xf numFmtId="168" fontId="32" fillId="4" borderId="19" applyAlignment="1" pivotButton="0" quotePrefix="0" xfId="0">
      <alignment horizontal="right" vertical="bottom"/>
    </xf>
    <xf numFmtId="173" fontId="32" fillId="4" borderId="17" applyAlignment="1" pivotButton="0" quotePrefix="0" xfId="0">
      <alignment vertical="bottom"/>
    </xf>
    <xf numFmtId="173" fontId="32" fillId="4" borderId="18" applyAlignment="1" pivotButton="0" quotePrefix="0" xfId="0">
      <alignment vertical="bottom"/>
    </xf>
    <xf numFmtId="173" fontId="32" fillId="4" borderId="14" applyAlignment="1" pivotButton="0" quotePrefix="0" xfId="0">
      <alignment vertical="bottom"/>
    </xf>
    <xf numFmtId="168" fontId="32" fillId="4" borderId="22" applyAlignment="1" pivotButton="0" quotePrefix="0" xfId="0">
      <alignment horizontal="right" vertical="bottom"/>
    </xf>
    <xf numFmtId="168" fontId="32" fillId="4" borderId="20" applyAlignment="1" pivotButton="0" quotePrefix="0" xfId="0">
      <alignment horizontal="right" vertical="bottom"/>
    </xf>
    <xf numFmtId="169" fontId="32" fillId="4" borderId="20" applyAlignment="1" pivotButton="0" quotePrefix="0" xfId="0">
      <alignment horizontal="right" vertical="bottom"/>
    </xf>
    <xf numFmtId="0" fontId="30" fillId="4" borderId="14" applyAlignment="1" pivotButton="0" quotePrefix="0" xfId="0">
      <alignment vertical="bottom"/>
    </xf>
    <xf numFmtId="168" fontId="30" fillId="4" borderId="22" applyAlignment="1" pivotButton="0" quotePrefix="0" xfId="0">
      <alignment horizontal="right" vertical="bottom"/>
    </xf>
    <xf numFmtId="169" fontId="30" fillId="4" borderId="20" applyAlignment="1" pivotButton="0" quotePrefix="0" xfId="0">
      <alignment horizontal="right" vertical="bottom"/>
    </xf>
    <xf numFmtId="169" fontId="30" fillId="4" borderId="14" applyAlignment="1" pivotButton="0" quotePrefix="0" xfId="0">
      <alignment horizontal="right" vertical="bottom"/>
    </xf>
    <xf numFmtId="176" fontId="31" fillId="4" borderId="22" applyAlignment="1" pivotButton="0" quotePrefix="0" xfId="0">
      <alignment horizontal="right" vertical="bottom"/>
    </xf>
    <xf numFmtId="173" fontId="31" fillId="4" borderId="20" applyAlignment="1" pivotButton="0" quotePrefix="0" xfId="0">
      <alignment vertical="bottom"/>
    </xf>
    <xf numFmtId="173" fontId="31" fillId="4" borderId="14" applyAlignment="1" pivotButton="0" quotePrefix="0" xfId="0">
      <alignment vertical="bottom"/>
    </xf>
    <xf numFmtId="170" fontId="31" fillId="4" borderId="20" applyAlignment="1" pivotButton="0" quotePrefix="0" xfId="0">
      <alignment vertical="bottom"/>
    </xf>
    <xf numFmtId="170" fontId="31" fillId="4" borderId="14" applyAlignment="1" pivotButton="0" quotePrefix="0" xfId="0">
      <alignment vertical="bottom"/>
    </xf>
    <xf numFmtId="0" fontId="34" fillId="4" borderId="14" applyAlignment="1" pivotButton="0" quotePrefix="0" xfId="0">
      <alignment vertical="bottom"/>
    </xf>
    <xf numFmtId="170" fontId="34" fillId="4" borderId="22" applyAlignment="1" pivotButton="0" quotePrefix="0" xfId="0">
      <alignment horizontal="right" vertical="bottom"/>
    </xf>
    <xf numFmtId="0" fontId="32" fillId="4" borderId="27" applyAlignment="1" pivotButton="0" quotePrefix="0" xfId="0">
      <alignment vertical="bottom"/>
    </xf>
    <xf numFmtId="49" fontId="32" fillId="4" borderId="25" applyAlignment="1" pivotButton="0" quotePrefix="0" xfId="0">
      <alignment vertical="bottom"/>
    </xf>
    <xf numFmtId="0" fontId="32" fillId="4" borderId="26" applyAlignment="1" pivotButton="0" quotePrefix="0" xfId="0">
      <alignment horizontal="right" vertical="bottom"/>
    </xf>
    <xf numFmtId="173" fontId="32" fillId="4" borderId="24" applyAlignment="1" pivotButton="0" quotePrefix="0" xfId="0">
      <alignment vertical="bottom"/>
    </xf>
    <xf numFmtId="173" fontId="32" fillId="4" borderId="25" applyAlignment="1" pivotButton="0" quotePrefix="0" xfId="0">
      <alignment vertical="bottom"/>
    </xf>
    <xf numFmtId="173" fontId="32" fillId="16" borderId="25" applyAlignment="1" pivotButton="0" quotePrefix="0" xfId="0">
      <alignment vertical="bottom"/>
    </xf>
    <xf numFmtId="0" fontId="32" fillId="4" borderId="25" applyAlignment="1" pivotButton="0" quotePrefix="0" xfId="0">
      <alignment horizontal="right" vertical="bottom"/>
    </xf>
    <xf numFmtId="169" fontId="30" fillId="4" borderId="25" applyAlignment="1" pivotButton="0" quotePrefix="0" xfId="0">
      <alignment horizontal="right" vertical="bottom"/>
    </xf>
    <xf numFmtId="176" fontId="31" fillId="4" borderId="14" applyAlignment="1" pivotButton="0" quotePrefix="0" xfId="0">
      <alignment horizontal="right" vertical="bottom"/>
    </xf>
    <xf numFmtId="0" fontId="32" fillId="4" borderId="10" applyAlignment="1" pivotButton="0" quotePrefix="0" xfId="0">
      <alignment horizontal="right" vertical="bottom"/>
    </xf>
    <xf numFmtId="183" fontId="32" fillId="4" borderId="8" applyAlignment="1" pivotButton="0" quotePrefix="0" xfId="0">
      <alignment vertical="bottom"/>
    </xf>
    <xf numFmtId="183" fontId="32" fillId="4" borderId="9" applyAlignment="1" pivotButton="0" quotePrefix="0" xfId="0">
      <alignment vertical="bottom"/>
    </xf>
    <xf numFmtId="165" fontId="36" fillId="11" borderId="9" applyAlignment="1" pivotButton="0" quotePrefix="0" xfId="0">
      <alignment vertical="bottom" wrapText="1"/>
    </xf>
    <xf numFmtId="0" fontId="32" fillId="11" borderId="9" applyAlignment="1" pivotButton="0" quotePrefix="0" xfId="0">
      <alignment horizontal="right" vertical="bottom"/>
    </xf>
    <xf numFmtId="49" fontId="32" fillId="11" borderId="9" applyAlignment="1" pivotButton="0" quotePrefix="0" xfId="0">
      <alignment horizontal="right" vertical="bottom"/>
    </xf>
    <xf numFmtId="173" fontId="32" fillId="4" borderId="9" applyAlignment="1" pivotButton="0" quotePrefix="0" xfId="0">
      <alignment vertical="bottom"/>
    </xf>
    <xf numFmtId="169" fontId="31" fillId="4" borderId="14" applyAlignment="1" pivotButton="0" quotePrefix="0" xfId="0">
      <alignment horizontal="right" vertical="bottom"/>
    </xf>
    <xf numFmtId="0" fontId="31" fillId="4" borderId="19" applyAlignment="1" pivotButton="0" quotePrefix="0" xfId="0">
      <alignment horizontal="right" vertical="bottom"/>
    </xf>
    <xf numFmtId="9" fontId="31" fillId="4" borderId="17" applyAlignment="1" pivotButton="0" quotePrefix="0" xfId="0">
      <alignment horizontal="right" vertical="bottom"/>
    </xf>
    <xf numFmtId="9" fontId="31" fillId="4" borderId="18" applyAlignment="1" pivotButton="0" quotePrefix="0" xfId="0">
      <alignment horizontal="right" vertical="bottom"/>
    </xf>
    <xf numFmtId="170" fontId="30" fillId="4" borderId="18" applyAlignment="1" pivotButton="0" quotePrefix="0" xfId="0">
      <alignment horizontal="right" vertical="bottom"/>
    </xf>
    <xf numFmtId="49" fontId="30" fillId="4" borderId="18" applyAlignment="1" pivotButton="0" quotePrefix="0" xfId="0">
      <alignment horizontal="right" vertical="bottom"/>
    </xf>
    <xf numFmtId="49" fontId="32" fillId="4" borderId="14" applyAlignment="1" pivotButton="0" quotePrefix="0" xfId="0">
      <alignment vertical="bottom"/>
    </xf>
    <xf numFmtId="173" fontId="32" fillId="4" borderId="20" applyAlignment="1" pivotButton="0" quotePrefix="0" xfId="0">
      <alignment vertical="bottom"/>
    </xf>
    <xf numFmtId="173" fontId="32" fillId="11" borderId="14" applyAlignment="1" pivotButton="0" quotePrefix="0" xfId="0">
      <alignment vertical="bottom"/>
    </xf>
    <xf numFmtId="0" fontId="43" fillId="4" borderId="14" applyAlignment="1" pivotButton="0" quotePrefix="0" xfId="0">
      <alignment vertical="bottom"/>
    </xf>
    <xf numFmtId="171" fontId="32" fillId="4" borderId="14" applyAlignment="1" pivotButton="0" quotePrefix="0" xfId="0">
      <alignment vertical="bottom"/>
    </xf>
    <xf numFmtId="176" fontId="32" fillId="4" borderId="14" applyAlignment="1" pivotButton="0" quotePrefix="0" xfId="0">
      <alignment horizontal="right" vertical="bottom"/>
    </xf>
    <xf numFmtId="0" fontId="31" fillId="4" borderId="25" applyAlignment="1" pivotButton="0" quotePrefix="0" xfId="0">
      <alignment horizontal="right" vertical="bottom"/>
    </xf>
    <xf numFmtId="0" fontId="44" fillId="4" borderId="14" applyAlignment="1" pivotButton="0" quotePrefix="0" xfId="0">
      <alignment vertical="bottom"/>
    </xf>
    <xf numFmtId="49" fontId="32" fillId="11" borderId="8" applyAlignment="1" pivotButton="0" quotePrefix="0" xfId="0">
      <alignment vertical="bottom"/>
    </xf>
    <xf numFmtId="0" fontId="32" fillId="11" borderId="10" applyAlignment="1" pivotButton="0" quotePrefix="0" xfId="0">
      <alignment horizontal="right" vertical="bottom"/>
    </xf>
    <xf numFmtId="0" fontId="31" fillId="4" borderId="20" applyAlignment="1" pivotButton="0" quotePrefix="0" xfId="0">
      <alignment horizontal="right" vertical="bottom"/>
    </xf>
    <xf numFmtId="0" fontId="32" fillId="11" borderId="9" applyAlignment="1" pivotButton="0" quotePrefix="0" xfId="0">
      <alignment vertical="bottom"/>
    </xf>
    <xf numFmtId="0" fontId="32" fillId="11" borderId="10" applyAlignment="1" pivotButton="0" quotePrefix="0" xfId="0">
      <alignment vertical="bottom"/>
    </xf>
    <xf numFmtId="0" fontId="32" fillId="4" borderId="20" applyAlignment="1" pivotButton="0" quotePrefix="0" xfId="0">
      <alignment vertical="bottom"/>
    </xf>
    <xf numFmtId="49" fontId="45" fillId="4" borderId="14" applyAlignment="1" pivotButton="0" quotePrefix="0" xfId="0">
      <alignment vertical="bottom"/>
    </xf>
    <xf numFmtId="173" fontId="45" fillId="11" borderId="22" applyAlignment="1" pivotButton="0" quotePrefix="0" xfId="0">
      <alignment vertical="bottom"/>
    </xf>
    <xf numFmtId="173" fontId="45" fillId="11" borderId="21" applyAlignment="1" pivotButton="0" quotePrefix="0" xfId="0">
      <alignment vertical="bottom"/>
    </xf>
    <xf numFmtId="173" fontId="46" fillId="4" borderId="14" applyAlignment="1" pivotButton="0" quotePrefix="0" xfId="0">
      <alignment vertical="bottom"/>
    </xf>
    <xf numFmtId="49" fontId="31" fillId="4" borderId="17" applyAlignment="1" pivotButton="0" quotePrefix="0" xfId="0">
      <alignment vertical="bottom"/>
    </xf>
    <xf numFmtId="14" fontId="31" fillId="4" borderId="19" applyAlignment="1" pivotButton="0" quotePrefix="0" xfId="0">
      <alignment vertical="bottom"/>
    </xf>
    <xf numFmtId="14" fontId="31" fillId="4" borderId="20" applyAlignment="1" pivotButton="0" quotePrefix="0" xfId="0">
      <alignment vertical="bottom"/>
    </xf>
    <xf numFmtId="14" fontId="31" fillId="4" borderId="14" applyAlignment="1" pivotButton="0" quotePrefix="0" xfId="0">
      <alignment vertical="bottom"/>
    </xf>
    <xf numFmtId="170" fontId="32" fillId="4" borderId="14" applyAlignment="1" pivotButton="0" quotePrefix="0" xfId="0">
      <alignment vertical="bottom"/>
    </xf>
    <xf numFmtId="49" fontId="47" fillId="4" borderId="14" applyAlignment="1" pivotButton="0" quotePrefix="0" xfId="0">
      <alignment vertical="bottom"/>
    </xf>
    <xf numFmtId="49" fontId="31" fillId="4" borderId="24" applyAlignment="1" pivotButton="0" quotePrefix="0" xfId="0">
      <alignment vertical="bottom"/>
    </xf>
    <xf numFmtId="14" fontId="31" fillId="4" borderId="26" applyAlignment="1" pivotButton="0" quotePrefix="0" xfId="0">
      <alignment vertical="bottom"/>
    </xf>
    <xf numFmtId="49" fontId="31" fillId="4" borderId="20" applyAlignment="1" pivotButton="0" quotePrefix="0" xfId="0">
      <alignment vertical="bottom"/>
    </xf>
    <xf numFmtId="164" fontId="31" fillId="4" borderId="22" applyAlignment="1" pivotButton="0" quotePrefix="0" xfId="0">
      <alignment vertical="bottom"/>
    </xf>
    <xf numFmtId="164" fontId="31" fillId="4" borderId="20" applyAlignment="1" pivotButton="0" quotePrefix="0" xfId="0">
      <alignment vertical="bottom"/>
    </xf>
    <xf numFmtId="164" fontId="31" fillId="4" borderId="14" applyAlignment="1" pivotButton="0" quotePrefix="0" xfId="0">
      <alignment vertical="bottom"/>
    </xf>
    <xf numFmtId="171" fontId="30" fillId="4" borderId="14" applyAlignment="1" pivotButton="0" quotePrefix="0" xfId="0">
      <alignment vertical="bottom"/>
    </xf>
    <xf numFmtId="166" fontId="31" fillId="4" borderId="14" applyAlignment="1" pivotButton="0" quotePrefix="0" xfId="0">
      <alignment vertical="center"/>
    </xf>
    <xf numFmtId="184" fontId="31" fillId="4" borderId="19" applyAlignment="1" pivotButton="0" quotePrefix="0" xfId="0">
      <alignment vertical="bottom"/>
    </xf>
    <xf numFmtId="49" fontId="7" fillId="4" borderId="22" applyAlignment="1" pivotButton="0" quotePrefix="0" xfId="0">
      <alignment vertical="bottom"/>
    </xf>
    <xf numFmtId="0" fontId="31" fillId="4" borderId="26" applyAlignment="1" pivotButton="0" quotePrefix="0" xfId="0">
      <alignment vertical="bottom"/>
    </xf>
    <xf numFmtId="49" fontId="32" fillId="4" borderId="20" applyAlignment="1" pivotButton="0" quotePrefix="0" xfId="0">
      <alignment vertical="bottom"/>
    </xf>
    <xf numFmtId="173" fontId="32" fillId="11" borderId="22" applyAlignment="1" pivotButton="0" quotePrefix="0" xfId="0">
      <alignment vertical="bottom"/>
    </xf>
    <xf numFmtId="49" fontId="32" fillId="4" borderId="16" applyAlignment="1" pivotButton="0" quotePrefix="0" xfId="0">
      <alignment vertical="bottom"/>
    </xf>
    <xf numFmtId="0" fontId="32" fillId="4" borderId="17" applyAlignment="1" pivotButton="0" quotePrefix="0" xfId="0">
      <alignment vertical="bottom"/>
    </xf>
    <xf numFmtId="173" fontId="32" fillId="11" borderId="19" applyAlignment="1" pivotButton="0" quotePrefix="0" xfId="0">
      <alignment vertical="bottom"/>
    </xf>
    <xf numFmtId="49" fontId="32" fillId="4" borderId="17" applyAlignment="1" pivotButton="0" quotePrefix="0" xfId="0">
      <alignment vertical="bottom"/>
    </xf>
    <xf numFmtId="173" fontId="38" fillId="4" borderId="22" applyAlignment="1" pivotButton="0" quotePrefix="0" xfId="0">
      <alignment vertical="bottom"/>
    </xf>
    <xf numFmtId="173" fontId="38" fillId="4" borderId="20" applyAlignment="1" pivotButton="0" quotePrefix="0" xfId="0">
      <alignment vertical="bottom"/>
    </xf>
    <xf numFmtId="173" fontId="38" fillId="4" borderId="14" applyAlignment="1" pivotButton="0" quotePrefix="0" xfId="0">
      <alignment vertical="bottom"/>
    </xf>
    <xf numFmtId="9" fontId="31" fillId="4" borderId="14" applyAlignment="1" pivotButton="0" quotePrefix="0" xfId="0">
      <alignment vertical="bottom"/>
    </xf>
    <xf numFmtId="166" fontId="31" fillId="4" borderId="22" applyAlignment="1" pivotButton="0" quotePrefix="0" xfId="0">
      <alignment vertical="center"/>
    </xf>
    <xf numFmtId="0" fontId="8" fillId="4" borderId="22" applyAlignment="1" pivotButton="0" quotePrefix="0" xfId="0">
      <alignment vertical="bottom"/>
    </xf>
    <xf numFmtId="9" fontId="32" fillId="11" borderId="22" applyAlignment="1" pivotButton="0" quotePrefix="0" xfId="0">
      <alignment vertical="bottom"/>
    </xf>
    <xf numFmtId="0" fontId="30" fillId="4" borderId="20" applyAlignment="1" pivotButton="0" quotePrefix="0" xfId="0">
      <alignment horizontal="left" vertical="bottom"/>
    </xf>
    <xf numFmtId="9" fontId="32" fillId="4" borderId="20" applyAlignment="1" pivotButton="0" quotePrefix="0" xfId="0">
      <alignment vertical="bottom"/>
    </xf>
    <xf numFmtId="9" fontId="32" fillId="4" borderId="14" applyAlignment="1" pivotButton="0" quotePrefix="0" xfId="0">
      <alignment vertical="bottom"/>
    </xf>
    <xf numFmtId="183" fontId="31" fillId="4" borderId="22" applyAlignment="1" pivotButton="0" quotePrefix="0" xfId="0">
      <alignment vertical="bottom"/>
    </xf>
    <xf numFmtId="183" fontId="31" fillId="4" borderId="20" applyAlignment="1" pivotButton="0" quotePrefix="0" xfId="0">
      <alignment vertical="bottom"/>
    </xf>
    <xf numFmtId="183" fontId="31" fillId="4" borderId="14" applyAlignment="1" pivotButton="0" quotePrefix="0" xfId="0">
      <alignment vertical="bottom"/>
    </xf>
    <xf numFmtId="169" fontId="0" fillId="4" borderId="14" applyAlignment="1" pivotButton="0" quotePrefix="0" xfId="0">
      <alignment vertical="bottom"/>
    </xf>
    <xf numFmtId="9" fontId="32" fillId="4" borderId="22" applyAlignment="1" pivotButton="0" quotePrefix="0" xfId="0">
      <alignment vertical="bottom"/>
    </xf>
    <xf numFmtId="170" fontId="32" fillId="7" borderId="22" applyAlignment="1" pivotButton="0" quotePrefix="0" xfId="0">
      <alignment vertical="bottom"/>
    </xf>
    <xf numFmtId="170" fontId="32" fillId="4" borderId="20" applyAlignment="1" pivotButton="0" quotePrefix="0" xfId="0">
      <alignment vertical="bottom"/>
    </xf>
    <xf numFmtId="9" fontId="32" fillId="7" borderId="22" applyAlignment="1" pivotButton="0" quotePrefix="0" xfId="0">
      <alignment vertical="bottom"/>
    </xf>
    <xf numFmtId="175" fontId="31" fillId="4" borderId="22" applyAlignment="1" pivotButton="0" quotePrefix="0" xfId="0">
      <alignment vertical="bottom"/>
    </xf>
    <xf numFmtId="170" fontId="31" fillId="4" borderId="26" applyAlignment="1" pivotButton="0" quotePrefix="0" xfId="0">
      <alignment vertical="bottom"/>
    </xf>
    <xf numFmtId="183" fontId="31" fillId="4" borderId="25" applyAlignment="1" pivotButton="0" quotePrefix="0" xfId="0">
      <alignment vertical="bottom"/>
    </xf>
    <xf numFmtId="0" fontId="48" fillId="4" borderId="20" applyAlignment="1" pivotButton="0" quotePrefix="0" xfId="0">
      <alignment horizontal="right" vertical="bottom"/>
    </xf>
    <xf numFmtId="0" fontId="19" fillId="4" borderId="14" applyAlignment="1" pivotButton="0" quotePrefix="0" xfId="0">
      <alignment vertical="bottom"/>
    </xf>
    <xf numFmtId="0" fontId="19" fillId="4" borderId="22" applyAlignment="1" pivotButton="0" quotePrefix="0" xfId="0">
      <alignment vertical="bottom"/>
    </xf>
    <xf numFmtId="170" fontId="31" fillId="4" borderId="22" applyAlignment="1" pivotButton="0" quotePrefix="0" xfId="0">
      <alignment vertical="bottom"/>
    </xf>
    <xf numFmtId="170" fontId="30" fillId="4" borderId="14" applyAlignment="1" pivotButton="0" quotePrefix="0" xfId="0">
      <alignment vertical="bottom"/>
    </xf>
    <xf numFmtId="170" fontId="30" fillId="4" borderId="18" applyAlignment="1" pivotButton="0" quotePrefix="0" xfId="0">
      <alignment vertical="bottom"/>
    </xf>
    <xf numFmtId="0" fontId="44" fillId="4" borderId="22" applyAlignment="1" pivotButton="0" quotePrefix="0" xfId="0">
      <alignment vertical="bottom"/>
    </xf>
    <xf numFmtId="9" fontId="32" fillId="7" borderId="7" applyAlignment="1" pivotButton="0" quotePrefix="0" xfId="0">
      <alignment vertical="bottom"/>
    </xf>
    <xf numFmtId="49" fontId="32" fillId="4" borderId="24" applyAlignment="1" pivotButton="0" quotePrefix="0" xfId="0">
      <alignment vertical="bottom"/>
    </xf>
    <xf numFmtId="170" fontId="32" fillId="7" borderId="26" applyAlignment="1" pivotButton="0" quotePrefix="0" xfId="0">
      <alignment vertical="bottom"/>
    </xf>
    <xf numFmtId="2" fontId="30" fillId="4" borderId="14" applyAlignment="1" pivotButton="0" quotePrefix="0" xfId="0">
      <alignment vertical="bottom"/>
    </xf>
    <xf numFmtId="9" fontId="32" fillId="7" borderId="26" applyAlignment="1" pivotButton="0" quotePrefix="0" xfId="0">
      <alignment vertical="bottom"/>
    </xf>
    <xf numFmtId="9" fontId="32" fillId="11" borderId="21" applyAlignment="1" pivotButton="0" quotePrefix="0" xfId="0">
      <alignment vertical="bottom"/>
    </xf>
    <xf numFmtId="0" fontId="30" fillId="4" borderId="14" applyAlignment="1" pivotButton="0" quotePrefix="0" xfId="0">
      <alignment horizontal="right" vertical="bottom"/>
    </xf>
    <xf numFmtId="183" fontId="31" fillId="4" borderId="21" applyAlignment="1" pivotButton="0" quotePrefix="0" xfId="0">
      <alignment vertical="bottom"/>
    </xf>
    <xf numFmtId="170" fontId="32" fillId="7" borderId="21" applyAlignment="1" pivotButton="0" quotePrefix="0" xfId="0">
      <alignment vertical="bottom"/>
    </xf>
    <xf numFmtId="49" fontId="49" fillId="4" borderId="14" applyAlignment="1" pivotButton="0" quotePrefix="0" xfId="0">
      <alignment horizontal="right" vertical="bottom"/>
    </xf>
    <xf numFmtId="0" fontId="50" fillId="4" borderId="14" applyAlignment="1" pivotButton="0" quotePrefix="0" xfId="0">
      <alignment vertical="bottom"/>
    </xf>
    <xf numFmtId="9" fontId="31" fillId="4" borderId="25" applyAlignment="1" pivotButton="0" quotePrefix="0" xfId="0">
      <alignment vertical="bottom"/>
    </xf>
    <xf numFmtId="0" fontId="30" fillId="4" borderId="22" applyAlignment="1" pivotButton="0" quotePrefix="0" xfId="0">
      <alignment horizontal="right" vertical="bottom"/>
    </xf>
    <xf numFmtId="0" fontId="50" fillId="4" borderId="22" applyAlignment="1" pivotButton="0" quotePrefix="0" xfId="0">
      <alignment vertical="bottom"/>
    </xf>
    <xf numFmtId="9" fontId="32" fillId="4" borderId="7" applyAlignment="1" pivotButton="0" quotePrefix="0" xfId="0">
      <alignment vertical="bottom"/>
    </xf>
    <xf numFmtId="9" fontId="32" fillId="4" borderId="14" applyAlignment="1" pivotButton="0" quotePrefix="0" xfId="0">
      <alignment horizontal="right" vertical="bottom"/>
    </xf>
    <xf numFmtId="49" fontId="32" fillId="4" borderId="22" applyAlignment="1" pivotButton="0" quotePrefix="0" xfId="0">
      <alignment horizontal="left" vertical="bottom"/>
    </xf>
    <xf numFmtId="49" fontId="30" fillId="7" borderId="14" applyAlignment="1" pivotButton="0" quotePrefix="0" xfId="0">
      <alignment horizontal="right" vertical="bottom"/>
    </xf>
    <xf numFmtId="2" fontId="30" fillId="7" borderId="14" applyAlignment="1" pivotButton="0" quotePrefix="0" xfId="0">
      <alignment vertical="bottom"/>
    </xf>
    <xf numFmtId="0" fontId="51" fillId="4" borderId="14" applyAlignment="1" pivotButton="0" quotePrefix="0" xfId="0">
      <alignment vertical="bottom"/>
    </xf>
    <xf numFmtId="0" fontId="51" fillId="4" borderId="14" applyAlignment="1" pivotButton="0" quotePrefix="0" xfId="0">
      <alignment horizontal="right" vertical="bottom"/>
    </xf>
    <xf numFmtId="2" fontId="51" fillId="4" borderId="18" applyAlignment="1" pivotButton="0" quotePrefix="0" xfId="0">
      <alignment vertical="bottom"/>
    </xf>
    <xf numFmtId="0" fontId="51" fillId="4" borderId="18" applyAlignment="1" pivotButton="0" quotePrefix="0" xfId="0">
      <alignment horizontal="right" vertical="bottom"/>
    </xf>
    <xf numFmtId="0" fontId="16" fillId="4" borderId="18" applyAlignment="1" pivotButton="0" quotePrefix="0" xfId="0">
      <alignment vertical="bottom"/>
    </xf>
    <xf numFmtId="49" fontId="30" fillId="4" borderId="14" applyAlignment="1" pivotButton="0" quotePrefix="0" xfId="0">
      <alignment horizontal="right" vertical="bottom"/>
    </xf>
    <xf numFmtId="9" fontId="30" fillId="4" borderId="14" applyAlignment="1" pivotButton="0" quotePrefix="0" xfId="0">
      <alignment vertical="bottom"/>
    </xf>
    <xf numFmtId="2" fontId="39" fillId="4" borderId="14" applyAlignment="1" pivotButton="0" quotePrefix="0" xfId="0">
      <alignment vertical="bottom"/>
    </xf>
    <xf numFmtId="2" fontId="31" fillId="4" borderId="14" applyAlignment="1" pivotButton="0" quotePrefix="0" xfId="0">
      <alignment horizontal="right" vertical="bottom"/>
    </xf>
    <xf numFmtId="183" fontId="31" fillId="4" borderId="14" applyAlignment="1" pivotButton="0" quotePrefix="0" xfId="0">
      <alignment horizontal="right" vertical="bottom"/>
    </xf>
    <xf numFmtId="164" fontId="31" fillId="4" borderId="14" applyAlignment="1" pivotButton="0" quotePrefix="0" xfId="0">
      <alignment horizontal="right" vertical="bottom"/>
    </xf>
    <xf numFmtId="183" fontId="0" fillId="4" borderId="14" applyAlignment="1" pivotButton="0" quotePrefix="0" xfId="0">
      <alignment vertical="bottom"/>
    </xf>
    <xf numFmtId="3" fontId="52" fillId="4" borderId="14" applyAlignment="1" pivotButton="0" quotePrefix="0" xfId="0">
      <alignment horizontal="right" vertical="bottom"/>
    </xf>
    <xf numFmtId="3" fontId="0" fillId="4" borderId="14" applyAlignment="1" pivotButton="0" quotePrefix="0" xfId="0">
      <alignment vertical="bottom"/>
    </xf>
    <xf numFmtId="183" fontId="32" fillId="4" borderId="14" applyAlignment="1" pivotButton="0" quotePrefix="0" xfId="0">
      <alignment vertical="bottom"/>
    </xf>
    <xf numFmtId="185" fontId="0" fillId="4" borderId="14" applyAlignment="1" pivotButton="0" quotePrefix="0" xfId="0">
      <alignment vertical="bottom"/>
    </xf>
    <xf numFmtId="0" fontId="31" fillId="4" borderId="28" applyAlignment="1" pivotButton="0" quotePrefix="0" xfId="0">
      <alignment vertical="bottom"/>
    </xf>
    <xf numFmtId="0" fontId="31" fillId="4" borderId="29" applyAlignment="1" pivotButton="0" quotePrefix="0" xfId="0">
      <alignment vertical="bottom"/>
    </xf>
    <xf numFmtId="9" fontId="31" fillId="4" borderId="2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53" applyAlignment="1" pivotButton="0" quotePrefix="0" xfId="0">
      <alignment vertical="bottom"/>
    </xf>
    <xf numFmtId="49" fontId="0" fillId="0" borderId="53" applyAlignment="1" pivotButton="0" quotePrefix="0" xfId="0">
      <alignment vertical="bottom"/>
    </xf>
    <xf numFmtId="170" fontId="0" fillId="0" borderId="53" applyAlignment="1" pivotButton="0" quotePrefix="0" xfId="0">
      <alignment vertical="bottom"/>
    </xf>
    <xf numFmtId="14" fontId="0" fillId="0" borderId="53" applyAlignment="1" pivotButton="0" quotePrefix="0" xfId="0">
      <alignment vertical="bottom"/>
    </xf>
    <xf numFmtId="0" fontId="0" fillId="0" borderId="54" applyAlignment="1" pivotButton="0" quotePrefix="0" xfId="0">
      <alignment vertical="bottom"/>
    </xf>
    <xf numFmtId="14" fontId="53" fillId="0" borderId="53" applyAlignment="1" pivotButton="0" quotePrefix="0" xfId="0">
      <alignment vertical="bottom"/>
    </xf>
    <xf numFmtId="14" fontId="53" fillId="0" borderId="55" applyAlignment="1" pivotButton="0" quotePrefix="0" xfId="0">
      <alignment vertical="bottom"/>
    </xf>
    <xf numFmtId="14" fontId="53" fillId="17" borderId="14" applyAlignment="1" pivotButton="0" quotePrefix="0" xfId="0">
      <alignment vertical="bottom"/>
    </xf>
    <xf numFmtId="14" fontId="53" fillId="0" borderId="56" applyAlignment="1" pivotButton="0" quotePrefix="0" xfId="0">
      <alignment vertical="bottom"/>
    </xf>
    <xf numFmtId="0" fontId="53" fillId="0" borderId="53" applyAlignment="1" pivotButton="0" quotePrefix="0" xfId="0">
      <alignment vertical="bottom"/>
    </xf>
    <xf numFmtId="0" fontId="53" fillId="0" borderId="53" applyAlignment="1" pivotButton="0" quotePrefix="0" xfId="0">
      <alignment vertical="bottom"/>
    </xf>
    <xf numFmtId="0" fontId="53" fillId="0" borderId="55" applyAlignment="1" pivotButton="0" quotePrefix="0" xfId="0">
      <alignment vertical="bottom"/>
    </xf>
    <xf numFmtId="0" fontId="53" fillId="17" borderId="14" applyAlignment="1" pivotButton="0" quotePrefix="0" xfId="0">
      <alignment vertical="bottom"/>
    </xf>
    <xf numFmtId="0" fontId="53" fillId="0" borderId="56" applyAlignment="1" pivotButton="0" quotePrefix="0" xfId="0">
      <alignment vertical="bottom"/>
    </xf>
    <xf numFmtId="175" fontId="53" fillId="0" borderId="53" applyAlignment="1" pivotButton="0" quotePrefix="0" xfId="0">
      <alignment vertical="bottom"/>
    </xf>
    <xf numFmtId="175" fontId="53" fillId="0" borderId="57" applyAlignment="1" pivotButton="0" quotePrefix="0" xfId="0">
      <alignment vertical="bottom"/>
    </xf>
    <xf numFmtId="2" fontId="53" fillId="0" borderId="53" applyAlignment="1" pivotButton="0" quotePrefix="0" xfId="0">
      <alignment vertical="bottom"/>
    </xf>
    <xf numFmtId="2" fontId="53" fillId="0" borderId="54" applyAlignment="1" pivotButton="0" quotePrefix="0" xfId="0">
      <alignment vertical="bottom"/>
    </xf>
    <xf numFmtId="2" fontId="53" fillId="0" borderId="55" applyAlignment="1" pivotButton="0" quotePrefix="0" xfId="0">
      <alignment vertical="bottom"/>
    </xf>
    <xf numFmtId="3" fontId="53" fillId="11" borderId="14" applyAlignment="1" pivotButton="0" quotePrefix="0" xfId="0">
      <alignment vertical="bottom"/>
    </xf>
    <xf numFmtId="168" fontId="53" fillId="0" borderId="56" applyAlignment="1" pivotButton="0" quotePrefix="0" xfId="0">
      <alignment vertical="bottom"/>
    </xf>
    <xf numFmtId="168" fontId="53" fillId="0" borderId="53" applyAlignment="1" pivotButton="0" quotePrefix="0" xfId="0">
      <alignment vertical="bottom"/>
    </xf>
    <xf numFmtId="170" fontId="53" fillId="0" borderId="53" applyAlignment="1" pivotButton="0" quotePrefix="0" xfId="0">
      <alignment vertical="bottom"/>
    </xf>
    <xf numFmtId="2" fontId="53" fillId="0" borderId="58" applyAlignment="1" pivotButton="0" quotePrefix="0" xfId="0">
      <alignment vertical="bottom"/>
    </xf>
    <xf numFmtId="170" fontId="0" fillId="0" borderId="58" applyAlignment="1" pivotButton="0" quotePrefix="0" xfId="0">
      <alignment vertical="bottom"/>
    </xf>
    <xf numFmtId="170" fontId="54" fillId="0" borderId="53" applyAlignment="1" pivotButton="0" quotePrefix="0" xfId="0">
      <alignment vertical="bottom"/>
    </xf>
    <xf numFmtId="2" fontId="53" fillId="0" borderId="57" applyAlignment="1" pivotButton="0" quotePrefix="0" xfId="0">
      <alignment vertical="bottom"/>
    </xf>
    <xf numFmtId="170" fontId="0" fillId="0" borderId="57" applyAlignment="1" pivotButton="0" quotePrefix="0" xfId="0">
      <alignment vertical="bottom"/>
    </xf>
    <xf numFmtId="3" fontId="0" fillId="0" borderId="55" applyAlignment="1" pivotButton="0" quotePrefix="0" xfId="0">
      <alignment vertical="bottom"/>
    </xf>
    <xf numFmtId="3" fontId="0" fillId="11" borderId="14" applyAlignment="1" pivotButton="0" quotePrefix="0" xfId="0">
      <alignment vertical="bottom"/>
    </xf>
    <xf numFmtId="3" fontId="0" fillId="0" borderId="56" applyAlignment="1" pivotButton="0" quotePrefix="0" xfId="0">
      <alignment vertical="bottom"/>
    </xf>
    <xf numFmtId="3" fontId="0" fillId="0" borderId="53" applyAlignment="1" pivotButton="0" quotePrefix="0" xfId="0">
      <alignment vertical="bottom"/>
    </xf>
    <xf numFmtId="0" fontId="54" fillId="0" borderId="53" applyAlignment="1" pivotButton="0" quotePrefix="0" xfId="0">
      <alignment vertical="bottom"/>
    </xf>
    <xf numFmtId="170" fontId="54" fillId="0" borderId="54" applyAlignment="1" pivotButton="0" quotePrefix="0" xfId="0">
      <alignment vertical="bottom"/>
    </xf>
    <xf numFmtId="9" fontId="0" fillId="0" borderId="53" applyAlignment="1" pivotButton="0" quotePrefix="0" xfId="0">
      <alignment vertical="bottom"/>
    </xf>
    <xf numFmtId="9" fontId="0" fillId="0" borderId="57" applyAlignment="1" pivotButton="0" quotePrefix="0" xfId="0">
      <alignment vertical="bottom"/>
    </xf>
    <xf numFmtId="170" fontId="0" fillId="0" borderId="54" applyAlignment="1" pivotButton="0" quotePrefix="0" xfId="0">
      <alignment vertical="bottom"/>
    </xf>
    <xf numFmtId="170" fontId="41" fillId="0" borderId="53" applyAlignment="1" pivotButton="0" quotePrefix="0" xfId="0">
      <alignment vertical="bottom"/>
    </xf>
    <xf numFmtId="49" fontId="53" fillId="0" borderId="53" applyAlignment="1" pivotButton="0" quotePrefix="0" xfId="0">
      <alignment vertical="bottom"/>
    </xf>
    <xf numFmtId="3" fontId="53" fillId="0" borderId="53" applyAlignment="1" pivotButton="0" quotePrefix="0" xfId="0">
      <alignment vertical="bottom"/>
    </xf>
    <xf numFmtId="3" fontId="0" fillId="0" borderId="54" applyAlignment="1" pivotButton="0" quotePrefix="0" xfId="0">
      <alignment vertical="bottom"/>
    </xf>
    <xf numFmtId="175" fontId="0" fillId="0" borderId="53" applyAlignment="1" pivotButton="0" quotePrefix="0" xfId="0">
      <alignment vertical="bottom"/>
    </xf>
    <xf numFmtId="49" fontId="0" fillId="0" borderId="55" applyAlignment="1" pivotButton="0" quotePrefix="0" xfId="0">
      <alignment vertical="bottom"/>
    </xf>
    <xf numFmtId="0" fontId="0" fillId="0" borderId="56" applyAlignment="1" pivotButton="0" quotePrefix="0" xfId="0">
      <alignment vertical="bottom"/>
    </xf>
    <xf numFmtId="3" fontId="0" fillId="0" borderId="58" applyAlignment="1" pivotButton="0" quotePrefix="0" xfId="0">
      <alignment vertical="bottom"/>
    </xf>
    <xf numFmtId="186" fontId="0" fillId="18" borderId="14" applyAlignment="1" pivotButton="0" quotePrefix="0" xfId="0">
      <alignment vertical="bottom"/>
    </xf>
    <xf numFmtId="187" fontId="0" fillId="0" borderId="53" applyAlignment="1" pivotButton="0" quotePrefix="0" xfId="0">
      <alignment vertical="bottom"/>
    </xf>
    <xf numFmtId="9" fontId="53" fillId="0" borderId="57" applyAlignment="1" pivotButton="0" quotePrefix="0" xfId="0">
      <alignment vertical="bottom"/>
    </xf>
    <xf numFmtId="1" fontId="0" fillId="11" borderId="14" applyAlignment="1" pivotButton="0" quotePrefix="0" xfId="0">
      <alignment vertical="bottom"/>
    </xf>
    <xf numFmtId="0" fontId="0" fillId="0" borderId="57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0" fontId="0" fillId="0" borderId="4" applyAlignment="1" pivotButton="0" quotePrefix="0" xfId="0">
      <alignment vertical="bottom"/>
    </xf>
    <xf numFmtId="0" fontId="0" fillId="0" borderId="5" applyAlignment="1" pivotButton="0" quotePrefix="0" xfId="0">
      <alignment vertical="bottom"/>
    </xf>
    <xf numFmtId="0" fontId="53" fillId="0" borderId="27" applyAlignment="1" pivotButton="0" quotePrefix="0" xfId="0">
      <alignment horizontal="right" vertical="bottom"/>
    </xf>
    <xf numFmtId="49" fontId="53" fillId="11" borderId="14" applyAlignment="1" pivotButton="0" quotePrefix="0" xfId="0">
      <alignment vertical="bottom"/>
    </xf>
    <xf numFmtId="0" fontId="0" fillId="0" borderId="14" applyAlignment="1" pivotButton="0" quotePrefix="0" xfId="0">
      <alignment vertical="bottom"/>
    </xf>
    <xf numFmtId="49" fontId="53" fillId="0" borderId="14" applyAlignment="1" pivotButton="0" quotePrefix="0" xfId="0">
      <alignment horizontal="right" vertical="bottom"/>
    </xf>
    <xf numFmtId="49" fontId="55" fillId="0" borderId="14" applyAlignment="1" pivotButton="0" quotePrefix="0" xfId="0">
      <alignment horizontal="right" vertical="bottom"/>
    </xf>
    <xf numFmtId="9" fontId="55" fillId="0" borderId="14" applyAlignment="1" pivotButton="0" quotePrefix="0" xfId="0">
      <alignment horizontal="right" vertical="bottom"/>
    </xf>
    <xf numFmtId="49" fontId="53" fillId="4" borderId="31" applyAlignment="1" pivotButton="0" quotePrefix="0" xfId="0">
      <alignment horizontal="center" vertical="bottom" wrapText="1"/>
    </xf>
    <xf numFmtId="0" fontId="0" fillId="0" borderId="15" applyAlignment="1" pivotButton="0" quotePrefix="0" xfId="0">
      <alignment vertical="bottom"/>
    </xf>
    <xf numFmtId="49" fontId="53" fillId="0" borderId="31" applyAlignment="1" pivotButton="0" quotePrefix="0" xfId="0">
      <alignment vertical="bottom"/>
    </xf>
    <xf numFmtId="0" fontId="53" fillId="0" borderId="31" applyAlignment="1" pivotButton="0" quotePrefix="0" xfId="0">
      <alignment horizontal="right" vertical="bottom"/>
    </xf>
    <xf numFmtId="0" fontId="55" fillId="0" borderId="31" applyAlignment="1" pivotButton="0" quotePrefix="0" xfId="0">
      <alignment horizontal="right" vertical="bottom"/>
    </xf>
    <xf numFmtId="49" fontId="53" fillId="0" borderId="31" applyAlignment="1" pivotButton="0" quotePrefix="0" xfId="0">
      <alignment horizontal="right" vertical="bottom"/>
    </xf>
    <xf numFmtId="0" fontId="55" fillId="0" borderId="31" applyAlignment="1" pivotButton="0" quotePrefix="0" xfId="0">
      <alignment horizontal="right" vertical="bottom"/>
    </xf>
    <xf numFmtId="0" fontId="0" fillId="0" borderId="35" applyAlignment="1" pivotButton="0" quotePrefix="0" xfId="0">
      <alignment vertical="bottom"/>
    </xf>
    <xf numFmtId="0" fontId="0" fillId="0" borderId="27" applyAlignment="1" pivotButton="0" quotePrefix="0" xfId="0">
      <alignment horizontal="right" vertical="bottom"/>
    </xf>
    <xf numFmtId="0" fontId="0" fillId="0" borderId="40" applyAlignment="1" pivotButton="0" quotePrefix="0" xfId="0">
      <alignment vertical="bottom"/>
    </xf>
    <xf numFmtId="164" fontId="0" fillId="0" borderId="40" applyAlignment="1" pivotButton="0" quotePrefix="0" xfId="0">
      <alignment vertical="bottom"/>
    </xf>
    <xf numFmtId="164" fontId="0" fillId="0" borderId="14" applyAlignment="1" pivotButton="0" quotePrefix="0" xfId="0">
      <alignment vertical="bottom"/>
    </xf>
    <xf numFmtId="9" fontId="56" fillId="0" borderId="40" applyAlignment="1" pivotButton="0" quotePrefix="0" xfId="0">
      <alignment vertical="bottom"/>
    </xf>
    <xf numFmtId="9" fontId="0" fillId="0" borderId="40" applyAlignment="1" pivotButton="0" quotePrefix="0" xfId="0">
      <alignment vertical="bottom"/>
    </xf>
    <xf numFmtId="49" fontId="53" fillId="16" borderId="14" applyAlignment="1" pivotButton="0" quotePrefix="0" xfId="0">
      <alignment vertical="bottom"/>
    </xf>
    <xf numFmtId="9" fontId="0" fillId="0" borderId="14" applyAlignment="1" pivotButton="0" quotePrefix="0" xfId="0">
      <alignment vertical="bottom"/>
    </xf>
    <xf numFmtId="164" fontId="53" fillId="16" borderId="14" applyAlignment="1" pivotButton="0" quotePrefix="0" xfId="0">
      <alignment horizontal="right" vertical="bottom"/>
    </xf>
    <xf numFmtId="9" fontId="55" fillId="16" borderId="14" applyAlignment="1" pivotButton="0" quotePrefix="0" xfId="0">
      <alignment horizontal="right" vertical="bottom"/>
    </xf>
    <xf numFmtId="9" fontId="53" fillId="16" borderId="14" applyAlignment="1" pivotButton="0" quotePrefix="0" xfId="0">
      <alignment horizontal="right" vertical="bottom"/>
    </xf>
    <xf numFmtId="0" fontId="53" fillId="0" borderId="14" applyAlignment="1" pivotButton="0" quotePrefix="0" xfId="0">
      <alignment vertical="bottom"/>
    </xf>
    <xf numFmtId="49" fontId="0" fillId="0" borderId="14" applyAlignment="1" pivotButton="0" quotePrefix="0" xfId="0">
      <alignment vertical="bottom"/>
    </xf>
    <xf numFmtId="3" fontId="0" fillId="0" borderId="14" applyAlignment="1" pivotButton="0" quotePrefix="0" xfId="0">
      <alignment vertical="bottom"/>
    </xf>
    <xf numFmtId="9" fontId="56" fillId="0" borderId="14" applyAlignment="1" pivotButton="0" quotePrefix="0" xfId="0">
      <alignment horizontal="right" vertical="bottom"/>
    </xf>
    <xf numFmtId="9" fontId="0" fillId="0" borderId="14" applyAlignment="1" pivotButton="0" quotePrefix="0" xfId="0">
      <alignment horizontal="right" vertical="bottom"/>
    </xf>
    <xf numFmtId="164" fontId="0" fillId="0" borderId="14" applyAlignment="1" pivotButton="0" quotePrefix="0" xfId="0">
      <alignment horizontal="right" vertical="bottom"/>
    </xf>
    <xf numFmtId="0" fontId="0" fillId="0" borderId="31" applyAlignment="1" pivotButton="0" quotePrefix="0" xfId="0">
      <alignment vertical="bottom"/>
    </xf>
    <xf numFmtId="164" fontId="0" fillId="0" borderId="31" applyAlignment="1" pivotButton="0" quotePrefix="0" xfId="0">
      <alignment vertical="bottom"/>
    </xf>
    <xf numFmtId="9" fontId="56" fillId="0" borderId="14" applyAlignment="1" pivotButton="0" quotePrefix="0" xfId="0">
      <alignment vertical="bottom"/>
    </xf>
    <xf numFmtId="0" fontId="0" fillId="0" borderId="27" applyAlignment="1" pivotButton="0" quotePrefix="0" xfId="0">
      <alignment vertical="bottom"/>
    </xf>
    <xf numFmtId="49" fontId="57" fillId="0" borderId="35" applyAlignment="1" pivotButton="0" quotePrefix="0" xfId="0">
      <alignment horizontal="left" vertical="bottom"/>
    </xf>
    <xf numFmtId="0" fontId="58" fillId="0" borderId="14" applyAlignment="1" pivotButton="0" quotePrefix="0" xfId="0">
      <alignment vertical="bottom"/>
    </xf>
    <xf numFmtId="164" fontId="57" fillId="0" borderId="35" applyAlignment="1" pivotButton="0" quotePrefix="0" xfId="0">
      <alignment horizontal="right" vertical="bottom"/>
    </xf>
    <xf numFmtId="9" fontId="59" fillId="0" borderId="14" applyAlignment="1" pivotButton="0" quotePrefix="0" xfId="0">
      <alignment vertical="bottom"/>
    </xf>
    <xf numFmtId="9" fontId="58" fillId="0" borderId="14" applyAlignment="1" pivotButton="0" quotePrefix="0" xfId="0">
      <alignment vertical="bottom"/>
    </xf>
    <xf numFmtId="9" fontId="57" fillId="0" borderId="35" applyAlignment="1" pivotButton="0" quotePrefix="0" xfId="0">
      <alignment vertical="bottom"/>
    </xf>
    <xf numFmtId="49" fontId="0" fillId="0" borderId="40" applyAlignment="1" pivotButton="0" quotePrefix="0" xfId="0">
      <alignment vertical="bottom"/>
    </xf>
    <xf numFmtId="0" fontId="56" fillId="0" borderId="14" applyAlignment="1" pivotButton="0" quotePrefix="0" xfId="0">
      <alignment vertical="bottom"/>
    </xf>
    <xf numFmtId="49" fontId="56" fillId="0" borderId="14" applyAlignment="1" pivotButton="0" quotePrefix="0" xfId="0">
      <alignment vertical="bottom"/>
    </xf>
    <xf numFmtId="49" fontId="53" fillId="6" borderId="14" applyAlignment="1" pivotButton="0" quotePrefix="0" xfId="0">
      <alignment vertical="bottom"/>
    </xf>
    <xf numFmtId="49" fontId="0" fillId="4" borderId="14" applyAlignment="1" pivotButton="0" quotePrefix="0" xfId="0">
      <alignment horizontal="left" vertical="bottom" wrapText="1"/>
    </xf>
    <xf numFmtId="0" fontId="55" fillId="0" borderId="14" applyAlignment="1" pivotButton="0" quotePrefix="0" xfId="0">
      <alignment horizontal="right" vertical="bottom"/>
    </xf>
    <xf numFmtId="49" fontId="53" fillId="6" borderId="14" applyAlignment="1" pivotButton="0" quotePrefix="0" xfId="0">
      <alignment horizontal="left" vertical="bottom"/>
    </xf>
    <xf numFmtId="3" fontId="53" fillId="0" borderId="14" applyAlignment="1" pivotButton="0" quotePrefix="0" xfId="0">
      <alignment horizontal="right" vertical="bottom"/>
    </xf>
    <xf numFmtId="49" fontId="53" fillId="0" borderId="14" applyAlignment="1" pivotButton="0" quotePrefix="0" xfId="0">
      <alignment horizontal="left" vertical="bottom"/>
    </xf>
    <xf numFmtId="0" fontId="53" fillId="0" borderId="14" applyAlignment="1" pivotButton="0" quotePrefix="0" xfId="0">
      <alignment horizontal="right" vertical="bottom"/>
    </xf>
    <xf numFmtId="0" fontId="53" fillId="0" borderId="14" applyAlignment="1" pivotButton="0" quotePrefix="0" xfId="0">
      <alignment horizontal="right" vertical="bottom"/>
    </xf>
    <xf numFmtId="0" fontId="55" fillId="0" borderId="14" applyAlignment="1" pivotButton="0" quotePrefix="0" xfId="0">
      <alignment horizontal="right" vertical="bottom"/>
    </xf>
    <xf numFmtId="0" fontId="0" fillId="0" borderId="14" applyAlignment="1" pivotButton="0" quotePrefix="0" xfId="0">
      <alignment horizontal="left" vertical="bottom"/>
    </xf>
    <xf numFmtId="49" fontId="0" fillId="0" borderId="14" applyAlignment="1" pivotButton="0" quotePrefix="0" xfId="0">
      <alignment horizontal="left" vertical="bottom"/>
    </xf>
    <xf numFmtId="49" fontId="57" fillId="0" borderId="14" applyAlignment="1" pivotButton="0" quotePrefix="0" xfId="0">
      <alignment horizontal="left" vertical="bottom"/>
    </xf>
    <xf numFmtId="164" fontId="57" fillId="0" borderId="14" applyAlignment="1" pivotButton="0" quotePrefix="0" xfId="0">
      <alignment horizontal="right" vertical="bottom"/>
    </xf>
    <xf numFmtId="49" fontId="53" fillId="16" borderId="14" applyAlignment="1" pivotButton="0" quotePrefix="0" xfId="0">
      <alignment horizontal="left" vertical="bottom"/>
    </xf>
    <xf numFmtId="49" fontId="53" fillId="9" borderId="14" applyAlignment="1" pivotButton="0" quotePrefix="0" xfId="0">
      <alignment vertical="bottom"/>
    </xf>
    <xf numFmtId="164" fontId="56" fillId="0" borderId="14" applyAlignment="1" pivotButton="0" quotePrefix="0" xfId="0">
      <alignment vertical="bottom"/>
    </xf>
    <xf numFmtId="49" fontId="53" fillId="9" borderId="14" applyAlignment="1" pivotButton="0" quotePrefix="0" xfId="0">
      <alignment horizontal="left" vertical="bottom"/>
    </xf>
    <xf numFmtId="164" fontId="53" fillId="0" borderId="14" applyAlignment="1" pivotButton="0" quotePrefix="0" xfId="0">
      <alignment horizontal="right" vertical="bottom"/>
    </xf>
    <xf numFmtId="164" fontId="53" fillId="0" borderId="14" applyAlignment="1" pivotButton="0" quotePrefix="0" xfId="0">
      <alignment vertical="bottom"/>
    </xf>
    <xf numFmtId="49" fontId="53" fillId="19" borderId="14" applyAlignment="1" pivotButton="0" quotePrefix="0" xfId="0">
      <alignment vertical="bottom"/>
    </xf>
    <xf numFmtId="49" fontId="53" fillId="0" borderId="31" applyAlignment="1" pivotButton="0" quotePrefix="0" xfId="0">
      <alignment horizontal="left" vertical="bottom"/>
    </xf>
    <xf numFmtId="0" fontId="0" fillId="0" borderId="40" applyAlignment="1" pivotButton="0" quotePrefix="0" xfId="0">
      <alignment horizontal="left" vertical="bottom"/>
    </xf>
    <xf numFmtId="9" fontId="55" fillId="7" borderId="14" applyAlignment="1" pivotButton="0" quotePrefix="0" xfId="0">
      <alignment horizontal="right" vertical="bottom"/>
    </xf>
    <xf numFmtId="1" fontId="0" fillId="0" borderId="14" applyAlignment="1" pivotButton="0" quotePrefix="0" xfId="0">
      <alignment vertical="bottom"/>
    </xf>
    <xf numFmtId="0" fontId="0" fillId="0" borderId="6" applyAlignment="1" pivotButton="0" quotePrefix="0" xfId="0">
      <alignment vertical="bottom"/>
    </xf>
    <xf numFmtId="49" fontId="0" fillId="0" borderId="20" applyAlignment="1" pivotButton="0" quotePrefix="0" xfId="0">
      <alignment vertical="bottom"/>
    </xf>
    <xf numFmtId="170" fontId="0" fillId="0" borderId="14" applyAlignment="1" pivotButton="0" quotePrefix="0" xfId="0">
      <alignment vertical="bottom"/>
    </xf>
    <xf numFmtId="0" fontId="0" fillId="0" borderId="31" applyAlignment="1" pivotButton="0" quotePrefix="0" xfId="0">
      <alignment horizontal="left" vertical="bottom"/>
    </xf>
    <xf numFmtId="49" fontId="0" fillId="0" borderId="40" applyAlignment="1" pivotButton="0" quotePrefix="0" xfId="0">
      <alignment horizontal="left" vertical="bottom"/>
    </xf>
    <xf numFmtId="49" fontId="53" fillId="19" borderId="14" applyAlignment="1" pivotButton="0" quotePrefix="0" xfId="0">
      <alignment horizontal="left" vertical="bottom"/>
    </xf>
    <xf numFmtId="166" fontId="0" fillId="0" borderId="14" applyAlignment="1" pivotButton="0" quotePrefix="0" xfId="0">
      <alignment horizontal="right" vertical="bottom"/>
    </xf>
    <xf numFmtId="49" fontId="60" fillId="0" borderId="14" applyAlignment="1" pivotButton="0" quotePrefix="0" xfId="0">
      <alignment vertical="bottom"/>
    </xf>
    <xf numFmtId="49" fontId="53" fillId="10" borderId="14" applyAlignment="1" pivotButton="0" quotePrefix="0" xfId="0">
      <alignment vertical="bottom"/>
    </xf>
    <xf numFmtId="0" fontId="53" fillId="0" borderId="31" applyAlignment="1" pivotButton="0" quotePrefix="0" xfId="0">
      <alignment horizontal="right" vertical="bottom"/>
    </xf>
    <xf numFmtId="49" fontId="53" fillId="20" borderId="14" applyAlignment="1" pivotButton="0" quotePrefix="0" xfId="0">
      <alignment vertical="bottom"/>
    </xf>
    <xf numFmtId="0" fontId="0" fillId="0" borderId="28" applyAlignment="1" pivotButton="0" quotePrefix="0" xfId="0">
      <alignment vertical="bottom"/>
    </xf>
    <xf numFmtId="49" fontId="0" fillId="0" borderId="59" applyAlignment="1" pivotButton="0" quotePrefix="0" xfId="0">
      <alignment horizontal="left" vertical="bottom"/>
    </xf>
    <xf numFmtId="0" fontId="0" fillId="0" borderId="29" applyAlignment="1" pivotButton="0" quotePrefix="0" xfId="0">
      <alignment vertical="bottom"/>
    </xf>
    <xf numFmtId="9" fontId="0" fillId="0" borderId="59" applyAlignment="1" pivotButton="0" quotePrefix="0" xfId="0">
      <alignment vertical="bottom"/>
    </xf>
    <xf numFmtId="0" fontId="0" fillId="0" borderId="59" applyAlignment="1" pivotButton="0" quotePrefix="0" xfId="0">
      <alignment vertical="bottom"/>
    </xf>
    <xf numFmtId="0" fontId="0" fillId="0" borderId="3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1" fillId="8" borderId="4" applyAlignment="1" pivotButton="0" quotePrefix="0" xfId="0">
      <alignment horizontal="center" vertical="center"/>
    </xf>
    <xf numFmtId="0" fontId="0" fillId="4" borderId="4" applyAlignment="1" pivotButton="0" quotePrefix="0" xfId="0">
      <alignment vertical="center"/>
    </xf>
    <xf numFmtId="49" fontId="32" fillId="11" borderId="7" applyAlignment="1" pivotButton="0" quotePrefix="0" xfId="0">
      <alignment vertical="bottom"/>
    </xf>
    <xf numFmtId="49" fontId="32" fillId="11" borderId="7" applyAlignment="1" pivotButton="0" quotePrefix="0" xfId="0">
      <alignment horizontal="center" vertical="bottom"/>
    </xf>
    <xf numFmtId="0" fontId="32" fillId="11" borderId="7" applyAlignment="1" pivotButton="0" quotePrefix="0" xfId="0">
      <alignment vertical="bottom"/>
    </xf>
    <xf numFmtId="0" fontId="0" fillId="0" borderId="20" applyAlignment="1" pivotButton="0" quotePrefix="0" xfId="0">
      <alignment vertical="bottom"/>
    </xf>
    <xf numFmtId="49" fontId="0" fillId="4" borderId="25" applyAlignment="1" pivotButton="0" quotePrefix="0" xfId="0">
      <alignment vertical="center"/>
    </xf>
    <xf numFmtId="49" fontId="0" fillId="0" borderId="25" applyAlignment="1" pivotButton="0" quotePrefix="0" xfId="0">
      <alignment vertical="bottom"/>
    </xf>
    <xf numFmtId="49" fontId="0" fillId="0" borderId="60" applyAlignment="1" pivotButton="0" quotePrefix="0" xfId="0">
      <alignment vertical="bottom"/>
    </xf>
    <xf numFmtId="49" fontId="37" fillId="0" borderId="16" applyAlignment="1" pivotButton="0" quotePrefix="0" xfId="0">
      <alignment vertical="bottom"/>
    </xf>
    <xf numFmtId="0" fontId="10" fillId="0" borderId="16" applyAlignment="1" pivotButton="0" quotePrefix="0" xfId="0">
      <alignment vertical="bottom"/>
    </xf>
    <xf numFmtId="0" fontId="0" fillId="0" borderId="16" applyAlignment="1" pivotButton="0" quotePrefix="0" xfId="0">
      <alignment vertical="bottom"/>
    </xf>
    <xf numFmtId="0" fontId="0" fillId="0" borderId="21" applyAlignment="1" pivotButton="0" quotePrefix="0" xfId="0">
      <alignment vertical="bottom"/>
    </xf>
    <xf numFmtId="49" fontId="62" fillId="21" borderId="7" applyAlignment="1" pivotButton="0" quotePrefix="0" xfId="0">
      <alignment horizontal="left" vertical="center" wrapText="1"/>
    </xf>
    <xf numFmtId="0" fontId="63" fillId="21" borderId="7" applyAlignment="1" pivotButton="0" quotePrefix="0" xfId="0">
      <alignment horizontal="center" vertical="center" wrapText="1"/>
    </xf>
    <xf numFmtId="49" fontId="31" fillId="0" borderId="21" applyAlignment="1" pivotButton="0" quotePrefix="0" xfId="0">
      <alignment vertical="bottom"/>
    </xf>
    <xf numFmtId="0" fontId="31" fillId="0" borderId="21" applyAlignment="1" pivotButton="0" quotePrefix="0" xfId="0">
      <alignment horizontal="center" vertical="bottom"/>
    </xf>
    <xf numFmtId="49" fontId="31" fillId="4" borderId="21" applyAlignment="1" pivotButton="0" quotePrefix="0" xfId="0">
      <alignment horizontal="center" vertical="bottom" wrapText="1"/>
    </xf>
    <xf numFmtId="49" fontId="0" fillId="22" borderId="7" applyAlignment="1" pivotButton="0" quotePrefix="0" xfId="0">
      <alignment vertical="center"/>
    </xf>
    <xf numFmtId="49" fontId="64" fillId="22" borderId="7" applyAlignment="1" pivotButton="0" quotePrefix="0" xfId="0">
      <alignment horizontal="center" vertical="center"/>
    </xf>
    <xf numFmtId="49" fontId="0" fillId="4" borderId="7" applyAlignment="1" pivotButton="0" quotePrefix="0" xfId="0">
      <alignment vertical="center"/>
    </xf>
    <xf numFmtId="49" fontId="64" fillId="4" borderId="7" applyAlignment="1" pivotButton="0" quotePrefix="0" xfId="0">
      <alignment horizontal="center" vertical="center"/>
    </xf>
    <xf numFmtId="49" fontId="31" fillId="4" borderId="21" applyAlignment="1" pivotButton="0" quotePrefix="0" xfId="0">
      <alignment vertical="center"/>
    </xf>
    <xf numFmtId="0" fontId="31" fillId="4" borderId="21" applyAlignment="1" pivotButton="0" quotePrefix="0" xfId="0">
      <alignment horizontal="center" vertical="center"/>
    </xf>
    <xf numFmtId="49" fontId="31" fillId="4" borderId="21" applyAlignment="1" pivotButton="0" quotePrefix="0" xfId="0">
      <alignment horizontal="center" vertical="center" wrapText="1"/>
    </xf>
    <xf numFmtId="49" fontId="31" fillId="4" borderId="21" applyAlignment="1" pivotButton="0" quotePrefix="0" xfId="0">
      <alignment horizontal="left" vertical="center"/>
    </xf>
    <xf numFmtId="49" fontId="64" fillId="7" borderId="7" applyAlignment="1" pivotButton="0" quotePrefix="0" xfId="0">
      <alignment horizontal="center" vertical="center"/>
    </xf>
    <xf numFmtId="49" fontId="32" fillId="4" borderId="23" applyAlignment="1" pivotButton="0" quotePrefix="0" xfId="0">
      <alignment horizontal="left" vertical="bottom" wrapText="1"/>
    </xf>
    <xf numFmtId="0" fontId="32" fillId="4" borderId="23" applyAlignment="1" pivotButton="0" quotePrefix="0" xfId="0">
      <alignment horizontal="center" vertical="center" wrapText="1"/>
    </xf>
    <xf numFmtId="49" fontId="32" fillId="4" borderId="23" applyAlignment="1" pivotButton="0" quotePrefix="0" xfId="0">
      <alignment horizontal="center" vertical="center" wrapText="1"/>
    </xf>
    <xf numFmtId="49" fontId="65" fillId="4" borderId="7" applyAlignment="1" pivotButton="0" quotePrefix="0" xfId="0">
      <alignment vertical="center" wrapText="1"/>
    </xf>
    <xf numFmtId="0" fontId="66" fillId="4" borderId="7" applyAlignment="1" pivotButton="0" quotePrefix="0" xfId="0">
      <alignment horizontal="center" vertical="center"/>
    </xf>
    <xf numFmtId="0" fontId="37" fillId="0" borderId="16" applyAlignment="1" pivotButton="0" quotePrefix="0" xfId="0">
      <alignment horizontal="center" vertical="bottom"/>
    </xf>
    <xf numFmtId="0" fontId="37" fillId="4" borderId="16" applyAlignment="1" pivotButton="0" quotePrefix="0" xfId="0">
      <alignment horizontal="center" vertical="bottom" wrapText="1"/>
    </xf>
    <xf numFmtId="49" fontId="32" fillId="4" borderId="21" applyAlignment="1" pivotButton="0" quotePrefix="0" xfId="0">
      <alignment vertical="center"/>
    </xf>
    <xf numFmtId="0" fontId="32" fillId="4" borderId="21" applyAlignment="1" pivotButton="0" quotePrefix="0" xfId="0">
      <alignment horizontal="center" vertical="center"/>
    </xf>
    <xf numFmtId="49" fontId="32" fillId="4" borderId="21" applyAlignment="1" pivotButton="0" quotePrefix="0" xfId="0">
      <alignment horizontal="center" vertical="bottom" wrapText="1"/>
    </xf>
    <xf numFmtId="49" fontId="65" fillId="4" borderId="7" applyAlignment="1" pivotButton="0" quotePrefix="0" xfId="0">
      <alignment vertical="center"/>
    </xf>
    <xf numFmtId="49" fontId="32" fillId="4" borderId="23" applyAlignment="1" pivotButton="0" quotePrefix="0" xfId="0">
      <alignment horizontal="left" vertical="center"/>
    </xf>
    <xf numFmtId="0" fontId="32" fillId="4" borderId="23" applyAlignment="1" pivotButton="0" quotePrefix="0" xfId="0">
      <alignment horizontal="center" vertical="center"/>
    </xf>
    <xf numFmtId="49" fontId="32" fillId="4" borderId="23" applyAlignment="1" pivotButton="0" quotePrefix="0" xfId="0">
      <alignment horizontal="center" vertical="bottom" wrapText="1"/>
    </xf>
    <xf numFmtId="49" fontId="65" fillId="22" borderId="7" applyAlignment="1" pivotButton="0" quotePrefix="0" xfId="0">
      <alignment vertical="center"/>
    </xf>
    <xf numFmtId="0" fontId="66" fillId="22" borderId="7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bottom"/>
    </xf>
    <xf numFmtId="49" fontId="32" fillId="0" borderId="21" applyAlignment="1" pivotButton="0" quotePrefix="0" xfId="0">
      <alignment vertical="bottom"/>
    </xf>
    <xf numFmtId="0" fontId="32" fillId="4" borderId="21" applyAlignment="1" pivotButton="0" quotePrefix="0" xfId="0">
      <alignment horizontal="center" vertical="center" wrapText="1"/>
    </xf>
    <xf numFmtId="0" fontId="66" fillId="7" borderId="7" applyAlignment="1" pivotButton="0" quotePrefix="0" xfId="0">
      <alignment horizontal="center" vertical="center"/>
    </xf>
    <xf numFmtId="49" fontId="31" fillId="4" borderId="23" applyAlignment="1" pivotButton="0" quotePrefix="0" xfId="0">
      <alignment vertical="center"/>
    </xf>
    <xf numFmtId="0" fontId="31" fillId="4" borderId="23" applyAlignment="1" pivotButton="0" quotePrefix="0" xfId="0">
      <alignment horizontal="center" vertical="center" wrapText="1"/>
    </xf>
    <xf numFmtId="0" fontId="31" fillId="4" borderId="23" applyAlignment="1" pivotButton="0" quotePrefix="0" xfId="0">
      <alignment horizontal="center" vertical="center"/>
    </xf>
    <xf numFmtId="49" fontId="31" fillId="4" borderId="23" applyAlignment="1" pivotButton="0" quotePrefix="0" xfId="0">
      <alignment horizontal="center" vertical="center" wrapText="1"/>
    </xf>
    <xf numFmtId="0" fontId="67" fillId="0" borderId="16" applyAlignment="1" pivotButton="0" quotePrefix="0" xfId="0">
      <alignment horizontal="center" vertical="bottom"/>
    </xf>
    <xf numFmtId="49" fontId="62" fillId="23" borderId="7" applyAlignment="1" pivotButton="0" quotePrefix="0" xfId="0">
      <alignment horizontal="left" vertical="center" wrapText="1"/>
    </xf>
    <xf numFmtId="0" fontId="63" fillId="23" borderId="7" applyAlignment="1" pivotButton="0" quotePrefix="0" xfId="0">
      <alignment horizontal="center" vertical="center" wrapText="1"/>
    </xf>
    <xf numFmtId="49" fontId="31" fillId="0" borderId="23" applyAlignment="1" pivotButton="0" quotePrefix="0" xfId="0">
      <alignment vertical="bottom"/>
    </xf>
    <xf numFmtId="0" fontId="31" fillId="0" borderId="23" applyAlignment="1" pivotButton="0" quotePrefix="0" xfId="0">
      <alignment horizontal="center" vertical="bottom"/>
    </xf>
    <xf numFmtId="49" fontId="31" fillId="4" borderId="23" applyAlignment="1" pivotButton="0" quotePrefix="0" xfId="0">
      <alignment horizontal="center" vertical="bottom" wrapText="1"/>
    </xf>
    <xf numFmtId="49" fontId="0" fillId="6" borderId="7" applyAlignment="1" pivotButton="0" quotePrefix="0" xfId="0">
      <alignment vertical="center"/>
    </xf>
    <xf numFmtId="49" fontId="64" fillId="6" borderId="7" applyAlignment="1" pivotButton="0" quotePrefix="0" xfId="0">
      <alignment horizontal="center" vertical="center"/>
    </xf>
    <xf numFmtId="49" fontId="32" fillId="4" borderId="21" applyAlignment="1" pivotButton="0" quotePrefix="0" xfId="0">
      <alignment horizontal="center" vertical="center" wrapText="1"/>
    </xf>
    <xf numFmtId="49" fontId="65" fillId="6" borderId="7" applyAlignment="1" pivotButton="0" quotePrefix="0" xfId="0">
      <alignment vertical="center"/>
    </xf>
    <xf numFmtId="0" fontId="66" fillId="6" borderId="7" applyAlignment="1" pivotButton="0" quotePrefix="0" xfId="0">
      <alignment horizontal="center" vertical="center"/>
    </xf>
    <xf numFmtId="49" fontId="68" fillId="4" borderId="7" applyAlignment="1" pivotButton="0" quotePrefix="0" xfId="0">
      <alignment vertical="center"/>
    </xf>
    <xf numFmtId="0" fontId="64" fillId="7" borderId="7" applyAlignment="1" pivotButton="0" quotePrefix="0" xfId="0">
      <alignment horizontal="center" vertical="center"/>
    </xf>
    <xf numFmtId="0" fontId="64" fillId="4" borderId="7" applyAlignment="1" pivotButton="0" quotePrefix="0" xfId="0">
      <alignment horizontal="center" vertical="center"/>
    </xf>
    <xf numFmtId="49" fontId="62" fillId="24" borderId="7" applyAlignment="1" pivotButton="0" quotePrefix="0" xfId="0">
      <alignment horizontal="left" vertical="center" wrapText="1"/>
    </xf>
    <xf numFmtId="0" fontId="69" fillId="24" borderId="7" applyAlignment="1" pivotButton="0" quotePrefix="0" xfId="0">
      <alignment horizontal="center" vertical="center" wrapText="1"/>
    </xf>
    <xf numFmtId="49" fontId="0" fillId="9" borderId="7" applyAlignment="1" pivotButton="0" quotePrefix="0" xfId="0">
      <alignment vertical="center"/>
    </xf>
    <xf numFmtId="49" fontId="64" fillId="9" borderId="7" applyAlignment="1" pivotButton="0" quotePrefix="0" xfId="0">
      <alignment horizontal="center" vertical="center"/>
    </xf>
    <xf numFmtId="49" fontId="62" fillId="25" borderId="7" applyAlignment="1" pivotButton="0" quotePrefix="0" xfId="0">
      <alignment horizontal="left" vertical="center" wrapText="1"/>
    </xf>
    <xf numFmtId="0" fontId="69" fillId="25" borderId="7" applyAlignment="1" pivotButton="0" quotePrefix="0" xfId="0">
      <alignment horizontal="center" vertical="center" wrapText="1"/>
    </xf>
    <xf numFmtId="0" fontId="31" fillId="4" borderId="21" applyAlignment="1" pivotButton="0" quotePrefix="0" xfId="0">
      <alignment horizontal="center" vertical="center" wrapText="1"/>
    </xf>
    <xf numFmtId="49" fontId="0" fillId="10" borderId="7" applyAlignment="1" pivotButton="0" quotePrefix="0" xfId="0">
      <alignment vertical="center"/>
    </xf>
    <xf numFmtId="49" fontId="64" fillId="10" borderId="7" applyAlignment="1" pivotButton="0" quotePrefix="0" xfId="0">
      <alignment horizontal="center" vertical="center"/>
    </xf>
    <xf numFmtId="0" fontId="0" fillId="0" borderId="18" applyAlignment="1" pivotButton="0" quotePrefix="0" xfId="0">
      <alignment vertical="bottom"/>
    </xf>
    <xf numFmtId="0" fontId="0" fillId="4" borderId="18" applyAlignment="1" pivotButton="0" quotePrefix="0" xfId="0">
      <alignment vertical="center"/>
    </xf>
    <xf numFmtId="0" fontId="0" fillId="0" borderId="61" applyAlignment="1" pivotButton="0" quotePrefix="0" xfId="0">
      <alignment vertical="bottom"/>
    </xf>
    <xf numFmtId="0" fontId="31" fillId="0" borderId="14" applyAlignment="1" pivotButton="0" quotePrefix="0" xfId="0">
      <alignment vertical="bottom"/>
    </xf>
    <xf numFmtId="1" fontId="32" fillId="0" borderId="25" applyAlignment="1" pivotButton="0" quotePrefix="0" xfId="0">
      <alignment horizontal="center" vertical="bottom"/>
    </xf>
    <xf numFmtId="0" fontId="0" fillId="4" borderId="14" applyAlignment="1" pivotButton="0" quotePrefix="0" xfId="0">
      <alignment vertical="center"/>
    </xf>
    <xf numFmtId="0" fontId="70" fillId="4" borderId="14" applyAlignment="1" pivotButton="0" quotePrefix="0" xfId="0">
      <alignment horizontal="center" vertical="center"/>
    </xf>
    <xf numFmtId="0" fontId="70" fillId="4" borderId="15" applyAlignment="1" pivotButton="0" quotePrefix="0" xfId="0">
      <alignment horizontal="center" vertical="center"/>
    </xf>
    <xf numFmtId="0" fontId="32" fillId="0" borderId="18" applyAlignment="1" pivotButton="0" quotePrefix="0" xfId="0">
      <alignment horizontal="center" vertical="bottom"/>
    </xf>
    <xf numFmtId="0" fontId="0" fillId="4" borderId="14" applyAlignment="1" pivotButton="0" quotePrefix="0" xfId="0">
      <alignment vertical="center"/>
    </xf>
    <xf numFmtId="0" fontId="0" fillId="4" borderId="31" applyAlignment="1" pivotButton="0" quotePrefix="0" xfId="0">
      <alignment vertical="center"/>
    </xf>
    <xf numFmtId="0" fontId="0" fillId="0" borderId="42" applyAlignment="1" pivotButton="0" quotePrefix="0" xfId="0">
      <alignment vertical="bottom"/>
    </xf>
    <xf numFmtId="0" fontId="65" fillId="4" borderId="48" applyAlignment="1" pivotButton="0" quotePrefix="0" xfId="0">
      <alignment vertical="bottom"/>
    </xf>
    <xf numFmtId="0" fontId="71" fillId="4" borderId="62" applyAlignment="1" pivotButton="0" quotePrefix="0" xfId="0">
      <alignment horizontal="center" vertical="center"/>
    </xf>
    <xf numFmtId="0" fontId="65" fillId="4" borderId="35" applyAlignment="1" pivotButton="0" quotePrefix="0" xfId="0">
      <alignment vertical="bottom"/>
    </xf>
    <xf numFmtId="170" fontId="71" fillId="4" borderId="35" applyAlignment="1" pivotButton="0" quotePrefix="0" xfId="0">
      <alignment horizontal="center" vertical="center"/>
    </xf>
    <xf numFmtId="0" fontId="65" fillId="4" borderId="48" applyAlignment="1" pivotButton="0" quotePrefix="0" xfId="0">
      <alignment vertical="center" wrapText="1"/>
    </xf>
    <xf numFmtId="9" fontId="71" fillId="4" borderId="62" applyAlignment="1" pivotButton="0" quotePrefix="0" xfId="0">
      <alignment horizontal="center" vertical="center"/>
    </xf>
    <xf numFmtId="0" fontId="0" fillId="4" borderId="40" applyAlignment="1" pivotButton="0" quotePrefix="0" xfId="0">
      <alignment vertical="center"/>
    </xf>
    <xf numFmtId="0" fontId="0" fillId="4" borderId="29" applyAlignment="1" pivotButton="0" quotePrefix="0" xfId="0">
      <alignment vertical="center"/>
    </xf>
    <xf numFmtId="0" fontId="0" fillId="0" borderId="0" applyAlignment="1" pivotButton="0" quotePrefix="0" xfId="0">
      <alignment vertical="bottom"/>
    </xf>
    <xf numFmtId="49" fontId="72" fillId="4" borderId="1" applyAlignment="1" pivotButton="0" quotePrefix="0" xfId="0">
      <alignment horizontal="left" vertical="bottom"/>
    </xf>
    <xf numFmtId="0" fontId="73" fillId="4" borderId="4" applyAlignment="1" pivotButton="0" quotePrefix="0" xfId="0">
      <alignment vertical="bottom"/>
    </xf>
    <xf numFmtId="49" fontId="72" fillId="4" borderId="27" applyAlignment="1" pivotButton="0" quotePrefix="0" xfId="0">
      <alignment horizontal="left" vertical="bottom"/>
    </xf>
    <xf numFmtId="0" fontId="73" fillId="4" borderId="14" applyAlignment="1" pivotButton="0" quotePrefix="0" xfId="0">
      <alignment vertical="bottom"/>
    </xf>
    <xf numFmtId="0" fontId="74" fillId="4" borderId="27" applyAlignment="1" pivotButton="0" quotePrefix="0" xfId="0">
      <alignment vertical="bottom"/>
    </xf>
    <xf numFmtId="49" fontId="75" fillId="4" borderId="14" applyAlignment="1" pivotButton="0" quotePrefix="0" xfId="0">
      <alignment vertical="bottom"/>
    </xf>
    <xf numFmtId="49" fontId="76" fillId="4" borderId="27" applyAlignment="1" pivotButton="0" quotePrefix="0" xfId="0">
      <alignment horizontal="right" vertical="bottom"/>
    </xf>
    <xf numFmtId="49" fontId="77" fillId="4" borderId="14" applyAlignment="1" pivotButton="0" quotePrefix="0" xfId="0">
      <alignment vertical="bottom"/>
    </xf>
    <xf numFmtId="0" fontId="77" fillId="4" borderId="14" applyAlignment="1" pivotButton="0" quotePrefix="0" xfId="0">
      <alignment vertical="bottom"/>
    </xf>
    <xf numFmtId="0" fontId="77" fillId="4" borderId="15" applyAlignment="1" pivotButton="0" quotePrefix="0" xfId="0">
      <alignment vertical="bottom"/>
    </xf>
    <xf numFmtId="0" fontId="76" fillId="4" borderId="27" applyAlignment="1" pivotButton="0" quotePrefix="0" xfId="0">
      <alignment horizontal="right" vertical="bottom"/>
    </xf>
    <xf numFmtId="0" fontId="75" fillId="4" borderId="14" applyAlignment="1" pivotButton="0" quotePrefix="0" xfId="0">
      <alignment vertical="bottom"/>
    </xf>
    <xf numFmtId="0" fontId="74" fillId="4" borderId="14" applyAlignment="1" pivotButton="0" quotePrefix="0" xfId="0">
      <alignment vertical="bottom"/>
    </xf>
    <xf numFmtId="0" fontId="74" fillId="4" borderId="15" applyAlignment="1" pivotButton="0" quotePrefix="0" xfId="0">
      <alignment vertical="bottom"/>
    </xf>
    <xf numFmtId="49" fontId="75" fillId="4" borderId="27" applyAlignment="1" pivotButton="0" quotePrefix="0" xfId="0">
      <alignment vertical="bottom"/>
    </xf>
    <xf numFmtId="49" fontId="77" fillId="4" borderId="14" applyAlignment="1" pivotButton="0" quotePrefix="0" xfId="0">
      <alignment horizontal="left" vertical="bottom"/>
    </xf>
    <xf numFmtId="3" fontId="77" fillId="4" borderId="14" applyAlignment="1" pivotButton="0" quotePrefix="0" xfId="0">
      <alignment vertical="bottom"/>
    </xf>
    <xf numFmtId="49" fontId="75" fillId="4" borderId="63" applyAlignment="1" pivotButton="0" quotePrefix="0" xfId="0">
      <alignment vertical="bottom"/>
    </xf>
    <xf numFmtId="49" fontId="75" fillId="4" borderId="64" applyAlignment="1" pivotButton="0" quotePrefix="0" xfId="0">
      <alignment horizontal="center" vertical="bottom"/>
    </xf>
    <xf numFmtId="49" fontId="75" fillId="4" borderId="9" applyAlignment="1" pivotButton="0" quotePrefix="0" xfId="0">
      <alignment horizontal="center" vertical="bottom"/>
    </xf>
    <xf numFmtId="49" fontId="75" fillId="4" borderId="9" applyAlignment="1" pivotButton="0" quotePrefix="0" xfId="0">
      <alignment horizontal="left" vertical="bottom" wrapText="1"/>
    </xf>
    <xf numFmtId="0" fontId="75" fillId="4" borderId="9" applyAlignment="1" pivotButton="0" quotePrefix="0" xfId="0">
      <alignment horizontal="left" vertical="bottom" wrapText="1"/>
    </xf>
    <xf numFmtId="49" fontId="75" fillId="4" borderId="9" applyAlignment="1" pivotButton="0" quotePrefix="0" xfId="0">
      <alignment horizontal="right" vertical="bottom" wrapText="1"/>
    </xf>
    <xf numFmtId="49" fontId="75" fillId="4" borderId="10" applyAlignment="1" pivotButton="0" quotePrefix="0" xfId="0">
      <alignment horizontal="right" vertical="bottom" wrapText="1"/>
    </xf>
    <xf numFmtId="0" fontId="76" fillId="4" borderId="17" applyAlignment="1" pivotButton="0" quotePrefix="0" xfId="0">
      <alignment horizontal="center" vertical="bottom"/>
    </xf>
    <xf numFmtId="0" fontId="76" fillId="4" borderId="18" applyAlignment="1" pivotButton="0" quotePrefix="0" xfId="0">
      <alignment horizontal="center" vertical="bottom"/>
    </xf>
    <xf numFmtId="49" fontId="76" fillId="4" borderId="18" applyAlignment="1" pivotButton="0" quotePrefix="0" xfId="0">
      <alignment horizontal="left" vertical="bottom"/>
    </xf>
    <xf numFmtId="188" fontId="76" fillId="4" borderId="18" applyAlignment="1" pivotButton="0" quotePrefix="0" xfId="0">
      <alignment horizontal="left" vertical="bottom"/>
    </xf>
    <xf numFmtId="3" fontId="76" fillId="4" borderId="18" applyAlignment="1" pivotButton="0" quotePrefix="0" xfId="0">
      <alignment horizontal="right" vertical="bottom" wrapText="1"/>
    </xf>
    <xf numFmtId="170" fontId="76" fillId="4" borderId="18" applyAlignment="1" pivotButton="0" quotePrefix="0" xfId="0">
      <alignment horizontal="right" vertical="bottom"/>
    </xf>
    <xf numFmtId="170" fontId="76" fillId="4" borderId="19" applyAlignment="1" pivotButton="0" quotePrefix="0" xfId="0">
      <alignment horizontal="right" vertical="bottom"/>
    </xf>
    <xf numFmtId="171" fontId="0" fillId="4" borderId="20" applyAlignment="1" pivotButton="0" quotePrefix="0" xfId="0">
      <alignment vertical="bottom"/>
    </xf>
    <xf numFmtId="0" fontId="76" fillId="4" borderId="20" applyAlignment="1" pivotButton="0" quotePrefix="0" xfId="0">
      <alignment horizontal="center" vertical="bottom"/>
    </xf>
    <xf numFmtId="0" fontId="76" fillId="4" borderId="14" applyAlignment="1" pivotButton="0" quotePrefix="0" xfId="0">
      <alignment horizontal="center" vertical="bottom"/>
    </xf>
    <xf numFmtId="49" fontId="76" fillId="4" borderId="14" applyAlignment="1" pivotButton="0" quotePrefix="0" xfId="0">
      <alignment horizontal="left" vertical="bottom"/>
    </xf>
    <xf numFmtId="188" fontId="76" fillId="4" borderId="14" applyAlignment="1" pivotButton="0" quotePrefix="0" xfId="0">
      <alignment horizontal="left" vertical="bottom"/>
    </xf>
    <xf numFmtId="3" fontId="76" fillId="4" borderId="14" applyAlignment="1" pivotButton="0" quotePrefix="0" xfId="0">
      <alignment horizontal="right" vertical="bottom" wrapText="1"/>
    </xf>
    <xf numFmtId="170" fontId="76" fillId="4" borderId="14" applyAlignment="1" pivotButton="0" quotePrefix="0" xfId="0">
      <alignment horizontal="right" vertical="bottom"/>
    </xf>
    <xf numFmtId="170" fontId="76" fillId="4" borderId="22" applyAlignment="1" pivotButton="0" quotePrefix="0" xfId="0">
      <alignment horizontal="right" vertical="bottom"/>
    </xf>
    <xf numFmtId="9" fontId="76" fillId="4" borderId="20" applyAlignment="1" pivotButton="0" quotePrefix="0" xfId="0">
      <alignment horizontal="right" vertical="bottom"/>
    </xf>
    <xf numFmtId="0" fontId="76" fillId="4" borderId="20" applyAlignment="1" pivotButton="0" quotePrefix="0" xfId="0">
      <alignment horizontal="left" vertical="bottom"/>
    </xf>
    <xf numFmtId="0" fontId="76" fillId="4" borderId="14" applyAlignment="1" pivotButton="0" quotePrefix="0" xfId="0">
      <alignment horizontal="left" vertical="bottom"/>
    </xf>
    <xf numFmtId="49" fontId="75" fillId="4" borderId="14" applyAlignment="1" pivotButton="0" quotePrefix="0" xfId="0">
      <alignment horizontal="left" vertical="bottom"/>
    </xf>
    <xf numFmtId="188" fontId="75" fillId="4" borderId="14" applyAlignment="1" pivotButton="0" quotePrefix="0" xfId="0">
      <alignment horizontal="left" vertical="bottom"/>
    </xf>
    <xf numFmtId="3" fontId="75" fillId="4" borderId="14" applyAlignment="1" pivotButton="0" quotePrefix="0" xfId="0">
      <alignment horizontal="right" vertical="bottom" wrapText="1"/>
    </xf>
    <xf numFmtId="170" fontId="75" fillId="4" borderId="14" applyAlignment="1" pivotButton="0" quotePrefix="0" xfId="0">
      <alignment horizontal="right" vertical="bottom"/>
    </xf>
    <xf numFmtId="170" fontId="75" fillId="4" borderId="22" applyAlignment="1" pivotButton="0" quotePrefix="0" xfId="0">
      <alignment horizontal="right" vertical="bottom"/>
    </xf>
    <xf numFmtId="0" fontId="76" fillId="4" borderId="24" applyAlignment="1" pivotButton="0" quotePrefix="0" xfId="0">
      <alignment horizontal="left" vertical="bottom"/>
    </xf>
    <xf numFmtId="0" fontId="76" fillId="4" borderId="25" applyAlignment="1" pivotButton="0" quotePrefix="0" xfId="0">
      <alignment horizontal="left" vertical="bottom"/>
    </xf>
    <xf numFmtId="49" fontId="76" fillId="4" borderId="25" applyAlignment="1" pivotButton="0" quotePrefix="0" xfId="0">
      <alignment horizontal="left" vertical="bottom"/>
    </xf>
    <xf numFmtId="188" fontId="76" fillId="4" borderId="25" applyAlignment="1" pivotButton="0" quotePrefix="0" xfId="0">
      <alignment horizontal="left" vertical="bottom"/>
    </xf>
    <xf numFmtId="9" fontId="76" fillId="4" borderId="25" applyAlignment="1" pivotButton="0" quotePrefix="0" xfId="0">
      <alignment horizontal="right" vertical="bottom"/>
    </xf>
    <xf numFmtId="189" fontId="76" fillId="4" borderId="25" applyAlignment="1" pivotButton="0" quotePrefix="0" xfId="0">
      <alignment horizontal="right" vertical="bottom" wrapText="1"/>
    </xf>
    <xf numFmtId="189" fontId="76" fillId="4" borderId="26" applyAlignment="1" pivotButton="0" quotePrefix="0" xfId="0">
      <alignment horizontal="right" vertical="bottom" wrapText="1"/>
    </xf>
    <xf numFmtId="49" fontId="0" fillId="4" borderId="65" applyAlignment="1" pivotButton="0" quotePrefix="0" xfId="0">
      <alignment vertical="bottom"/>
    </xf>
    <xf numFmtId="3" fontId="0" fillId="4" borderId="18" applyAlignment="1" pivotButton="0" quotePrefix="0" xfId="0">
      <alignment vertical="top" wrapText="1"/>
    </xf>
    <xf numFmtId="49" fontId="0" fillId="4" borderId="27" applyAlignment="1" pivotButton="0" quotePrefix="0" xfId="0">
      <alignment vertical="bottom"/>
    </xf>
    <xf numFmtId="189" fontId="0" fillId="4" borderId="14" applyAlignment="1" pivotButton="0" quotePrefix="0" xfId="0">
      <alignment vertical="bottom"/>
    </xf>
    <xf numFmtId="3" fontId="78" fillId="4" borderId="27" applyAlignment="1" pivotButton="0" quotePrefix="0" xfId="0">
      <alignment vertical="bottom"/>
    </xf>
    <xf numFmtId="189" fontId="75" fillId="4" borderId="14" applyAlignment="1" pivotButton="0" quotePrefix="0" xfId="0">
      <alignment vertical="bottom"/>
    </xf>
    <xf numFmtId="3" fontId="77" fillId="4" borderId="14" applyAlignment="1" pivotButton="0" quotePrefix="0" xfId="0">
      <alignment horizontal="left" vertical="bottom"/>
    </xf>
    <xf numFmtId="189" fontId="0" fillId="4" borderId="25" applyAlignment="1" pivotButton="0" quotePrefix="0" xfId="0">
      <alignment vertical="bottom"/>
    </xf>
    <xf numFmtId="0" fontId="75" fillId="4" borderId="8" applyAlignment="1" pivotButton="0" quotePrefix="0" xfId="0">
      <alignment horizontal="left" vertical="bottom" wrapText="1"/>
    </xf>
    <xf numFmtId="0" fontId="75" fillId="4" borderId="9" applyAlignment="1" pivotButton="0" quotePrefix="0" xfId="0">
      <alignment horizontal="right" vertical="bottom" wrapText="1"/>
    </xf>
    <xf numFmtId="0" fontId="75" fillId="4" borderId="10" applyAlignment="1" pivotButton="0" quotePrefix="0" xfId="0">
      <alignment horizontal="right" vertical="bottom" wrapText="1"/>
    </xf>
    <xf numFmtId="49" fontId="75" fillId="4" borderId="7" applyAlignment="1" pivotButton="0" quotePrefix="0" xfId="0">
      <alignment horizontal="right" vertical="bottom" wrapText="1"/>
    </xf>
    <xf numFmtId="49" fontId="76" fillId="4" borderId="17" applyAlignment="1" pivotButton="0" quotePrefix="0" xfId="0">
      <alignment horizontal="left" vertical="bottom"/>
    </xf>
    <xf numFmtId="0" fontId="76" fillId="4" borderId="18" applyAlignment="1" pivotButton="0" quotePrefix="0" xfId="0">
      <alignment horizontal="left" vertical="bottom"/>
    </xf>
    <xf numFmtId="3" fontId="76" fillId="4" borderId="18" applyAlignment="1" pivotButton="0" quotePrefix="0" xfId="0">
      <alignment horizontal="right" vertical="bottom"/>
    </xf>
    <xf numFmtId="3" fontId="76" fillId="4" borderId="19" applyAlignment="1" pivotButton="0" quotePrefix="0" xfId="0">
      <alignment horizontal="right" vertical="bottom"/>
    </xf>
    <xf numFmtId="170" fontId="76" fillId="4" borderId="16" applyAlignment="1" pivotButton="0" quotePrefix="0" xfId="0">
      <alignment horizontal="right" vertical="bottom"/>
    </xf>
    <xf numFmtId="49" fontId="76" fillId="4" borderId="20" applyAlignment="1" pivotButton="0" quotePrefix="0" xfId="0">
      <alignment horizontal="left" vertical="bottom"/>
    </xf>
    <xf numFmtId="170" fontId="76" fillId="4" borderId="21" applyAlignment="1" pivotButton="0" quotePrefix="0" xfId="0">
      <alignment horizontal="right" vertical="bottom"/>
    </xf>
    <xf numFmtId="3" fontId="76" fillId="4" borderId="14" applyAlignment="1" pivotButton="0" quotePrefix="0" xfId="0">
      <alignment horizontal="right" vertical="bottom"/>
    </xf>
    <xf numFmtId="3" fontId="76" fillId="4" borderId="22" applyAlignment="1" pivotButton="0" quotePrefix="0" xfId="0">
      <alignment horizontal="right" vertical="bottom"/>
    </xf>
    <xf numFmtId="49" fontId="75" fillId="4" borderId="20" applyAlignment="1" pivotButton="0" quotePrefix="0" xfId="0">
      <alignment horizontal="left" vertical="bottom"/>
    </xf>
    <xf numFmtId="0" fontId="75" fillId="4" borderId="14" applyAlignment="1" pivotButton="0" quotePrefix="0" xfId="0">
      <alignment horizontal="left" vertical="bottom"/>
    </xf>
    <xf numFmtId="3" fontId="75" fillId="4" borderId="14" applyAlignment="1" pivotButton="0" quotePrefix="0" xfId="0">
      <alignment horizontal="right" vertical="bottom"/>
    </xf>
    <xf numFmtId="3" fontId="75" fillId="4" borderId="22" applyAlignment="1" pivotButton="0" quotePrefix="0" xfId="0">
      <alignment horizontal="right" vertical="bottom"/>
    </xf>
    <xf numFmtId="170" fontId="75" fillId="4" borderId="21" applyAlignment="1" pivotButton="0" quotePrefix="0" xfId="0">
      <alignment horizontal="right" vertical="bottom"/>
    </xf>
    <xf numFmtId="49" fontId="76" fillId="4" borderId="24" applyAlignment="1" pivotButton="0" quotePrefix="0" xfId="0">
      <alignment horizontal="left" vertical="bottom"/>
    </xf>
    <xf numFmtId="170" fontId="76" fillId="4" borderId="25" applyAlignment="1" pivotButton="0" quotePrefix="0" xfId="0">
      <alignment horizontal="right" vertical="bottom"/>
    </xf>
    <xf numFmtId="170" fontId="76" fillId="4" borderId="26" applyAlignment="1" pivotButton="0" quotePrefix="0" xfId="0">
      <alignment horizontal="right" vertical="bottom"/>
    </xf>
    <xf numFmtId="170" fontId="76" fillId="4" borderId="23" applyAlignment="1" pivotButton="0" quotePrefix="0" xfId="0">
      <alignment horizontal="right" vertical="bottom"/>
    </xf>
    <xf numFmtId="3" fontId="0" fillId="4" borderId="18" applyAlignment="1" pivotButton="0" quotePrefix="0" xfId="0">
      <alignment vertical="bottom"/>
    </xf>
    <xf numFmtId="189" fontId="0" fillId="4" borderId="18" applyAlignment="1" pivotButton="0" quotePrefix="0" xfId="0">
      <alignment vertical="bottom"/>
    </xf>
    <xf numFmtId="3" fontId="76" fillId="4" borderId="14" applyAlignment="1" pivotButton="0" quotePrefix="0" xfId="0">
      <alignment horizontal="left" vertical="bottom"/>
    </xf>
    <xf numFmtId="0" fontId="75" fillId="4" borderId="8" applyAlignment="1" pivotButton="0" quotePrefix="0" xfId="0">
      <alignment horizontal="left" vertical="bottom"/>
    </xf>
    <xf numFmtId="0" fontId="75" fillId="4" borderId="9" applyAlignment="1" pivotButton="0" quotePrefix="0" xfId="0">
      <alignment horizontal="left" vertical="bottom"/>
    </xf>
    <xf numFmtId="9" fontId="76" fillId="4" borderId="18" applyAlignment="1" pivotButton="0" quotePrefix="0" xfId="0">
      <alignment horizontal="left" vertical="bottom"/>
    </xf>
    <xf numFmtId="9" fontId="76" fillId="4" borderId="14" applyAlignment="1" pivotButton="0" quotePrefix="0" xfId="0">
      <alignment horizontal="left" vertical="bottom"/>
    </xf>
    <xf numFmtId="49" fontId="75" fillId="4" borderId="24" applyAlignment="1" pivotButton="0" quotePrefix="0" xfId="0">
      <alignment horizontal="left" vertical="bottom"/>
    </xf>
    <xf numFmtId="0" fontId="75" fillId="4" borderId="25" applyAlignment="1" pivotButton="0" quotePrefix="0" xfId="0">
      <alignment horizontal="left" vertical="bottom"/>
    </xf>
    <xf numFmtId="3" fontId="75" fillId="4" borderId="25" applyAlignment="1" pivotButton="0" quotePrefix="0" xfId="0">
      <alignment horizontal="right" vertical="bottom"/>
    </xf>
    <xf numFmtId="170" fontId="75" fillId="4" borderId="26" applyAlignment="1" pivotButton="0" quotePrefix="0" xfId="0">
      <alignment horizontal="right" vertical="bottom"/>
    </xf>
    <xf numFmtId="9" fontId="76" fillId="4" borderId="14" applyAlignment="1" pivotButton="0" quotePrefix="0" xfId="0">
      <alignment horizontal="right" vertical="bottom"/>
    </xf>
    <xf numFmtId="49" fontId="76" fillId="4" borderId="65" applyAlignment="1" pivotButton="0" quotePrefix="0" xfId="0">
      <alignment horizontal="left" vertical="bottom" wrapText="1"/>
    </xf>
    <xf numFmtId="0" fontId="75" fillId="4" borderId="10" applyAlignment="1" pivotButton="0" quotePrefix="0" xfId="0">
      <alignment horizontal="left" vertical="bottom" wrapText="1"/>
    </xf>
    <xf numFmtId="49" fontId="75" fillId="4" borderId="7" applyAlignment="1" pivotButton="0" quotePrefix="0" xfId="0">
      <alignment horizontal="center" vertical="bottom" wrapText="1"/>
    </xf>
    <xf numFmtId="0" fontId="0" fillId="4" borderId="66" applyAlignment="1" pivotButton="0" quotePrefix="0" xfId="0">
      <alignment vertical="bottom"/>
    </xf>
    <xf numFmtId="0" fontId="75" fillId="4" borderId="7" applyAlignment="1" pivotButton="0" quotePrefix="0" xfId="0">
      <alignment horizontal="right" vertical="bottom" wrapText="1"/>
    </xf>
    <xf numFmtId="0" fontId="76" fillId="4" borderId="19" applyAlignment="1" pivotButton="0" quotePrefix="0" xfId="0">
      <alignment horizontal="left" vertical="bottom"/>
    </xf>
    <xf numFmtId="3" fontId="76" fillId="4" borderId="16" applyAlignment="1" pivotButton="0" quotePrefix="0" xfId="0">
      <alignment horizontal="right" vertical="bottom" wrapText="1"/>
    </xf>
    <xf numFmtId="170" fontId="76" fillId="4" borderId="16" applyAlignment="1" pivotButton="0" quotePrefix="0" xfId="0">
      <alignment horizontal="right" vertical="bottom" wrapText="1"/>
    </xf>
    <xf numFmtId="0" fontId="76" fillId="4" borderId="22" applyAlignment="1" pivotButton="0" quotePrefix="0" xfId="0">
      <alignment horizontal="left" vertical="bottom"/>
    </xf>
    <xf numFmtId="3" fontId="76" fillId="4" borderId="21" applyAlignment="1" pivotButton="0" quotePrefix="0" xfId="0">
      <alignment horizontal="right" vertical="bottom" wrapText="1"/>
    </xf>
    <xf numFmtId="170" fontId="76" fillId="4" borderId="21" applyAlignment="1" pivotButton="0" quotePrefix="0" xfId="0">
      <alignment horizontal="right" vertical="bottom" wrapText="1"/>
    </xf>
    <xf numFmtId="0" fontId="75" fillId="4" borderId="22" applyAlignment="1" pivotButton="0" quotePrefix="0" xfId="0">
      <alignment horizontal="left" vertical="bottom"/>
    </xf>
    <xf numFmtId="3" fontId="75" fillId="4" borderId="21" applyAlignment="1" pivotButton="0" quotePrefix="0" xfId="0">
      <alignment horizontal="right" vertical="bottom" wrapText="1"/>
    </xf>
    <xf numFmtId="170" fontId="75" fillId="4" borderId="21" applyAlignment="1" pivotButton="0" quotePrefix="0" xfId="0">
      <alignment horizontal="right" vertical="bottom" wrapText="1"/>
    </xf>
    <xf numFmtId="0" fontId="76" fillId="4" borderId="26" applyAlignment="1" pivotButton="0" quotePrefix="0" xfId="0">
      <alignment horizontal="left" vertical="bottom"/>
    </xf>
    <xf numFmtId="9" fontId="76" fillId="4" borderId="23" applyAlignment="1" pivotButton="0" quotePrefix="0" xfId="0">
      <alignment horizontal="right" vertical="bottom"/>
    </xf>
    <xf numFmtId="170" fontId="76" fillId="4" borderId="23" applyAlignment="1" pivotButton="0" quotePrefix="0" xfId="0">
      <alignment horizontal="right" vertical="bottom" wrapText="1"/>
    </xf>
    <xf numFmtId="175" fontId="76" fillId="4" borderId="18" applyAlignment="1" pivotButton="0" quotePrefix="0" xfId="0">
      <alignment horizontal="right" vertical="bottom"/>
    </xf>
    <xf numFmtId="3" fontId="78" fillId="4" borderId="28" applyAlignment="1" pivotButton="0" quotePrefix="0" xfId="0">
      <alignment vertical="bottom"/>
    </xf>
    <xf numFmtId="0" fontId="75" fillId="4" borderId="29" applyAlignment="1" pivotButton="0" quotePrefix="0" xfId="0">
      <alignment vertical="bottom"/>
    </xf>
    <xf numFmtId="189" fontId="75" fillId="4" borderId="2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74" fillId="4" borderId="67" applyAlignment="1" pivotButton="0" quotePrefix="0" xfId="0">
      <alignment horizontal="left" vertical="bottom"/>
    </xf>
    <xf numFmtId="0" fontId="74" fillId="4" borderId="67" applyAlignment="1" pivotButton="0" quotePrefix="0" xfId="0">
      <alignment horizontal="right" vertical="bottom"/>
    </xf>
    <xf numFmtId="0" fontId="74" fillId="4" borderId="67" applyAlignment="1" pivotButton="0" quotePrefix="0" xfId="0">
      <alignment vertical="bottom"/>
    </xf>
    <xf numFmtId="0" fontId="0" fillId="0" borderId="67" applyAlignment="1" pivotButton="0" quotePrefix="0" xfId="0">
      <alignment vertical="bottom"/>
    </xf>
    <xf numFmtId="3" fontId="73" fillId="4" borderId="4" applyAlignment="1" pivotButton="0" quotePrefix="0" xfId="0">
      <alignment horizontal="right" vertical="bottom"/>
    </xf>
    <xf numFmtId="3" fontId="79" fillId="4" borderId="4" applyAlignment="1" pivotButton="0" quotePrefix="0" xfId="0">
      <alignment horizontal="right" vertical="bottom"/>
    </xf>
    <xf numFmtId="3" fontId="73" fillId="4" borderId="14" applyAlignment="1" pivotButton="0" quotePrefix="0" xfId="0">
      <alignment horizontal="right" vertical="bottom"/>
    </xf>
    <xf numFmtId="0" fontId="76" fillId="4" borderId="67" applyAlignment="1" pivotButton="0" quotePrefix="0" xfId="0">
      <alignment vertical="bottom"/>
    </xf>
    <xf numFmtId="3" fontId="76" fillId="4" borderId="27" applyAlignment="1" pivotButton="0" quotePrefix="0" xfId="0">
      <alignment horizontal="left" vertical="bottom"/>
    </xf>
    <xf numFmtId="9" fontId="75" fillId="4" borderId="14" applyAlignment="1" pivotButton="0" quotePrefix="0" xfId="0">
      <alignment vertical="bottom"/>
    </xf>
    <xf numFmtId="3" fontId="75" fillId="4" borderId="14" applyAlignment="1" pivotButton="0" quotePrefix="0" xfId="0">
      <alignment vertical="bottom"/>
    </xf>
    <xf numFmtId="0" fontId="75" fillId="4" borderId="27" applyAlignment="1" pivotButton="0" quotePrefix="0" xfId="0">
      <alignment horizontal="left" vertical="bottom"/>
    </xf>
    <xf numFmtId="0" fontId="76" fillId="4" borderId="14" applyAlignment="1" pivotButton="0" quotePrefix="0" xfId="0">
      <alignment horizontal="right" vertical="bottom"/>
    </xf>
    <xf numFmtId="49" fontId="77" fillId="4" borderId="14" applyAlignment="1" pivotButton="0" quotePrefix="0" xfId="0">
      <alignment horizontal="right" vertical="bottom"/>
    </xf>
    <xf numFmtId="0" fontId="76" fillId="4" borderId="25" applyAlignment="1" pivotButton="0" quotePrefix="0" xfId="0">
      <alignment horizontal="right" vertical="bottom"/>
    </xf>
    <xf numFmtId="49" fontId="75" fillId="4" borderId="10" applyAlignment="1" pivotButton="0" quotePrefix="0" xfId="0">
      <alignment horizontal="center" vertical="bottom"/>
    </xf>
    <xf numFmtId="49" fontId="75" fillId="4" borderId="7" applyAlignment="1" pivotButton="0" quotePrefix="0" xfId="0">
      <alignment horizontal="center" vertical="bottom"/>
    </xf>
    <xf numFmtId="0" fontId="76" fillId="4" borderId="20" applyAlignment="1" pivotButton="0" quotePrefix="0" xfId="0">
      <alignment horizontal="right" vertical="bottom"/>
    </xf>
    <xf numFmtId="0" fontId="0" fillId="4" borderId="8" applyAlignment="1" pivotButton="0" quotePrefix="0" xfId="0">
      <alignment vertical="bottom" wrapText="1"/>
    </xf>
    <xf numFmtId="166" fontId="76" fillId="4" borderId="18" applyAlignment="1" pivotButton="0" quotePrefix="0" xfId="0">
      <alignment horizontal="right" vertical="bottom"/>
    </xf>
    <xf numFmtId="166" fontId="76" fillId="4" borderId="14" applyAlignment="1" pivotButton="0" quotePrefix="0" xfId="0">
      <alignment horizontal="right" vertical="bottom"/>
    </xf>
    <xf numFmtId="49" fontId="76" fillId="4" borderId="27" applyAlignment="1" pivotButton="0" quotePrefix="0" xfId="0">
      <alignment horizontal="left" vertical="bottom"/>
    </xf>
    <xf numFmtId="0" fontId="76" fillId="4" borderId="63" applyAlignment="1" pivotButton="0" quotePrefix="0" xfId="0">
      <alignment horizontal="left" vertical="bottom"/>
    </xf>
    <xf numFmtId="166" fontId="76" fillId="4" borderId="25" applyAlignment="1" pivotButton="0" quotePrefix="0" xfId="0">
      <alignment horizontal="right" vertical="bottom"/>
    </xf>
    <xf numFmtId="4" fontId="0" fillId="4" borderId="14" applyAlignment="1" pivotButton="0" quotePrefix="0" xfId="0">
      <alignment vertical="bottom"/>
    </xf>
    <xf numFmtId="3" fontId="0" fillId="4" borderId="27" applyAlignment="1" pivotButton="0" quotePrefix="0" xfId="0">
      <alignment vertical="bottom"/>
    </xf>
    <xf numFmtId="49" fontId="75" fillId="4" borderId="27" applyAlignment="1" pivotButton="0" quotePrefix="0" xfId="0">
      <alignment horizontal="left" vertical="bottom"/>
    </xf>
    <xf numFmtId="189" fontId="76" fillId="4" borderId="14" applyAlignment="1" pivotButton="0" quotePrefix="0" xfId="0">
      <alignment horizontal="right" vertical="bottom"/>
    </xf>
    <xf numFmtId="0" fontId="80" fillId="4" borderId="14" applyAlignment="1" pivotButton="0" quotePrefix="0" xfId="0">
      <alignment vertical="bottom"/>
    </xf>
    <xf numFmtId="0" fontId="75" fillId="4" borderId="25" applyAlignment="1" pivotButton="0" quotePrefix="0" xfId="0">
      <alignment horizontal="right" vertical="bottom"/>
    </xf>
    <xf numFmtId="0" fontId="75" fillId="4" borderId="25" applyAlignment="1" pivotButton="0" quotePrefix="0" xfId="0">
      <alignment vertical="bottom"/>
    </xf>
    <xf numFmtId="0" fontId="75" fillId="4" borderId="8" applyAlignment="1" pivotButton="0" quotePrefix="0" xfId="0">
      <alignment vertical="bottom"/>
    </xf>
    <xf numFmtId="0" fontId="75" fillId="4" borderId="9" applyAlignment="1" pivotButton="0" quotePrefix="0" xfId="0">
      <alignment vertical="bottom"/>
    </xf>
    <xf numFmtId="170" fontId="76" fillId="4" borderId="20" applyAlignment="1" pivotButton="0" quotePrefix="0" xfId="0">
      <alignment horizontal="right" vertical="bottom"/>
    </xf>
    <xf numFmtId="49" fontId="0" fillId="4" borderId="17" applyAlignment="1" pivotButton="0" quotePrefix="0" xfId="0">
      <alignment vertical="bottom"/>
    </xf>
    <xf numFmtId="166" fontId="76" fillId="4" borderId="20" applyAlignment="1" pivotButton="0" quotePrefix="0" xfId="0">
      <alignment horizontal="right" vertical="bottom"/>
    </xf>
    <xf numFmtId="49" fontId="0" fillId="4" borderId="20" applyAlignment="1" pivotButton="0" quotePrefix="0" xfId="0">
      <alignment vertical="bottom"/>
    </xf>
    <xf numFmtId="49" fontId="75" fillId="4" borderId="20" applyAlignment="1" pivotButton="0" quotePrefix="0" xfId="0">
      <alignment vertical="bottom"/>
    </xf>
    <xf numFmtId="189" fontId="75" fillId="7" borderId="14" applyAlignment="1" pivotButton="0" quotePrefix="0" xfId="0">
      <alignment vertical="bottom"/>
    </xf>
    <xf numFmtId="170" fontId="75" fillId="4" borderId="22" applyAlignment="1" pivotButton="0" quotePrefix="0" xfId="0">
      <alignment vertical="bottom"/>
    </xf>
    <xf numFmtId="0" fontId="75" fillId="4" borderId="9" applyAlignment="1" pivotButton="0" quotePrefix="0" xfId="0">
      <alignment horizontal="right" vertical="bottom"/>
    </xf>
    <xf numFmtId="0" fontId="75" fillId="4" borderId="10" applyAlignment="1" pivotButton="0" quotePrefix="0" xfId="0">
      <alignment horizontal="right" vertical="bottom"/>
    </xf>
    <xf numFmtId="0" fontId="75" fillId="4" borderId="20" applyAlignment="1" pivotButton="0" quotePrefix="0" xfId="0">
      <alignment vertical="bottom"/>
    </xf>
    <xf numFmtId="0" fontId="81" fillId="4" borderId="20" applyAlignment="1" pivotButton="0" quotePrefix="0" xfId="0">
      <alignment vertical="bottom"/>
    </xf>
    <xf numFmtId="49" fontId="75" fillId="4" borderId="24" applyAlignment="1" pivotButton="0" quotePrefix="0" xfId="0">
      <alignment vertical="bottom"/>
    </xf>
    <xf numFmtId="170" fontId="75" fillId="4" borderId="25" applyAlignment="1" pivotButton="0" quotePrefix="0" xfId="0">
      <alignment horizontal="right" vertical="bottom"/>
    </xf>
    <xf numFmtId="9" fontId="75" fillId="4" borderId="20" applyAlignment="1" pivotButton="0" quotePrefix="0" xfId="0">
      <alignment vertical="bottom"/>
    </xf>
    <xf numFmtId="170" fontId="75" fillId="4" borderId="14" applyAlignment="1" pivotButton="0" quotePrefix="0" xfId="0">
      <alignment vertical="bottom"/>
    </xf>
    <xf numFmtId="170" fontId="75" fillId="4" borderId="25" applyAlignment="1" pivotButton="0" quotePrefix="0" xfId="0">
      <alignment vertical="bottom"/>
    </xf>
    <xf numFmtId="170" fontId="75" fillId="4" borderId="26" applyAlignment="1" pivotButton="0" quotePrefix="0" xfId="0">
      <alignment vertical="bottom"/>
    </xf>
    <xf numFmtId="3" fontId="78" fillId="4" borderId="65" applyAlignment="1" pivotButton="0" quotePrefix="0" xfId="0">
      <alignment vertical="bottom"/>
    </xf>
    <xf numFmtId="4" fontId="0" fillId="4" borderId="18" applyAlignment="1" pivotButton="0" quotePrefix="0" xfId="0">
      <alignment vertical="bottom"/>
    </xf>
    <xf numFmtId="0" fontId="76" fillId="4" borderId="27" applyAlignment="1" pivotButton="0" quotePrefix="0" xfId="0">
      <alignment horizontal="left" vertical="bottom"/>
    </xf>
    <xf numFmtId="0" fontId="0" fillId="0" borderId="0" applyAlignment="1" pivotButton="0" quotePrefix="0" xfId="0">
      <alignment vertical="bottom"/>
    </xf>
    <xf numFmtId="0" fontId="76" fillId="4" borderId="67" applyAlignment="1" pivotButton="0" quotePrefix="0" xfId="0">
      <alignment horizontal="right" vertical="bottom"/>
    </xf>
    <xf numFmtId="49" fontId="82" fillId="4" borderId="1" applyAlignment="1" pivotButton="0" quotePrefix="0" xfId="0">
      <alignment vertical="bottom"/>
    </xf>
    <xf numFmtId="3" fontId="83" fillId="4" borderId="4" applyAlignment="1" pivotButton="0" quotePrefix="0" xfId="0">
      <alignment horizontal="right" vertical="bottom"/>
    </xf>
    <xf numFmtId="3" fontId="84" fillId="4" borderId="4" applyAlignment="1" pivotButton="0" quotePrefix="0" xfId="0">
      <alignment horizontal="right" vertical="bottom"/>
    </xf>
    <xf numFmtId="49" fontId="82" fillId="4" borderId="27" applyAlignment="1" pivotButton="0" quotePrefix="0" xfId="0">
      <alignment vertical="bottom"/>
    </xf>
    <xf numFmtId="3" fontId="83" fillId="4" borderId="14" applyAlignment="1" pivotButton="0" quotePrefix="0" xfId="0">
      <alignment horizontal="right" vertical="bottom"/>
    </xf>
    <xf numFmtId="3" fontId="84" fillId="4" borderId="14" applyAlignment="1" pivotButton="0" quotePrefix="0" xfId="0">
      <alignment horizontal="right" vertical="bottom"/>
    </xf>
    <xf numFmtId="3" fontId="74" fillId="4" borderId="27" applyAlignment="1" pivotButton="0" quotePrefix="0" xfId="0">
      <alignment vertical="bottom"/>
    </xf>
    <xf numFmtId="3" fontId="74" fillId="4" borderId="14" applyAlignment="1" pivotButton="0" quotePrefix="0" xfId="0">
      <alignment horizontal="right" vertical="bottom"/>
    </xf>
    <xf numFmtId="3" fontId="76" fillId="4" borderId="14" applyAlignment="1" pivotButton="0" quotePrefix="0" xfId="0">
      <alignment vertical="bottom"/>
    </xf>
    <xf numFmtId="3" fontId="75" fillId="4" borderId="27" applyAlignment="1" pivotButton="0" quotePrefix="0" xfId="0">
      <alignment vertical="bottom"/>
    </xf>
    <xf numFmtId="3" fontId="75" fillId="4" borderId="8" applyAlignment="1" pivotButton="0" quotePrefix="0" xfId="0">
      <alignment vertical="bottom"/>
    </xf>
    <xf numFmtId="0" fontId="74" fillId="4" borderId="65" applyAlignment="1" pivotButton="0" quotePrefix="0" xfId="0">
      <alignment vertical="bottom"/>
    </xf>
    <xf numFmtId="3" fontId="74" fillId="4" borderId="18" applyAlignment="1" pivotButton="0" quotePrefix="0" xfId="0">
      <alignment horizontal="right" vertical="bottom"/>
    </xf>
    <xf numFmtId="3" fontId="74" fillId="4" borderId="19" applyAlignment="1" pivotButton="0" quotePrefix="0" xfId="0">
      <alignment horizontal="right" vertical="bottom"/>
    </xf>
    <xf numFmtId="3" fontId="76" fillId="4" borderId="22" applyAlignment="1" pivotButton="0" quotePrefix="0" xfId="0">
      <alignment vertical="bottom"/>
    </xf>
    <xf numFmtId="3" fontId="76" fillId="4" borderId="20" applyAlignment="1" pivotButton="0" quotePrefix="0" xfId="0">
      <alignment vertical="bottom"/>
    </xf>
    <xf numFmtId="164" fontId="76" fillId="4" borderId="14" applyAlignment="1" pivotButton="0" quotePrefix="0" xfId="0">
      <alignment vertical="bottom"/>
    </xf>
    <xf numFmtId="170" fontId="76" fillId="4" borderId="22" applyAlignment="1" pivotButton="0" quotePrefix="0" xfId="0">
      <alignment vertical="bottom"/>
    </xf>
    <xf numFmtId="164" fontId="75" fillId="4" borderId="14" applyAlignment="1" pivotButton="0" quotePrefix="0" xfId="0">
      <alignment vertical="bottom"/>
    </xf>
    <xf numFmtId="0" fontId="75" fillId="4" borderId="27" applyAlignment="1" pivotButton="0" quotePrefix="0" xfId="0">
      <alignment vertical="bottom"/>
    </xf>
    <xf numFmtId="0" fontId="52" fillId="4" borderId="14" applyAlignment="1" pivotButton="0" quotePrefix="0" xfId="0">
      <alignment vertical="bottom"/>
    </xf>
    <xf numFmtId="0" fontId="75" fillId="4" borderId="67" applyAlignment="1" pivotButton="0" quotePrefix="0" xfId="0">
      <alignment vertical="bottom"/>
    </xf>
    <xf numFmtId="0" fontId="76" fillId="4" borderId="27" applyAlignment="1" pivotButton="0" quotePrefix="0" xfId="0">
      <alignment vertical="bottom"/>
    </xf>
    <xf numFmtId="166" fontId="76" fillId="4" borderId="14" applyAlignment="1" pivotButton="0" quotePrefix="0" xfId="0">
      <alignment vertical="bottom"/>
    </xf>
    <xf numFmtId="0" fontId="52" fillId="4" borderId="67" applyAlignment="1" pivotButton="0" quotePrefix="0" xfId="0">
      <alignment vertical="bottom"/>
    </xf>
    <xf numFmtId="49" fontId="76" fillId="4" borderId="27" applyAlignment="1" pivotButton="0" quotePrefix="0" xfId="0">
      <alignment vertical="bottom"/>
    </xf>
    <xf numFmtId="164" fontId="75" fillId="7" borderId="14" applyAlignment="1" pivotButton="0" quotePrefix="0" xfId="0">
      <alignment vertical="bottom"/>
    </xf>
    <xf numFmtId="49" fontId="75" fillId="4" borderId="63" applyAlignment="1" pivotButton="0" quotePrefix="0" xfId="0">
      <alignment horizontal="left" vertical="bottom"/>
    </xf>
    <xf numFmtId="164" fontId="75" fillId="7" borderId="25" applyAlignment="1" pivotButton="0" quotePrefix="0" xfId="0">
      <alignment vertical="bottom"/>
    </xf>
    <xf numFmtId="164" fontId="75" fillId="4" borderId="25" applyAlignment="1" pivotButton="0" quotePrefix="0" xfId="0">
      <alignment vertical="bottom"/>
    </xf>
    <xf numFmtId="3" fontId="78" fillId="4" borderId="65" applyAlignment="1" pivotButton="0" quotePrefix="0" xfId="0">
      <alignment horizontal="left" vertical="bottom"/>
    </xf>
    <xf numFmtId="189" fontId="75" fillId="4" borderId="18" applyAlignment="1" pivotButton="0" quotePrefix="0" xfId="0">
      <alignment vertical="bottom"/>
    </xf>
    <xf numFmtId="170" fontId="75" fillId="4" borderId="19" applyAlignment="1" pivotButton="0" quotePrefix="0" xfId="0">
      <alignment vertical="bottom"/>
    </xf>
    <xf numFmtId="0" fontId="76" fillId="4" borderId="14" applyAlignment="1" pivotButton="0" quotePrefix="0" xfId="0">
      <alignment vertical="bottom"/>
    </xf>
    <xf numFmtId="0" fontId="76" fillId="4" borderId="25" applyAlignment="1" pivotButton="0" quotePrefix="0" xfId="0">
      <alignment vertical="bottom"/>
    </xf>
    <xf numFmtId="0" fontId="75" fillId="4" borderId="64" applyAlignment="1" pivotButton="0" quotePrefix="0" xfId="0">
      <alignment vertical="bottom"/>
    </xf>
    <xf numFmtId="0" fontId="75" fillId="4" borderId="10" applyAlignment="1" pivotButton="0" quotePrefix="0" xfId="0">
      <alignment vertical="bottom"/>
    </xf>
    <xf numFmtId="0" fontId="75" fillId="4" borderId="20" applyAlignment="1" pivotButton="0" quotePrefix="0" xfId="0">
      <alignment horizontal="right" vertical="bottom" wrapText="1"/>
    </xf>
    <xf numFmtId="49" fontId="75" fillId="4" borderId="65" applyAlignment="1" pivotButton="0" quotePrefix="0" xfId="0">
      <alignment vertical="bottom"/>
    </xf>
    <xf numFmtId="0" fontId="76" fillId="4" borderId="18" applyAlignment="1" pivotButton="0" quotePrefix="0" xfId="0">
      <alignment vertical="bottom"/>
    </xf>
    <xf numFmtId="0" fontId="76" fillId="4" borderId="19" applyAlignment="1" pivotButton="0" quotePrefix="0" xfId="0">
      <alignment vertical="bottom"/>
    </xf>
    <xf numFmtId="0" fontId="76" fillId="4" borderId="20" applyAlignment="1" pivotButton="0" quotePrefix="0" xfId="0">
      <alignment vertical="bottom"/>
    </xf>
    <xf numFmtId="170" fontId="76" fillId="4" borderId="14" applyAlignment="1" pivotButton="0" quotePrefix="0" xfId="0">
      <alignment vertical="bottom"/>
    </xf>
    <xf numFmtId="170" fontId="75" fillId="4" borderId="18" applyAlignment="1" pivotButton="0" quotePrefix="0" xfId="0">
      <alignment vertical="bottom"/>
    </xf>
    <xf numFmtId="3" fontId="52" fillId="4" borderId="25" applyAlignment="1" pivotButton="0" quotePrefix="0" xfId="0">
      <alignment vertical="bottom"/>
    </xf>
    <xf numFmtId="0" fontId="75" fillId="4" borderId="8" applyAlignment="1" pivotButton="0" quotePrefix="0" xfId="0">
      <alignment horizontal="center" vertical="bottom" wrapText="1"/>
    </xf>
    <xf numFmtId="3" fontId="52" fillId="4" borderId="20" applyAlignment="1" pivotButton="0" quotePrefix="0" xfId="0">
      <alignment vertical="bottom"/>
    </xf>
    <xf numFmtId="3" fontId="52" fillId="4" borderId="14" applyAlignment="1" pivotButton="0" quotePrefix="0" xfId="0">
      <alignment vertical="bottom"/>
    </xf>
    <xf numFmtId="164" fontId="75" fillId="4" borderId="25" applyAlignment="1" pivotButton="0" quotePrefix="0" xfId="0">
      <alignment horizontal="right" vertical="bottom"/>
    </xf>
    <xf numFmtId="164" fontId="75" fillId="4" borderId="26" applyAlignment="1" pivotButton="0" quotePrefix="0" xfId="0">
      <alignment horizontal="right" vertical="bottom"/>
    </xf>
    <xf numFmtId="0" fontId="74" fillId="4" borderId="18" applyAlignment="1" pivotButton="0" quotePrefix="0" xfId="0">
      <alignment vertical="bottom"/>
    </xf>
    <xf numFmtId="0" fontId="0" fillId="0" borderId="0" pivotButton="0" quotePrefix="0" xfId="0"/>
    <xf numFmtId="164" fontId="10" fillId="5" borderId="7" applyAlignment="1" pivotButton="0" quotePrefix="0" xfId="0">
      <alignment horizontal="right" vertical="bottom"/>
    </xf>
    <xf numFmtId="164" fontId="10" fillId="5" borderId="8" applyAlignment="1" pivotButton="0" quotePrefix="0" xfId="0">
      <alignment horizontal="right" vertical="bottom"/>
    </xf>
    <xf numFmtId="164" fontId="10" fillId="5" borderId="9" applyAlignment="1" pivotButton="0" quotePrefix="0" xfId="0">
      <alignment horizontal="right" vertical="bottom"/>
    </xf>
    <xf numFmtId="164" fontId="10" fillId="5" borderId="10" applyAlignment="1" pivotButton="0" quotePrefix="0" xfId="0">
      <alignment horizontal="right" vertical="bottom"/>
    </xf>
    <xf numFmtId="164" fontId="10" fillId="6" borderId="9" applyAlignment="1" pivotButton="0" quotePrefix="0" xfId="0">
      <alignment horizontal="right" vertical="bottom"/>
    </xf>
    <xf numFmtId="164" fontId="10" fillId="6" borderId="10" applyAlignment="1" pivotButton="0" quotePrefix="0" xfId="0">
      <alignment horizontal="right" vertical="bottom"/>
    </xf>
    <xf numFmtId="164" fontId="10" fillId="6" borderId="7" applyAlignment="1" pivotButton="0" quotePrefix="0" xfId="0">
      <alignment horizontal="right" vertical="bottom"/>
    </xf>
    <xf numFmtId="164" fontId="10" fillId="6" borderId="11" applyAlignment="1" pivotButton="0" quotePrefix="0" xfId="0">
      <alignment horizontal="right" vertical="bottom"/>
    </xf>
    <xf numFmtId="0" fontId="0" fillId="0" borderId="13" pivotButton="0" quotePrefix="0" xfId="0"/>
    <xf numFmtId="0" fontId="0" fillId="0" borderId="21" pivotButton="0" quotePrefix="0" xfId="0"/>
    <xf numFmtId="165" fontId="8" fillId="4" borderId="21" applyAlignment="1" pivotButton="0" quotePrefix="0" xfId="0">
      <alignment horizontal="right" vertical="bottom" wrapText="1"/>
    </xf>
    <xf numFmtId="0" fontId="0" fillId="0" borderId="23" pivotButton="0" quotePrefix="0" xfId="0"/>
    <xf numFmtId="166" fontId="8" fillId="5" borderId="23" applyAlignment="1" pivotButton="0" quotePrefix="0" xfId="0">
      <alignment horizontal="right" vertical="bottom"/>
    </xf>
    <xf numFmtId="167" fontId="8" fillId="4" borderId="23" applyAlignment="1" pivotButton="0" quotePrefix="0" xfId="0">
      <alignment horizontal="right" vertical="bottom" wrapText="1"/>
    </xf>
    <xf numFmtId="166" fontId="11" fillId="4" borderId="9" applyAlignment="1" pivotButton="0" quotePrefix="0" xfId="0">
      <alignment vertical="bottom"/>
    </xf>
    <xf numFmtId="166" fontId="11" fillId="8" borderId="7" applyAlignment="1" pivotButton="0" quotePrefix="0" xfId="0">
      <alignment vertical="bottom"/>
    </xf>
    <xf numFmtId="166" fontId="11" fillId="8" borderId="8" applyAlignment="1" pivotButton="0" quotePrefix="0" xfId="0">
      <alignment vertical="bottom"/>
    </xf>
    <xf numFmtId="166" fontId="11" fillId="8" borderId="10" applyAlignment="1" pivotButton="0" quotePrefix="0" xfId="0">
      <alignment vertical="bottom"/>
    </xf>
    <xf numFmtId="166" fontId="13" fillId="4" borderId="7" applyAlignment="1" pivotButton="0" quotePrefix="0" xfId="0">
      <alignment vertical="bottom"/>
    </xf>
    <xf numFmtId="168" fontId="12" fillId="4" borderId="7" applyAlignment="1" pivotButton="0" quotePrefix="0" xfId="0">
      <alignment vertical="bottom"/>
    </xf>
    <xf numFmtId="169" fontId="0" fillId="4" borderId="7" applyAlignment="1" pivotButton="0" quotePrefix="0" xfId="0">
      <alignment vertical="bottom"/>
    </xf>
    <xf numFmtId="169" fontId="0" fillId="4" borderId="8" applyAlignment="1" pivotButton="0" quotePrefix="0" xfId="0">
      <alignment vertical="bottom"/>
    </xf>
    <xf numFmtId="166" fontId="13" fillId="4" borderId="9" applyAlignment="1" pivotButton="0" quotePrefix="0" xfId="0">
      <alignment vertical="bottom"/>
    </xf>
    <xf numFmtId="169" fontId="0" fillId="4" borderId="9" applyAlignment="1" pivotButton="0" quotePrefix="0" xfId="0">
      <alignment vertical="bottom"/>
    </xf>
    <xf numFmtId="169" fontId="0" fillId="4" borderId="10" applyAlignment="1" pivotButton="0" quotePrefix="0" xfId="0">
      <alignment vertical="bottom"/>
    </xf>
    <xf numFmtId="166" fontId="13" fillId="4" borderId="8" applyAlignment="1" pivotButton="0" quotePrefix="0" xfId="0">
      <alignment vertical="bottom"/>
    </xf>
    <xf numFmtId="166" fontId="0" fillId="4" borderId="7" applyAlignment="1" pivotButton="0" quotePrefix="0" xfId="0">
      <alignment vertical="bottom"/>
    </xf>
    <xf numFmtId="170" fontId="0" fillId="4" borderId="7" applyAlignment="1" pivotButton="0" quotePrefix="0" xfId="0">
      <alignment vertical="bottom"/>
    </xf>
    <xf numFmtId="170" fontId="0" fillId="4" borderId="8" applyAlignment="1" pivotButton="0" quotePrefix="0" xfId="0">
      <alignment vertical="bottom"/>
    </xf>
    <xf numFmtId="170" fontId="0" fillId="4" borderId="9" applyAlignment="1" pivotButton="0" quotePrefix="0" xfId="0">
      <alignment vertical="bottom"/>
    </xf>
    <xf numFmtId="170" fontId="0" fillId="4" borderId="10" applyAlignment="1" pivotButton="0" quotePrefix="0" xfId="0">
      <alignment vertical="bottom"/>
    </xf>
    <xf numFmtId="168" fontId="0" fillId="4" borderId="7" applyAlignment="1" pivotButton="0" quotePrefix="0" xfId="0">
      <alignment vertical="bottom"/>
    </xf>
    <xf numFmtId="171" fontId="0" fillId="4" borderId="7" applyAlignment="1" pivotButton="0" quotePrefix="0" xfId="0">
      <alignment vertical="bottom"/>
    </xf>
    <xf numFmtId="166" fontId="11" fillId="8" borderId="16" applyAlignment="1" pivotButton="0" quotePrefix="0" xfId="0">
      <alignment vertical="bottom"/>
    </xf>
    <xf numFmtId="166" fontId="11" fillId="8" borderId="17" applyAlignment="1" pivotButton="0" quotePrefix="0" xfId="0">
      <alignment vertical="bottom"/>
    </xf>
    <xf numFmtId="166" fontId="11" fillId="8" borderId="19" applyAlignment="1" pivotButton="0" quotePrefix="0" xfId="0">
      <alignment vertical="bottom"/>
    </xf>
    <xf numFmtId="166" fontId="0" fillId="4" borderId="21" applyAlignment="1" pivotButton="0" quotePrefix="0" xfId="0">
      <alignment vertical="bottom"/>
    </xf>
    <xf numFmtId="168" fontId="0" fillId="4" borderId="21" applyAlignment="1" pivotButton="0" quotePrefix="0" xfId="0">
      <alignment vertical="bottom"/>
    </xf>
    <xf numFmtId="172" fontId="10" fillId="4" borderId="21" applyAlignment="1" pivotButton="0" quotePrefix="0" xfId="0">
      <alignment horizontal="right" vertical="bottom"/>
    </xf>
    <xf numFmtId="172" fontId="10" fillId="4" borderId="20" applyAlignment="1" pivotButton="0" quotePrefix="0" xfId="0">
      <alignment horizontal="right" vertical="bottom"/>
    </xf>
    <xf numFmtId="172" fontId="10" fillId="4" borderId="14" applyAlignment="1" pivotButton="0" quotePrefix="0" xfId="0">
      <alignment horizontal="right" vertical="bottom"/>
    </xf>
    <xf numFmtId="172" fontId="10" fillId="4" borderId="22" applyAlignment="1" pivotButton="0" quotePrefix="0" xfId="0">
      <alignment horizontal="right" vertical="bottom"/>
    </xf>
    <xf numFmtId="172" fontId="0" fillId="4" borderId="21" applyAlignment="1" pivotButton="0" quotePrefix="0" xfId="0">
      <alignment vertical="bottom"/>
    </xf>
    <xf numFmtId="170" fontId="10" fillId="4" borderId="21" applyAlignment="1" pivotButton="0" quotePrefix="0" xfId="0">
      <alignment vertical="bottom"/>
    </xf>
    <xf numFmtId="170" fontId="10" fillId="4" borderId="20" applyAlignment="1" pivotButton="0" quotePrefix="0" xfId="0">
      <alignment vertical="bottom"/>
    </xf>
    <xf numFmtId="170" fontId="10" fillId="4" borderId="14" applyAlignment="1" pivotButton="0" quotePrefix="0" xfId="0">
      <alignment vertical="bottom"/>
    </xf>
    <xf numFmtId="170" fontId="10" fillId="4" borderId="22" applyAlignment="1" pivotButton="0" quotePrefix="0" xfId="0">
      <alignment vertical="bottom"/>
    </xf>
    <xf numFmtId="166" fontId="0" fillId="4" borderId="14" applyAlignment="1" pivotButton="0" quotePrefix="0" xfId="0">
      <alignment vertical="bottom"/>
    </xf>
    <xf numFmtId="171" fontId="0" fillId="4" borderId="21" applyAlignment="1" pivotButton="0" quotePrefix="0" xfId="0">
      <alignment vertical="bottom"/>
    </xf>
    <xf numFmtId="166" fontId="0" fillId="4" borderId="23" applyAlignment="1" pivotButton="0" quotePrefix="0" xfId="0">
      <alignment vertical="bottom"/>
    </xf>
    <xf numFmtId="168" fontId="0" fillId="4" borderId="23" applyAlignment="1" pivotButton="0" quotePrefix="0" xfId="0">
      <alignment vertical="bottom"/>
    </xf>
    <xf numFmtId="166" fontId="0" fillId="4" borderId="25" applyAlignment="1" pivotButton="0" quotePrefix="0" xfId="0">
      <alignment vertical="bottom"/>
    </xf>
    <xf numFmtId="171" fontId="8" fillId="4" borderId="23" applyAlignment="1" pivotButton="0" quotePrefix="0" xfId="0">
      <alignment vertical="bottom"/>
    </xf>
    <xf numFmtId="172" fontId="8" fillId="4" borderId="7" applyAlignment="1" pivotButton="0" quotePrefix="0" xfId="0">
      <alignment horizontal="right" vertical="bottom"/>
    </xf>
    <xf numFmtId="172" fontId="8" fillId="4" borderId="8" applyAlignment="1" pivotButton="0" quotePrefix="0" xfId="0">
      <alignment horizontal="right" vertical="bottom"/>
    </xf>
    <xf numFmtId="172" fontId="8" fillId="4" borderId="9" applyAlignment="1" pivotButton="0" quotePrefix="0" xfId="0">
      <alignment horizontal="right" vertical="bottom"/>
    </xf>
    <xf numFmtId="164" fontId="0" fillId="4" borderId="10" applyAlignment="1" pivotButton="0" quotePrefix="0" xfId="0">
      <alignment vertical="bottom"/>
    </xf>
    <xf numFmtId="164" fontId="0" fillId="4" borderId="7" applyAlignment="1" pivotButton="0" quotePrefix="0" xfId="0">
      <alignment vertical="bottom"/>
    </xf>
    <xf numFmtId="166" fontId="0" fillId="4" borderId="16" applyAlignment="1" pivotButton="0" quotePrefix="0" xfId="0">
      <alignment vertical="bottom"/>
    </xf>
    <xf numFmtId="168" fontId="0" fillId="4" borderId="16" applyAlignment="1" pivotButton="0" quotePrefix="0" xfId="0">
      <alignment vertical="bottom"/>
    </xf>
    <xf numFmtId="172" fontId="8" fillId="4" borderId="16" applyAlignment="1" pivotButton="0" quotePrefix="0" xfId="0">
      <alignment horizontal="right" vertical="bottom"/>
    </xf>
    <xf numFmtId="172" fontId="8" fillId="4" borderId="17" applyAlignment="1" pivotButton="0" quotePrefix="0" xfId="0">
      <alignment horizontal="right" vertical="bottom"/>
    </xf>
    <xf numFmtId="172" fontId="8" fillId="4" borderId="18" applyAlignment="1" pivotButton="0" quotePrefix="0" xfId="0">
      <alignment horizontal="right" vertical="bottom"/>
    </xf>
    <xf numFmtId="170" fontId="0" fillId="4" borderId="17" applyAlignment="1" pivotButton="0" quotePrefix="0" xfId="0">
      <alignment vertical="bottom"/>
    </xf>
    <xf numFmtId="170" fontId="0" fillId="4" borderId="18" applyAlignment="1" pivotButton="0" quotePrefix="0" xfId="0">
      <alignment vertical="bottom"/>
    </xf>
    <xf numFmtId="170" fontId="0" fillId="4" borderId="16" applyAlignment="1" pivotButton="0" quotePrefix="0" xfId="0">
      <alignment vertical="bottom"/>
    </xf>
    <xf numFmtId="171" fontId="0" fillId="4" borderId="16" applyAlignment="1" pivotButton="0" quotePrefix="0" xfId="0">
      <alignment vertical="bottom"/>
    </xf>
    <xf numFmtId="172" fontId="8" fillId="4" borderId="21" applyAlignment="1" pivotButton="0" quotePrefix="0" xfId="0">
      <alignment horizontal="right" vertical="bottom"/>
    </xf>
    <xf numFmtId="164" fontId="0" fillId="4" borderId="21" applyAlignment="1" pivotButton="0" quotePrefix="0" xfId="0">
      <alignment vertical="bottom"/>
    </xf>
    <xf numFmtId="172" fontId="8" fillId="4" borderId="20" applyAlignment="1" pivotButton="0" quotePrefix="0" xfId="0">
      <alignment horizontal="right" vertical="bottom"/>
    </xf>
    <xf numFmtId="172" fontId="8" fillId="4" borderId="14" applyAlignment="1" pivotButton="0" quotePrefix="0" xfId="0">
      <alignment horizontal="right" vertical="bottom"/>
    </xf>
    <xf numFmtId="164" fontId="0" fillId="4" borderId="22" applyAlignment="1" pivotButton="0" quotePrefix="0" xfId="0">
      <alignment vertical="bottom"/>
    </xf>
    <xf numFmtId="170" fontId="0" fillId="4" borderId="20" applyAlignment="1" pivotButton="0" quotePrefix="0" xfId="0">
      <alignment vertical="bottom"/>
    </xf>
    <xf numFmtId="170" fontId="0" fillId="4" borderId="14" applyAlignment="1" pivotButton="0" quotePrefix="0" xfId="0">
      <alignment vertical="bottom"/>
    </xf>
    <xf numFmtId="170" fontId="0" fillId="4" borderId="21" applyAlignment="1" pivotButton="0" quotePrefix="0" xfId="0">
      <alignment vertical="bottom"/>
    </xf>
    <xf numFmtId="172" fontId="16" fillId="4" borderId="21" applyAlignment="1" pivotButton="0" quotePrefix="0" xfId="0">
      <alignment horizontal="right" vertical="bottom"/>
    </xf>
    <xf numFmtId="172" fontId="17" fillId="4" borderId="21" applyAlignment="1" pivotButton="0" quotePrefix="0" xfId="0">
      <alignment horizontal="right" vertical="bottom"/>
    </xf>
    <xf numFmtId="172" fontId="16" fillId="4" borderId="20" applyAlignment="1" pivotButton="0" quotePrefix="0" xfId="0">
      <alignment horizontal="right" vertical="bottom"/>
    </xf>
    <xf numFmtId="172" fontId="16" fillId="4" borderId="14" applyAlignment="1" pivotButton="0" quotePrefix="0" xfId="0">
      <alignment horizontal="right" vertical="bottom"/>
    </xf>
    <xf numFmtId="172" fontId="16" fillId="4" borderId="22" applyAlignment="1" pivotButton="0" quotePrefix="0" xfId="0">
      <alignment horizontal="right" vertical="bottom"/>
    </xf>
    <xf numFmtId="166" fontId="0" fillId="4" borderId="20" applyAlignment="1" pivotButton="0" quotePrefix="0" xfId="0">
      <alignment vertical="bottom"/>
    </xf>
    <xf numFmtId="166" fontId="11" fillId="4" borderId="14" applyAlignment="1" pivotButton="0" quotePrefix="0" xfId="0">
      <alignment vertical="bottom"/>
    </xf>
    <xf numFmtId="170" fontId="8" fillId="4" borderId="14" applyAlignment="1" pivotButton="0" quotePrefix="0" xfId="0">
      <alignment vertical="bottom"/>
    </xf>
    <xf numFmtId="166" fontId="11" fillId="8" borderId="21" applyAlignment="1" pivotButton="0" quotePrefix="0" xfId="0">
      <alignment vertical="bottom"/>
    </xf>
    <xf numFmtId="172" fontId="12" fillId="4" borderId="21" applyAlignment="1" pivotButton="0" quotePrefix="0" xfId="0">
      <alignment horizontal="right" vertical="bottom"/>
    </xf>
    <xf numFmtId="172" fontId="12" fillId="4" borderId="20" applyAlignment="1" pivotButton="0" quotePrefix="0" xfId="0">
      <alignment horizontal="right" vertical="bottom"/>
    </xf>
    <xf numFmtId="172" fontId="12" fillId="4" borderId="14" applyAlignment="1" pivotButton="0" quotePrefix="0" xfId="0">
      <alignment horizontal="right" vertical="bottom"/>
    </xf>
    <xf numFmtId="172" fontId="12" fillId="4" borderId="22" applyAlignment="1" pivotButton="0" quotePrefix="0" xfId="0">
      <alignment horizontal="right" vertical="bottom"/>
    </xf>
    <xf numFmtId="171" fontId="9" fillId="4" borderId="23" applyAlignment="1" pivotButton="0" quotePrefix="0" xfId="0">
      <alignment horizontal="center" vertical="center"/>
    </xf>
    <xf numFmtId="170" fontId="10" fillId="7" borderId="14" applyAlignment="1" pivotButton="0" quotePrefix="0" xfId="0">
      <alignment vertical="bottom"/>
    </xf>
    <xf numFmtId="170" fontId="10" fillId="7" borderId="20" applyAlignment="1" pivotButton="0" quotePrefix="0" xfId="0">
      <alignment vertical="bottom"/>
    </xf>
    <xf numFmtId="172" fontId="19" fillId="4" borderId="16" applyAlignment="1" pivotButton="0" quotePrefix="0" xfId="0">
      <alignment horizontal="right" vertical="bottom"/>
    </xf>
    <xf numFmtId="172" fontId="12" fillId="4" borderId="16" applyAlignment="1" pivotButton="0" quotePrefix="0" xfId="0">
      <alignment horizontal="right" vertical="bottom"/>
    </xf>
    <xf numFmtId="172" fontId="10" fillId="4" borderId="16" applyAlignment="1" pivotButton="0" quotePrefix="0" xfId="0">
      <alignment horizontal="right" vertical="bottom"/>
    </xf>
    <xf numFmtId="172" fontId="12" fillId="4" borderId="17" applyAlignment="1" pivotButton="0" quotePrefix="0" xfId="0">
      <alignment horizontal="right" vertical="bottom"/>
    </xf>
    <xf numFmtId="172" fontId="12" fillId="4" borderId="18" applyAlignment="1" pivotButton="0" quotePrefix="0" xfId="0">
      <alignment horizontal="right" vertical="bottom"/>
    </xf>
    <xf numFmtId="172" fontId="10" fillId="4" borderId="19" applyAlignment="1" pivotButton="0" quotePrefix="0" xfId="0">
      <alignment horizontal="right" vertical="bottom"/>
    </xf>
    <xf numFmtId="166" fontId="0" fillId="4" borderId="18" applyAlignment="1" pivotButton="0" quotePrefix="0" xfId="0">
      <alignment vertical="bottom"/>
    </xf>
    <xf numFmtId="172" fontId="19" fillId="4" borderId="19" applyAlignment="1" pivotButton="0" quotePrefix="0" xfId="0">
      <alignment horizontal="right" vertical="bottom"/>
    </xf>
    <xf numFmtId="171" fontId="9" fillId="4" borderId="16" applyAlignment="1" pivotButton="0" quotePrefix="0" xfId="0">
      <alignment vertical="center"/>
    </xf>
    <xf numFmtId="171" fontId="9" fillId="4" borderId="21" applyAlignment="1" pivotButton="0" quotePrefix="0" xfId="0">
      <alignment vertical="center"/>
    </xf>
    <xf numFmtId="171" fontId="9" fillId="4" borderId="23" applyAlignment="1" pivotButton="0" quotePrefix="0" xfId="0">
      <alignment vertical="center"/>
    </xf>
    <xf numFmtId="172" fontId="12" fillId="4" borderId="19" applyAlignment="1" pivotButton="0" quotePrefix="0" xfId="0">
      <alignment horizontal="right" vertical="bottom"/>
    </xf>
    <xf numFmtId="171" fontId="0" fillId="4" borderId="16" applyAlignment="1" pivotButton="0" quotePrefix="0" xfId="0">
      <alignment vertical="center"/>
    </xf>
    <xf numFmtId="171" fontId="0" fillId="4" borderId="16" applyAlignment="1" pivotButton="0" quotePrefix="0" xfId="0">
      <alignment vertical="center" wrapText="1"/>
    </xf>
    <xf numFmtId="166" fontId="11" fillId="4" borderId="21" applyAlignment="1" pivotButton="0" quotePrefix="0" xfId="0">
      <alignment vertical="bottom"/>
    </xf>
    <xf numFmtId="172" fontId="8" fillId="4" borderId="21" applyAlignment="1" pivotButton="0" quotePrefix="0" xfId="0">
      <alignment vertical="bottom"/>
    </xf>
    <xf numFmtId="170" fontId="0" fillId="4" borderId="22" applyAlignment="1" pivotButton="0" quotePrefix="0" xfId="0">
      <alignment vertical="bottom"/>
    </xf>
    <xf numFmtId="171" fontId="9" fillId="4" borderId="21" applyAlignment="1" pivotButton="0" quotePrefix="0" xfId="0">
      <alignment vertical="center" wrapText="1"/>
    </xf>
    <xf numFmtId="171" fontId="0" fillId="4" borderId="23" applyAlignment="1" pivotButton="0" quotePrefix="0" xfId="0">
      <alignment vertical="bottom"/>
    </xf>
    <xf numFmtId="171" fontId="9" fillId="4" borderId="23" applyAlignment="1" pivotButton="0" quotePrefix="0" xfId="0">
      <alignment vertical="center" wrapText="1"/>
    </xf>
    <xf numFmtId="172" fontId="8" fillId="4" borderId="19" applyAlignment="1" pivotButton="0" quotePrefix="0" xfId="0">
      <alignment horizontal="right" vertical="bottom"/>
    </xf>
    <xf numFmtId="172" fontId="0" fillId="7" borderId="20" applyAlignment="1" pivotButton="0" quotePrefix="0" xfId="0">
      <alignment vertical="bottom"/>
    </xf>
    <xf numFmtId="170" fontId="10" fillId="4" borderId="21" applyAlignment="1" pivotButton="0" quotePrefix="0" xfId="0">
      <alignment horizontal="right" vertical="bottom"/>
    </xf>
    <xf numFmtId="170" fontId="10" fillId="4" borderId="20" applyAlignment="1" pivotButton="0" quotePrefix="0" xfId="0">
      <alignment horizontal="right" vertical="bottom"/>
    </xf>
    <xf numFmtId="170" fontId="10" fillId="4" borderId="14" applyAlignment="1" pivotButton="0" quotePrefix="0" xfId="0">
      <alignment horizontal="right" vertical="bottom"/>
    </xf>
    <xf numFmtId="170" fontId="10" fillId="7" borderId="20" applyAlignment="1" pivotButton="0" quotePrefix="0" xfId="0">
      <alignment horizontal="right" vertical="bottom"/>
    </xf>
    <xf numFmtId="170" fontId="10" fillId="7" borderId="14" applyAlignment="1" pivotButton="0" quotePrefix="0" xfId="0">
      <alignment horizontal="right" vertical="bottom"/>
    </xf>
    <xf numFmtId="164" fontId="12" fillId="4" borderId="22" applyAlignment="1" pivotButton="0" quotePrefix="0" xfId="0">
      <alignment vertical="bottom"/>
    </xf>
    <xf numFmtId="170" fontId="10" fillId="7" borderId="21" applyAlignment="1" pivotButton="0" quotePrefix="0" xfId="0">
      <alignment horizontal="right" vertical="bottom"/>
    </xf>
    <xf numFmtId="164" fontId="12" fillId="4" borderId="21" applyAlignment="1" pivotButton="0" quotePrefix="0" xfId="0">
      <alignment vertical="bottom"/>
    </xf>
    <xf numFmtId="170" fontId="10" fillId="7" borderId="22" applyAlignment="1" pivotButton="0" quotePrefix="0" xfId="0">
      <alignment vertical="bottom"/>
    </xf>
    <xf numFmtId="170" fontId="10" fillId="7" borderId="21" applyAlignment="1" pivotButton="0" quotePrefix="0" xfId="0">
      <alignment vertical="bottom"/>
    </xf>
    <xf numFmtId="170" fontId="0" fillId="7" borderId="20" applyAlignment="1" pivotButton="0" quotePrefix="0" xfId="0">
      <alignment vertical="bottom"/>
    </xf>
    <xf numFmtId="172" fontId="9" fillId="4" borderId="16" applyAlignment="1" pivotButton="0" quotePrefix="0" xfId="0">
      <alignment horizontal="right" vertical="bottom"/>
    </xf>
    <xf numFmtId="172" fontId="9" fillId="4" borderId="17" applyAlignment="1" pivotButton="0" quotePrefix="0" xfId="0">
      <alignment horizontal="right" vertical="bottom"/>
    </xf>
    <xf numFmtId="172" fontId="9" fillId="4" borderId="18" applyAlignment="1" pivotButton="0" quotePrefix="0" xfId="0">
      <alignment horizontal="right" vertical="bottom"/>
    </xf>
    <xf numFmtId="170" fontId="12" fillId="9" borderId="14" applyAlignment="1" pivotButton="0" quotePrefix="0" xfId="0">
      <alignment vertical="bottom"/>
    </xf>
    <xf numFmtId="170" fontId="12" fillId="7" borderId="21" applyAlignment="1" pivotButton="0" quotePrefix="0" xfId="0">
      <alignment vertical="bottom"/>
    </xf>
    <xf numFmtId="168" fontId="8" fillId="4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4" borderId="8" applyAlignment="1" pivotButton="0" quotePrefix="0" xfId="0">
      <alignment vertical="bottom"/>
    </xf>
    <xf numFmtId="164" fontId="8" fillId="4" borderId="9" applyAlignment="1" pivotButton="0" quotePrefix="0" xfId="0">
      <alignment vertical="bottom"/>
    </xf>
    <xf numFmtId="164" fontId="8" fillId="4" borderId="10" applyAlignment="1" pivotButton="0" quotePrefix="0" xfId="0">
      <alignment vertical="bottom"/>
    </xf>
    <xf numFmtId="172" fontId="16" fillId="4" borderId="7" applyAlignment="1" pivotButton="0" quotePrefix="0" xfId="0">
      <alignment horizontal="right" vertical="bottom"/>
    </xf>
    <xf numFmtId="172" fontId="16" fillId="4" borderId="8" applyAlignment="1" pivotButton="0" quotePrefix="0" xfId="0">
      <alignment horizontal="right" vertical="bottom"/>
    </xf>
    <xf numFmtId="172" fontId="16" fillId="4" borderId="9" applyAlignment="1" pivotButton="0" quotePrefix="0" xfId="0">
      <alignment horizontal="right" vertical="bottom"/>
    </xf>
    <xf numFmtId="172" fontId="16" fillId="4" borderId="10" applyAlignment="1" pivotButton="0" quotePrefix="0" xfId="0">
      <alignment horizontal="right" vertical="bottom"/>
    </xf>
    <xf numFmtId="166" fontId="0" fillId="4" borderId="8" applyAlignment="1" pivotButton="0" quotePrefix="0" xfId="0">
      <alignment vertical="bottom"/>
    </xf>
    <xf numFmtId="166" fontId="0" fillId="4" borderId="9" applyAlignment="1" pivotButton="0" quotePrefix="0" xfId="0">
      <alignment vertical="bottom"/>
    </xf>
    <xf numFmtId="166" fontId="11" fillId="4" borderId="18" applyAlignment="1" pivotButton="0" quotePrefix="0" xfId="0">
      <alignment vertical="bottom"/>
    </xf>
    <xf numFmtId="166" fontId="11" fillId="8" borderId="21" applyAlignment="1" pivotButton="0" quotePrefix="0" xfId="0">
      <alignment horizontal="right" vertical="bottom"/>
    </xf>
    <xf numFmtId="166" fontId="11" fillId="4" borderId="21" applyAlignment="1" pivotButton="0" quotePrefix="0" xfId="0">
      <alignment horizontal="right" vertical="bottom"/>
    </xf>
    <xf numFmtId="164" fontId="10" fillId="4" borderId="21" applyAlignment="1" pivotButton="0" quotePrefix="0" xfId="0">
      <alignment horizontal="right" vertical="bottom"/>
    </xf>
    <xf numFmtId="166" fontId="11" fillId="4" borderId="20" applyAlignment="1" pivotButton="0" quotePrefix="0" xfId="0">
      <alignment horizontal="right" vertical="bottom"/>
    </xf>
    <xf numFmtId="166" fontId="11" fillId="4" borderId="14" applyAlignment="1" pivotButton="0" quotePrefix="0" xfId="0">
      <alignment horizontal="right" vertical="bottom"/>
    </xf>
    <xf numFmtId="164" fontId="10" fillId="4" borderId="22" applyAlignment="1" pivotButton="0" quotePrefix="0" xfId="0">
      <alignment horizontal="right" vertical="bottom"/>
    </xf>
    <xf numFmtId="166" fontId="11" fillId="4" borderId="20" applyAlignment="1" pivotButton="0" quotePrefix="0" xfId="0">
      <alignment vertical="bottom"/>
    </xf>
    <xf numFmtId="166" fontId="11" fillId="4" borderId="23" applyAlignment="1" pivotButton="0" quotePrefix="0" xfId="0">
      <alignment vertical="bottom"/>
    </xf>
    <xf numFmtId="166" fontId="11" fillId="4" borderId="23" applyAlignment="1" pivotButton="0" quotePrefix="0" xfId="0">
      <alignment horizontal="right" vertical="bottom"/>
    </xf>
    <xf numFmtId="164" fontId="10" fillId="4" borderId="23" applyAlignment="1" pivotButton="0" quotePrefix="0" xfId="0">
      <alignment horizontal="right" vertical="bottom"/>
    </xf>
    <xf numFmtId="166" fontId="11" fillId="4" borderId="24" applyAlignment="1" pivotButton="0" quotePrefix="0" xfId="0">
      <alignment horizontal="right" vertical="bottom"/>
    </xf>
    <xf numFmtId="166" fontId="11" fillId="4" borderId="25" applyAlignment="1" pivotButton="0" quotePrefix="0" xfId="0">
      <alignment horizontal="right" vertical="bottom"/>
    </xf>
    <xf numFmtId="164" fontId="10" fillId="4" borderId="26" applyAlignment="1" pivotButton="0" quotePrefix="0" xfId="0">
      <alignment horizontal="right" vertical="bottom"/>
    </xf>
    <xf numFmtId="166" fontId="11" fillId="4" borderId="24" applyAlignment="1" pivotButton="0" quotePrefix="0" xfId="0">
      <alignment vertical="bottom"/>
    </xf>
    <xf numFmtId="166" fontId="11" fillId="4" borderId="25" applyAlignment="1" pivotButton="0" quotePrefix="0" xfId="0">
      <alignment vertical="bottom"/>
    </xf>
    <xf numFmtId="166" fontId="11" fillId="4" borderId="7" applyAlignment="1" pivotButton="0" quotePrefix="0" xfId="0">
      <alignment vertical="bottom"/>
    </xf>
    <xf numFmtId="166" fontId="11" fillId="4" borderId="7" applyAlignment="1" pivotButton="0" quotePrefix="0" xfId="0">
      <alignment horizontal="right" vertical="bottom"/>
    </xf>
    <xf numFmtId="164" fontId="8" fillId="4" borderId="7" applyAlignment="1" pivotButton="0" quotePrefix="0" xfId="0">
      <alignment horizontal="right" vertical="bottom"/>
    </xf>
    <xf numFmtId="166" fontId="11" fillId="4" borderId="8" applyAlignment="1" pivotButton="0" quotePrefix="0" xfId="0">
      <alignment horizontal="right" vertical="bottom"/>
    </xf>
    <xf numFmtId="166" fontId="11" fillId="4" borderId="9" applyAlignment="1" pivotButton="0" quotePrefix="0" xfId="0">
      <alignment horizontal="right" vertical="bottom"/>
    </xf>
    <xf numFmtId="164" fontId="8" fillId="4" borderId="10" applyAlignment="1" pivotButton="0" quotePrefix="0" xfId="0">
      <alignment horizontal="right" vertical="bottom"/>
    </xf>
    <xf numFmtId="166" fontId="11" fillId="4" borderId="8" applyAlignment="1" pivotButton="0" quotePrefix="0" xfId="0">
      <alignment vertical="bottom"/>
    </xf>
    <xf numFmtId="166" fontId="11" fillId="4" borderId="16" applyAlignment="1" pivotButton="0" quotePrefix="0" xfId="0">
      <alignment vertical="bottom"/>
    </xf>
    <xf numFmtId="166" fontId="11" fillId="4" borderId="16" applyAlignment="1" pivotButton="0" quotePrefix="0" xfId="0">
      <alignment horizontal="right" vertical="bottom"/>
    </xf>
    <xf numFmtId="166" fontId="11" fillId="4" borderId="17" applyAlignment="1" pivotButton="0" quotePrefix="0" xfId="0">
      <alignment horizontal="right" vertical="bottom"/>
    </xf>
    <xf numFmtId="166" fontId="11" fillId="4" borderId="18" applyAlignment="1" pivotButton="0" quotePrefix="0" xfId="0">
      <alignment horizontal="right" vertical="bottom"/>
    </xf>
    <xf numFmtId="170" fontId="0" fillId="4" borderId="19" applyAlignment="1" pivotButton="0" quotePrefix="0" xfId="0">
      <alignment vertical="bottom"/>
    </xf>
    <xf numFmtId="166" fontId="11" fillId="4" borderId="17" applyAlignment="1" pivotButton="0" quotePrefix="0" xfId="0">
      <alignment vertical="bottom"/>
    </xf>
    <xf numFmtId="166" fontId="11" fillId="4" borderId="22" applyAlignment="1" pivotButton="0" quotePrefix="0" xfId="0">
      <alignment horizontal="right" vertical="bottom"/>
    </xf>
    <xf numFmtId="168" fontId="9" fillId="4" borderId="21" applyAlignment="1" pivotButton="0" quotePrefix="0" xfId="0">
      <alignment vertical="bottom"/>
    </xf>
    <xf numFmtId="168" fontId="9" fillId="4" borderId="20" applyAlignment="1" pivotButton="0" quotePrefix="0" xfId="0">
      <alignment vertical="bottom"/>
    </xf>
    <xf numFmtId="168" fontId="9" fillId="4" borderId="14" applyAlignment="1" pivotButton="0" quotePrefix="0" xfId="0">
      <alignment vertical="bottom"/>
    </xf>
    <xf numFmtId="168" fontId="0" fillId="4" borderId="14" applyAlignment="1" pivotButton="0" quotePrefix="0" xfId="0">
      <alignment vertical="bottom"/>
    </xf>
    <xf numFmtId="170" fontId="8" fillId="7" borderId="20" applyAlignment="1" pivotButton="0" quotePrefix="0" xfId="0">
      <alignment horizontal="center" vertical="bottom"/>
    </xf>
    <xf numFmtId="170" fontId="8" fillId="7" borderId="14" applyAlignment="1" pivotButton="0" quotePrefix="0" xfId="0">
      <alignment horizontal="center" vertical="bottom"/>
    </xf>
    <xf numFmtId="166" fontId="8" fillId="4" borderId="21" applyAlignment="1" pivotButton="0" quotePrefix="0" xfId="0">
      <alignment vertical="bottom"/>
    </xf>
    <xf numFmtId="164" fontId="12" fillId="4" borderId="14" applyAlignment="1" pivotButton="0" quotePrefix="0" xfId="0">
      <alignment vertical="bottom"/>
    </xf>
    <xf numFmtId="170" fontId="12" fillId="9" borderId="22" applyAlignment="1" pivotButton="0" quotePrefix="0" xfId="0">
      <alignment vertical="bottom"/>
    </xf>
    <xf numFmtId="170" fontId="12" fillId="9" borderId="21" applyAlignment="1" pivotButton="0" quotePrefix="0" xfId="0">
      <alignment vertical="bottom"/>
    </xf>
    <xf numFmtId="170" fontId="10" fillId="4" borderId="21" applyAlignment="1" pivotButton="0" quotePrefix="0" xfId="0">
      <alignment horizontal="left" vertical="bottom"/>
    </xf>
    <xf numFmtId="170" fontId="12" fillId="4" borderId="22" applyAlignment="1" pivotButton="0" quotePrefix="0" xfId="0">
      <alignment vertical="bottom"/>
    </xf>
    <xf numFmtId="170" fontId="12" fillId="4" borderId="21" applyAlignment="1" pivotButton="0" quotePrefix="0" xfId="0">
      <alignment vertical="bottom"/>
    </xf>
    <xf numFmtId="166" fontId="13" fillId="4" borderId="21" applyAlignment="1" pivotButton="0" quotePrefix="0" xfId="0">
      <alignment vertical="bottom"/>
    </xf>
    <xf numFmtId="168" fontId="12" fillId="4" borderId="21" applyAlignment="1" pivotButton="0" quotePrefix="0" xfId="0">
      <alignment vertical="bottom"/>
    </xf>
    <xf numFmtId="164" fontId="12" fillId="9" borderId="21" applyAlignment="1" pivotButton="0" quotePrefix="0" xfId="0">
      <alignment vertical="bottom"/>
    </xf>
    <xf numFmtId="168" fontId="12" fillId="4" borderId="20" applyAlignment="1" pivotButton="0" quotePrefix="0" xfId="0">
      <alignment vertical="bottom"/>
    </xf>
    <xf numFmtId="168" fontId="12" fillId="4" borderId="14" applyAlignment="1" pivotButton="0" quotePrefix="0" xfId="0">
      <alignment vertical="bottom"/>
    </xf>
    <xf numFmtId="164" fontId="12" fillId="9" borderId="22" applyAlignment="1" pivotButton="0" quotePrefix="0" xfId="0">
      <alignment vertical="bottom"/>
    </xf>
    <xf numFmtId="170" fontId="16" fillId="4" borderId="21" applyAlignment="1" pivotButton="0" quotePrefix="0" xfId="0">
      <alignment vertical="bottom"/>
    </xf>
    <xf numFmtId="170" fontId="16" fillId="4" borderId="20" applyAlignment="1" pivotButton="0" quotePrefix="0" xfId="0">
      <alignment vertical="bottom"/>
    </xf>
    <xf numFmtId="170" fontId="16" fillId="4" borderId="14" applyAlignment="1" pivotButton="0" quotePrefix="0" xfId="0">
      <alignment vertical="bottom"/>
    </xf>
    <xf numFmtId="170" fontId="16" fillId="4" borderId="22" applyAlignment="1" pivotButton="0" quotePrefix="0" xfId="0">
      <alignment vertical="bottom"/>
    </xf>
    <xf numFmtId="170" fontId="16" fillId="4" borderId="21" applyAlignment="1" pivotButton="0" quotePrefix="0" xfId="0">
      <alignment horizontal="left" vertical="bottom"/>
    </xf>
    <xf numFmtId="166" fontId="16" fillId="4" borderId="21" applyAlignment="1" pivotButton="0" quotePrefix="0" xfId="0">
      <alignment vertical="bottom"/>
    </xf>
    <xf numFmtId="170" fontId="9" fillId="4" borderId="20" applyAlignment="1" pivotButton="0" quotePrefix="0" xfId="0">
      <alignment vertical="bottom"/>
    </xf>
    <xf numFmtId="164" fontId="0" fillId="4" borderId="20" applyAlignment="1" pivotButton="0" quotePrefix="0" xfId="0">
      <alignment vertical="bottom"/>
    </xf>
    <xf numFmtId="164" fontId="0" fillId="4" borderId="14" applyAlignment="1" pivotButton="0" quotePrefix="0" xfId="0">
      <alignment vertical="bottom"/>
    </xf>
    <xf numFmtId="170" fontId="0" fillId="7" borderId="22" applyAlignment="1" pivotButton="0" quotePrefix="0" xfId="0">
      <alignment vertical="bottom"/>
    </xf>
    <xf numFmtId="170" fontId="0" fillId="7" borderId="21" applyAlignment="1" pivotButton="0" quotePrefix="0" xfId="0">
      <alignment vertical="bottom"/>
    </xf>
    <xf numFmtId="168" fontId="12" fillId="4" borderId="22" applyAlignment="1" pivotButton="0" quotePrefix="0" xfId="0">
      <alignment vertical="bottom"/>
    </xf>
    <xf numFmtId="168" fontId="10" fillId="4" borderId="21" applyAlignment="1" pivotButton="0" quotePrefix="0" xfId="0">
      <alignment vertical="bottom"/>
    </xf>
    <xf numFmtId="168" fontId="0" fillId="4" borderId="20" applyAlignment="1" pivotButton="0" quotePrefix="0" xfId="0">
      <alignment vertical="bottom"/>
    </xf>
    <xf numFmtId="168" fontId="10" fillId="4" borderId="14" applyAlignment="1" pivotButton="0" quotePrefix="0" xfId="0">
      <alignment vertical="bottom"/>
    </xf>
    <xf numFmtId="164" fontId="8" fillId="4" borderId="22" applyAlignment="1" pivotButton="0" quotePrefix="0" xfId="0">
      <alignment vertical="bottom"/>
    </xf>
    <xf numFmtId="164" fontId="8" fillId="4" borderId="21" applyAlignment="1" pivotButton="0" quotePrefix="0" xfId="0">
      <alignment vertical="bottom"/>
    </xf>
    <xf numFmtId="168" fontId="8" fillId="4" borderId="21" applyAlignment="1" pivotButton="0" quotePrefix="0" xfId="0">
      <alignment vertical="bottom"/>
    </xf>
    <xf numFmtId="166" fontId="22" fillId="4" borderId="21" applyAlignment="1" pivotButton="0" quotePrefix="0" xfId="0">
      <alignment vertical="bottom"/>
    </xf>
    <xf numFmtId="168" fontId="14" fillId="4" borderId="21" applyAlignment="1" pivotButton="0" quotePrefix="0" xfId="0">
      <alignment vertical="bottom"/>
    </xf>
    <xf numFmtId="166" fontId="21" fillId="4" borderId="21" applyAlignment="1" pivotButton="0" quotePrefix="0" xfId="0">
      <alignment vertical="bottom"/>
    </xf>
    <xf numFmtId="172" fontId="8" fillId="4" borderId="22" applyAlignment="1" pivotButton="0" quotePrefix="0" xfId="0">
      <alignment horizontal="right" vertical="bottom"/>
    </xf>
    <xf numFmtId="172" fontId="23" fillId="4" borderId="21" applyAlignment="1" pivotButton="0" quotePrefix="0" xfId="0">
      <alignment horizontal="right" vertical="bottom"/>
    </xf>
    <xf numFmtId="170" fontId="16" fillId="4" borderId="21" applyAlignment="1" pivotButton="0" quotePrefix="0" xfId="0">
      <alignment horizontal="right" vertical="bottom"/>
    </xf>
    <xf numFmtId="170" fontId="16" fillId="4" borderId="22" applyAlignment="1" pivotButton="0" quotePrefix="0" xfId="0">
      <alignment horizontal="right" vertical="bottom"/>
    </xf>
    <xf numFmtId="168" fontId="21" fillId="4" borderId="21" applyAlignment="1" pivotButton="0" quotePrefix="0" xfId="0">
      <alignment vertical="bottom"/>
    </xf>
    <xf numFmtId="170" fontId="16" fillId="7" borderId="22" applyAlignment="1" pivotButton="0" quotePrefix="0" xfId="0">
      <alignment horizontal="right" vertical="bottom"/>
    </xf>
    <xf numFmtId="170" fontId="16" fillId="7" borderId="21" applyAlignment="1" pivotButton="0" quotePrefix="0" xfId="0">
      <alignment horizontal="right" vertical="bottom"/>
    </xf>
    <xf numFmtId="172" fontId="16" fillId="7" borderId="21" applyAlignment="1" pivotButton="0" quotePrefix="0" xfId="0">
      <alignment horizontal="right" vertical="bottom"/>
    </xf>
    <xf numFmtId="170" fontId="16" fillId="4" borderId="20" applyAlignment="1" pivotButton="0" quotePrefix="0" xfId="0">
      <alignment horizontal="right" vertical="bottom"/>
    </xf>
    <xf numFmtId="166" fontId="16" fillId="4" borderId="14" applyAlignment="1" pivotButton="0" quotePrefix="0" xfId="0">
      <alignment vertical="bottom"/>
    </xf>
    <xf numFmtId="172" fontId="23" fillId="4" borderId="14" applyAlignment="1" pivotButton="0" quotePrefix="0" xfId="0">
      <alignment horizontal="right" vertical="bottom"/>
    </xf>
    <xf numFmtId="170" fontId="16" fillId="4" borderId="14" applyAlignment="1" pivotButton="0" quotePrefix="0" xfId="0">
      <alignment horizontal="right" vertical="bottom"/>
    </xf>
    <xf numFmtId="166" fontId="21" fillId="4" borderId="14" applyAlignment="1" pivotButton="0" quotePrefix="0" xfId="0">
      <alignment vertical="bottom"/>
    </xf>
    <xf numFmtId="168" fontId="21" fillId="4" borderId="14" applyAlignment="1" pivotButton="0" quotePrefix="0" xfId="0">
      <alignment vertical="bottom"/>
    </xf>
    <xf numFmtId="166" fontId="8" fillId="4" borderId="20" applyAlignment="1" pivotButton="0" quotePrefix="0" xfId="0">
      <alignment vertical="bottom"/>
    </xf>
    <xf numFmtId="166" fontId="8" fillId="4" borderId="14" applyAlignment="1" pivotButton="0" quotePrefix="0" xfId="0">
      <alignment vertical="bottom"/>
    </xf>
    <xf numFmtId="166" fontId="21" fillId="4" borderId="20" applyAlignment="1" pivotButton="0" quotePrefix="0" xfId="0">
      <alignment vertical="bottom"/>
    </xf>
    <xf numFmtId="166" fontId="22" fillId="4" borderId="20" applyAlignment="1" pivotButton="0" quotePrefix="0" xfId="0">
      <alignment vertical="bottom"/>
    </xf>
    <xf numFmtId="166" fontId="22" fillId="4" borderId="14" applyAlignment="1" pivotButton="0" quotePrefix="0" xfId="0">
      <alignment vertical="bottom"/>
    </xf>
    <xf numFmtId="166" fontId="22" fillId="7" borderId="21" applyAlignment="1" pivotButton="0" quotePrefix="0" xfId="0">
      <alignment vertical="bottom"/>
    </xf>
    <xf numFmtId="170" fontId="12" fillId="4" borderId="14" applyAlignment="1" pivotButton="0" quotePrefix="0" xfId="0">
      <alignment vertical="bottom"/>
    </xf>
    <xf numFmtId="172" fontId="9" fillId="4" borderId="21" applyAlignment="1" pivotButton="0" quotePrefix="0" xfId="0">
      <alignment horizontal="right" vertical="bottom"/>
    </xf>
    <xf numFmtId="172" fontId="9" fillId="4" borderId="20" applyAlignment="1" pivotButton="0" quotePrefix="0" xfId="0">
      <alignment horizontal="right" vertical="bottom"/>
    </xf>
    <xf numFmtId="172" fontId="9" fillId="4" borderId="14" applyAlignment="1" pivotButton="0" quotePrefix="0" xfId="0">
      <alignment horizontal="right" vertical="bottom"/>
    </xf>
    <xf numFmtId="172" fontId="9" fillId="4" borderId="22" applyAlignment="1" pivotButton="0" quotePrefix="0" xfId="0">
      <alignment horizontal="right" vertical="bottom"/>
    </xf>
    <xf numFmtId="170" fontId="23" fillId="7" borderId="20" applyAlignment="1" pivotButton="0" quotePrefix="0" xfId="0">
      <alignment vertical="bottom"/>
    </xf>
    <xf numFmtId="168" fontId="7" fillId="4" borderId="21" applyAlignment="1" pivotButton="0" quotePrefix="0" xfId="0">
      <alignment vertical="bottom"/>
    </xf>
    <xf numFmtId="164" fontId="7" fillId="4" borderId="14" applyAlignment="1" pivotButton="0" quotePrefix="0" xfId="0">
      <alignment vertical="bottom"/>
    </xf>
    <xf numFmtId="164" fontId="7" fillId="6" borderId="22" applyAlignment="1" pivotButton="0" quotePrefix="0" xfId="0">
      <alignment vertical="bottom"/>
    </xf>
    <xf numFmtId="164" fontId="7" fillId="6" borderId="21" applyAlignment="1" pivotButton="0" quotePrefix="0" xfId="0">
      <alignment vertical="bottom"/>
    </xf>
    <xf numFmtId="168" fontId="6" fillId="4" borderId="21" applyAlignment="1" pivotButton="0" quotePrefix="0" xfId="0">
      <alignment vertical="bottom"/>
    </xf>
    <xf numFmtId="170" fontId="7" fillId="4" borderId="14" applyAlignment="1" pivotButton="0" quotePrefix="0" xfId="0">
      <alignment vertical="bottom"/>
    </xf>
    <xf numFmtId="170" fontId="7" fillId="4" borderId="22" applyAlignment="1" pivotButton="0" quotePrefix="0" xfId="0">
      <alignment vertical="bottom"/>
    </xf>
    <xf numFmtId="170" fontId="7" fillId="4" borderId="21" applyAlignment="1" pivotButton="0" quotePrefix="0" xfId="0">
      <alignment vertical="bottom"/>
    </xf>
    <xf numFmtId="170" fontId="19" fillId="9" borderId="14" applyAlignment="1" pivotButton="0" quotePrefix="0" xfId="0">
      <alignment vertical="bottom"/>
    </xf>
    <xf numFmtId="172" fontId="10" fillId="4" borderId="18" applyAlignment="1" pivotButton="0" quotePrefix="0" xfId="0">
      <alignment horizontal="right" vertical="bottom"/>
    </xf>
    <xf numFmtId="172" fontId="0" fillId="4" borderId="16" applyAlignment="1" pivotButton="0" quotePrefix="0" xfId="0">
      <alignment vertical="bottom"/>
    </xf>
    <xf numFmtId="170" fontId="10" fillId="4" borderId="16" applyAlignment="1" pivotButton="0" quotePrefix="0" xfId="0">
      <alignment vertical="bottom"/>
    </xf>
    <xf numFmtId="170" fontId="10" fillId="4" borderId="17" applyAlignment="1" pivotButton="0" quotePrefix="0" xfId="0">
      <alignment vertical="bottom"/>
    </xf>
    <xf numFmtId="170" fontId="10" fillId="4" borderId="18" applyAlignment="1" pivotButton="0" quotePrefix="0" xfId="0">
      <alignment vertical="bottom"/>
    </xf>
    <xf numFmtId="170" fontId="10" fillId="4" borderId="19" applyAlignment="1" pivotButton="0" quotePrefix="0" xfId="0">
      <alignment vertical="bottom"/>
    </xf>
    <xf numFmtId="172" fontId="12" fillId="4" borderId="23" applyAlignment="1" pivotButton="0" quotePrefix="0" xfId="0">
      <alignment horizontal="right" vertical="bottom"/>
    </xf>
    <xf numFmtId="164" fontId="10" fillId="4" borderId="24" applyAlignment="1" pivotButton="0" quotePrefix="0" xfId="0">
      <alignment vertical="bottom"/>
    </xf>
    <xf numFmtId="172" fontId="12" fillId="4" borderId="25" applyAlignment="1" pivotButton="0" quotePrefix="0" xfId="0">
      <alignment horizontal="right" vertical="bottom"/>
    </xf>
    <xf numFmtId="164" fontId="12" fillId="4" borderId="26" applyAlignment="1" pivotButton="0" quotePrefix="0" xfId="0">
      <alignment vertical="bottom"/>
    </xf>
    <xf numFmtId="164" fontId="12" fillId="4" borderId="24" applyAlignment="1" pivotButton="0" quotePrefix="0" xfId="0">
      <alignment vertical="bottom"/>
    </xf>
    <xf numFmtId="164" fontId="12" fillId="9" borderId="25" applyAlignment="1" pivotButton="0" quotePrefix="0" xfId="0">
      <alignment vertical="bottom"/>
    </xf>
    <xf numFmtId="164" fontId="12" fillId="9" borderId="23" applyAlignment="1" pivotButton="0" quotePrefix="0" xfId="0">
      <alignment vertical="bottom"/>
    </xf>
    <xf numFmtId="170" fontId="14" fillId="4" borderId="21" applyAlignment="1" pivotButton="0" quotePrefix="0" xfId="0">
      <alignment vertical="bottom"/>
    </xf>
    <xf numFmtId="170" fontId="14" fillId="4" borderId="22" applyAlignment="1" pivotButton="0" quotePrefix="0" xfId="0">
      <alignment vertical="bottom"/>
    </xf>
    <xf numFmtId="166" fontId="10" fillId="4" borderId="21" applyAlignment="1" pivotButton="0" quotePrefix="0" xfId="0">
      <alignment vertical="bottom"/>
    </xf>
    <xf numFmtId="166" fontId="14" fillId="4" borderId="21" applyAlignment="1" pivotButton="0" quotePrefix="0" xfId="0">
      <alignment vertical="bottom"/>
    </xf>
    <xf numFmtId="173" fontId="0" fillId="4" borderId="21" applyAlignment="1" pivotButton="0" quotePrefix="0" xfId="0">
      <alignment vertical="bottom"/>
    </xf>
    <xf numFmtId="173" fontId="0" fillId="7" borderId="21" applyAlignment="1" pivotButton="0" quotePrefix="0" xfId="0">
      <alignment vertical="bottom"/>
    </xf>
    <xf numFmtId="173" fontId="0" fillId="7" borderId="20" applyAlignment="1" pivotButton="0" quotePrefix="0" xfId="0">
      <alignment vertical="bottom"/>
    </xf>
    <xf numFmtId="173" fontId="0" fillId="7" borderId="14" applyAlignment="1" pivotButton="0" quotePrefix="0" xfId="0">
      <alignment vertical="bottom"/>
    </xf>
    <xf numFmtId="173" fontId="0" fillId="4" borderId="22" applyAlignment="1" pivotButton="0" quotePrefix="0" xfId="0">
      <alignment vertical="bottom"/>
    </xf>
    <xf numFmtId="170" fontId="23" fillId="4" borderId="14" applyAlignment="1" pivotButton="0" quotePrefix="0" xfId="0">
      <alignment vertical="bottom"/>
    </xf>
    <xf numFmtId="166" fontId="11" fillId="8" borderId="23" applyAlignment="1" pivotButton="0" quotePrefix="0" xfId="0">
      <alignment vertical="bottom"/>
    </xf>
    <xf numFmtId="164" fontId="11" fillId="8" borderId="23" applyAlignment="1" pivotButton="0" quotePrefix="0" xfId="0">
      <alignment vertical="bottom"/>
    </xf>
    <xf numFmtId="168" fontId="6" fillId="4" borderId="16" applyAlignment="1" pivotButton="0" quotePrefix="0" xfId="0">
      <alignment vertical="bottom"/>
    </xf>
    <xf numFmtId="164" fontId="8" fillId="4" borderId="18" applyAlignment="1" pivotButton="0" quotePrefix="0" xfId="0">
      <alignment vertical="bottom"/>
    </xf>
    <xf numFmtId="164" fontId="8" fillId="6" borderId="18" applyAlignment="1" pivotButton="0" quotePrefix="0" xfId="0">
      <alignment vertical="bottom"/>
    </xf>
    <xf numFmtId="164" fontId="8" fillId="6" borderId="17" applyAlignment="1" pivotButton="0" quotePrefix="0" xfId="0">
      <alignment vertical="bottom"/>
    </xf>
    <xf numFmtId="164" fontId="8" fillId="6" borderId="19" applyAlignment="1" pivotButton="0" quotePrefix="0" xfId="0">
      <alignment vertical="bottom"/>
    </xf>
    <xf numFmtId="164" fontId="8" fillId="6" borderId="16" applyAlignment="1" pivotButton="0" quotePrefix="0" xfId="0">
      <alignment vertical="bottom"/>
    </xf>
    <xf numFmtId="170" fontId="10" fillId="4" borderId="16" applyAlignment="1" pivotButton="0" quotePrefix="0" xfId="0">
      <alignment horizontal="right" vertical="bottom"/>
    </xf>
    <xf numFmtId="164" fontId="0" fillId="4" borderId="16" applyAlignment="1" pivotButton="0" quotePrefix="0" xfId="0">
      <alignment vertical="bottom"/>
    </xf>
    <xf numFmtId="170" fontId="8" fillId="4" borderId="21" applyAlignment="1" pivotButton="0" quotePrefix="0" xfId="0">
      <alignment horizontal="right" vertical="bottom" wrapText="1"/>
    </xf>
    <xf numFmtId="170" fontId="0" fillId="4" borderId="23" applyAlignment="1" pivotButton="0" quotePrefix="0" xfId="0">
      <alignment vertical="bottom"/>
    </xf>
    <xf numFmtId="170" fontId="0" fillId="4" borderId="25" applyAlignment="1" pivotButton="0" quotePrefix="0" xfId="0">
      <alignment vertical="bottom"/>
    </xf>
    <xf numFmtId="170" fontId="0" fillId="4" borderId="24" applyAlignment="1" pivotButton="0" quotePrefix="0" xfId="0">
      <alignment vertical="bottom"/>
    </xf>
    <xf numFmtId="170" fontId="0" fillId="4" borderId="26" applyAlignment="1" pivotButton="0" quotePrefix="0" xfId="0">
      <alignment vertical="bottom"/>
    </xf>
    <xf numFmtId="168" fontId="8" fillId="4" borderId="14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4" borderId="8" applyAlignment="1" pivotButton="0" quotePrefix="0" xfId="0">
      <alignment vertical="bottom"/>
    </xf>
    <xf numFmtId="164" fontId="9" fillId="4" borderId="9" applyAlignment="1" pivotButton="0" quotePrefix="0" xfId="0">
      <alignment vertical="bottom"/>
    </xf>
    <xf numFmtId="164" fontId="0" fillId="4" borderId="9" applyAlignment="1" pivotButton="0" quotePrefix="0" xfId="0">
      <alignment vertical="bottom"/>
    </xf>
    <xf numFmtId="170" fontId="8" fillId="4" borderId="21" applyAlignment="1" pivotButton="0" quotePrefix="0" xfId="0">
      <alignment horizontal="right" vertical="bottom"/>
    </xf>
    <xf numFmtId="170" fontId="10" fillId="7" borderId="16" applyAlignment="1" pivotButton="0" quotePrefix="0" xfId="0">
      <alignment horizontal="right" vertical="bottom"/>
    </xf>
    <xf numFmtId="172" fontId="12" fillId="7" borderId="16" applyAlignment="1" pivotButton="0" quotePrefix="0" xfId="0">
      <alignment horizontal="right" vertical="bottom"/>
    </xf>
    <xf numFmtId="170" fontId="10" fillId="7" borderId="17" applyAlignment="1" pivotButton="0" quotePrefix="0" xfId="0">
      <alignment horizontal="right" vertical="bottom"/>
    </xf>
    <xf numFmtId="170" fontId="10" fillId="7" borderId="18" applyAlignment="1" pivotButton="0" quotePrefix="0" xfId="0">
      <alignment horizontal="right" vertical="bottom"/>
    </xf>
    <xf numFmtId="164" fontId="12" fillId="4" borderId="19" applyAlignment="1" pivotButton="0" quotePrefix="0" xfId="0">
      <alignment vertical="bottom"/>
    </xf>
    <xf numFmtId="164" fontId="12" fillId="4" borderId="16" applyAlignment="1" pivotButton="0" quotePrefix="0" xfId="0">
      <alignment vertical="bottom"/>
    </xf>
    <xf numFmtId="170" fontId="0" fillId="7" borderId="14" applyAlignment="1" pivotButton="0" quotePrefix="0" xfId="0">
      <alignment vertical="bottom"/>
    </xf>
    <xf numFmtId="164" fontId="10" fillId="4" borderId="21" applyAlignment="1" pivotButton="0" quotePrefix="0" xfId="0">
      <alignment vertical="bottom"/>
    </xf>
    <xf numFmtId="170" fontId="7" fillId="4" borderId="20" applyAlignment="1" pivotButton="0" quotePrefix="0" xfId="0">
      <alignment vertical="bottom"/>
    </xf>
    <xf numFmtId="164" fontId="12" fillId="4" borderId="20" applyAlignment="1" pivotButton="0" quotePrefix="0" xfId="0">
      <alignment vertical="bottom"/>
    </xf>
    <xf numFmtId="168" fontId="8" fillId="4" borderId="20" applyAlignment="1" pivotButton="0" quotePrefix="0" xfId="0">
      <alignment vertical="bottom"/>
    </xf>
    <xf numFmtId="168" fontId="8" fillId="4" borderId="22" applyAlignment="1" pivotButton="0" quotePrefix="0" xfId="0">
      <alignment vertical="bottom"/>
    </xf>
    <xf numFmtId="170" fontId="9" fillId="9" borderId="14" applyAlignment="1" pivotButton="0" quotePrefix="0" xfId="0">
      <alignment vertical="bottom"/>
    </xf>
    <xf numFmtId="170" fontId="9" fillId="9" borderId="21" applyAlignment="1" pivotButton="0" quotePrefix="0" xfId="0">
      <alignment vertical="bottom"/>
    </xf>
    <xf numFmtId="174" fontId="0" fillId="4" borderId="21" applyAlignment="1" pivotButton="0" quotePrefix="0" xfId="0">
      <alignment vertical="bottom"/>
    </xf>
    <xf numFmtId="174" fontId="0" fillId="4" borderId="20" applyAlignment="1" pivotButton="0" quotePrefix="0" xfId="0">
      <alignment vertical="bottom"/>
    </xf>
    <xf numFmtId="174" fontId="0" fillId="4" borderId="14" applyAlignment="1" pivotButton="0" quotePrefix="0" xfId="0">
      <alignment vertical="bottom"/>
    </xf>
    <xf numFmtId="174" fontId="0" fillId="4" borderId="22" applyAlignment="1" pivotButton="0" quotePrefix="0" xfId="0">
      <alignment vertical="bottom"/>
    </xf>
    <xf numFmtId="170" fontId="0" fillId="6" borderId="22" applyAlignment="1" pivotButton="0" quotePrefix="0" xfId="0">
      <alignment vertical="bottom"/>
    </xf>
    <xf numFmtId="170" fontId="0" fillId="6" borderId="21" applyAlignment="1" pivotButton="0" quotePrefix="0" xfId="0">
      <alignment vertical="bottom"/>
    </xf>
    <xf numFmtId="164" fontId="10" fillId="4" borderId="21" applyAlignment="1" pivotButton="0" quotePrefix="0" xfId="0">
      <alignment horizontal="left" vertical="bottom"/>
    </xf>
    <xf numFmtId="166" fontId="6" fillId="4" borderId="14" applyAlignment="1" pivotButton="0" quotePrefix="0" xfId="0">
      <alignment vertical="bottom"/>
    </xf>
    <xf numFmtId="164" fontId="9" fillId="4" borderId="21" applyAlignment="1" pivotButton="0" quotePrefix="0" xfId="0">
      <alignment vertical="bottom"/>
    </xf>
    <xf numFmtId="164" fontId="9" fillId="4" borderId="14" applyAlignment="1" pivotButton="0" quotePrefix="0" xfId="0">
      <alignment vertical="bottom"/>
    </xf>
    <xf numFmtId="170" fontId="21" fillId="4" borderId="21" applyAlignment="1" pivotButton="0" quotePrefix="0" xfId="0">
      <alignment vertical="bottom"/>
    </xf>
    <xf numFmtId="166" fontId="6" fillId="4" borderId="21" applyAlignment="1" pivotButton="0" quotePrefix="0" xfId="0">
      <alignment vertical="bottom"/>
    </xf>
    <xf numFmtId="164" fontId="10" fillId="4" borderId="7" applyAlignment="1" pivotButton="0" quotePrefix="0" xfId="0">
      <alignment vertical="bottom"/>
    </xf>
    <xf numFmtId="164" fontId="10" fillId="4" borderId="8" applyAlignment="1" pivotButton="0" quotePrefix="0" xfId="0">
      <alignment vertical="bottom"/>
    </xf>
    <xf numFmtId="164" fontId="10" fillId="4" borderId="9" applyAlignment="1" pivotButton="0" quotePrefix="0" xfId="0">
      <alignment vertical="bottom"/>
    </xf>
    <xf numFmtId="164" fontId="10" fillId="4" borderId="10" applyAlignment="1" pivotButton="0" quotePrefix="0" xfId="0">
      <alignment vertical="bottom"/>
    </xf>
    <xf numFmtId="170" fontId="21" fillId="4" borderId="14" applyAlignment="1" pivotButton="0" quotePrefix="0" xfId="0">
      <alignment vertical="bottom"/>
    </xf>
    <xf numFmtId="164" fontId="12" fillId="4" borderId="7" applyAlignment="1" pivotButton="0" quotePrefix="0" xfId="0">
      <alignment vertical="bottom"/>
    </xf>
    <xf numFmtId="164" fontId="12" fillId="4" borderId="10" applyAlignment="1" pivotButton="0" quotePrefix="0" xfId="0">
      <alignment vertical="bottom"/>
    </xf>
    <xf numFmtId="170" fontId="8" fillId="4" borderId="7" applyAlignment="1" pivotButton="0" quotePrefix="0" xfId="0">
      <alignment vertical="bottom"/>
    </xf>
    <xf numFmtId="170" fontId="0" fillId="7" borderId="19" applyAlignment="1" pivotButton="0" quotePrefix="0" xfId="0">
      <alignment vertical="bottom"/>
    </xf>
    <xf numFmtId="170" fontId="8" fillId="4" borderId="21" applyAlignment="1" pivotButton="0" quotePrefix="0" xfId="0">
      <alignment horizontal="left" vertical="bottom" wrapText="1"/>
    </xf>
    <xf numFmtId="170" fontId="19" fillId="4" borderId="21" applyAlignment="1" pivotButton="0" quotePrefix="0" xfId="0">
      <alignment vertical="bottom"/>
    </xf>
    <xf numFmtId="164" fontId="10" fillId="4" borderId="22" applyAlignment="1" pivotButton="0" quotePrefix="0" xfId="0">
      <alignment vertical="bottom"/>
    </xf>
    <xf numFmtId="164" fontId="8" fillId="4" borderId="20" applyAlignment="1" pivotButton="0" quotePrefix="0" xfId="0">
      <alignment vertical="bottom"/>
    </xf>
    <xf numFmtId="164" fontId="8" fillId="4" borderId="14" applyAlignment="1" pivotButton="0" quotePrefix="0" xfId="0">
      <alignment vertical="bottom"/>
    </xf>
    <xf numFmtId="172" fontId="12" fillId="7" borderId="21" applyAlignment="1" pivotButton="0" quotePrefix="0" xfId="0">
      <alignment horizontal="right" vertical="bottom"/>
    </xf>
    <xf numFmtId="164" fontId="10" fillId="4" borderId="14" applyAlignment="1" pivotButton="0" quotePrefix="0" xfId="0">
      <alignment vertical="bottom"/>
    </xf>
    <xf numFmtId="164" fontId="12" fillId="4" borderId="23" applyAlignment="1" pivotButton="0" quotePrefix="0" xfId="0">
      <alignment vertical="bottom"/>
    </xf>
    <xf numFmtId="172" fontId="12" fillId="4" borderId="24" applyAlignment="1" pivotButton="0" quotePrefix="0" xfId="0">
      <alignment horizontal="right" vertical="bottom"/>
    </xf>
    <xf numFmtId="164" fontId="10" fillId="4" borderId="26" applyAlignment="1" pivotButton="0" quotePrefix="0" xfId="0">
      <alignment vertical="bottom"/>
    </xf>
    <xf numFmtId="166" fontId="0" fillId="4" borderId="26" applyAlignment="1" pivotButton="0" quotePrefix="0" xfId="0">
      <alignment vertical="bottom"/>
    </xf>
    <xf numFmtId="168" fontId="8" fillId="4" borderId="10" applyAlignment="1" pivotButton="0" quotePrefix="0" xfId="0">
      <alignment vertical="bottom"/>
    </xf>
    <xf numFmtId="175" fontId="8" fillId="4" borderId="7" applyAlignment="1" pivotButton="0" quotePrefix="0" xfId="0">
      <alignment vertical="bottom"/>
    </xf>
    <xf numFmtId="175" fontId="8" fillId="4" borderId="8" applyAlignment="1" pivotButton="0" quotePrefix="0" xfId="0">
      <alignment vertical="bottom"/>
    </xf>
    <xf numFmtId="175" fontId="0" fillId="4" borderId="9" applyAlignment="1" pivotButton="0" quotePrefix="0" xfId="0">
      <alignment vertical="bottom"/>
    </xf>
    <xf numFmtId="175" fontId="8" fillId="4" borderId="10" applyAlignment="1" pivotButton="0" quotePrefix="0" xfId="0">
      <alignment vertical="bottom"/>
    </xf>
    <xf numFmtId="175" fontId="0" fillId="4" borderId="8" applyAlignment="1" pivotButton="0" quotePrefix="0" xfId="0">
      <alignment vertical="bottom"/>
    </xf>
    <xf numFmtId="175" fontId="0" fillId="4" borderId="10" applyAlignment="1" pivotButton="0" quotePrefix="0" xfId="0">
      <alignment vertical="bottom"/>
    </xf>
    <xf numFmtId="175" fontId="0" fillId="4" borderId="21" applyAlignment="1" pivotButton="0" quotePrefix="0" xfId="0">
      <alignment vertical="bottom"/>
    </xf>
    <xf numFmtId="175" fontId="0" fillId="4" borderId="7" applyAlignment="1" pivotButton="0" quotePrefix="0" xfId="0">
      <alignment vertical="bottom"/>
    </xf>
    <xf numFmtId="170" fontId="12" fillId="9" borderId="7" applyAlignment="1" pivotButton="0" quotePrefix="0" xfId="0">
      <alignment vertical="bottom"/>
    </xf>
    <xf numFmtId="170" fontId="12" fillId="9" borderId="10" applyAlignment="1" pivotButton="0" quotePrefix="0" xfId="0">
      <alignment vertical="bottom"/>
    </xf>
    <xf numFmtId="170" fontId="12" fillId="9" borderId="8" applyAlignment="1" pivotButton="0" quotePrefix="0" xfId="0">
      <alignment vertical="bottom"/>
    </xf>
    <xf numFmtId="175" fontId="9" fillId="4" borderId="7" applyAlignment="1" pivotButton="0" quotePrefix="0" xfId="0">
      <alignment vertical="bottom"/>
    </xf>
    <xf numFmtId="175" fontId="9" fillId="4" borderId="8" applyAlignment="1" pivotButton="0" quotePrefix="0" xfId="0">
      <alignment vertical="bottom"/>
    </xf>
    <xf numFmtId="164" fontId="21" fillId="4" borderId="7" applyAlignment="1" pivotButton="0" quotePrefix="0" xfId="0">
      <alignment vertical="bottom"/>
    </xf>
    <xf numFmtId="164" fontId="21" fillId="4" borderId="8" applyAlignment="1" pivotButton="0" quotePrefix="0" xfId="0">
      <alignment vertical="bottom"/>
    </xf>
    <xf numFmtId="164" fontId="21" fillId="4" borderId="9" applyAlignment="1" pivotButton="0" quotePrefix="0" xfId="0">
      <alignment vertical="bottom"/>
    </xf>
    <xf numFmtId="164" fontId="21" fillId="4" borderId="10" applyAlignment="1" pivotButton="0" quotePrefix="0" xfId="0">
      <alignment vertical="bottom"/>
    </xf>
    <xf numFmtId="164" fontId="21" fillId="10" borderId="7" applyAlignment="1" pivotButton="0" quotePrefix="0" xfId="0">
      <alignment vertical="bottom"/>
    </xf>
    <xf numFmtId="164" fontId="12" fillId="4" borderId="8" applyAlignment="1" pivotButton="0" quotePrefix="0" xfId="0">
      <alignment vertical="bottom"/>
    </xf>
    <xf numFmtId="164" fontId="21" fillId="10" borderId="10" applyAlignment="1" pivotButton="0" quotePrefix="0" xfId="0">
      <alignment vertical="bottom"/>
    </xf>
    <xf numFmtId="170" fontId="10" fillId="4" borderId="7" applyAlignment="1" pivotButton="0" quotePrefix="0" xfId="0">
      <alignment horizontal="left" vertical="bottom"/>
    </xf>
    <xf numFmtId="164" fontId="12" fillId="4" borderId="17" applyAlignment="1" pivotButton="0" quotePrefix="0" xfId="0">
      <alignment vertical="bottom"/>
    </xf>
    <xf numFmtId="164" fontId="12" fillId="4" borderId="18" applyAlignment="1" pivotButton="0" quotePrefix="0" xfId="0">
      <alignment vertical="bottom"/>
    </xf>
    <xf numFmtId="164" fontId="0" fillId="9" borderId="18" applyAlignment="1" pivotButton="0" quotePrefix="0" xfId="0">
      <alignment vertical="bottom"/>
    </xf>
    <xf numFmtId="164" fontId="0" fillId="9" borderId="19" applyAlignment="1" pivotButton="0" quotePrefix="0" xfId="0">
      <alignment vertical="bottom"/>
    </xf>
    <xf numFmtId="164" fontId="0" fillId="9" borderId="16" applyAlignment="1" pivotButton="0" quotePrefix="0" xfId="0">
      <alignment vertical="bottom"/>
    </xf>
    <xf numFmtId="168" fontId="0" fillId="4" borderId="22" applyAlignment="1" pivotButton="0" quotePrefix="0" xfId="0">
      <alignment vertical="bottom"/>
    </xf>
    <xf numFmtId="171" fontId="8" fillId="4" borderId="21" applyAlignment="1" pivotButton="0" quotePrefix="0" xfId="0">
      <alignment vertical="bottom"/>
    </xf>
    <xf numFmtId="171" fontId="8" fillId="6" borderId="14" applyAlignment="1" pivotButton="0" quotePrefix="0" xfId="0">
      <alignment vertical="bottom"/>
    </xf>
    <xf numFmtId="171" fontId="8" fillId="6" borderId="20" applyAlignment="1" pivotButton="0" quotePrefix="0" xfId="0">
      <alignment vertical="bottom"/>
    </xf>
    <xf numFmtId="171" fontId="8" fillId="6" borderId="22" applyAlignment="1" pivotButton="0" quotePrefix="0" xfId="0">
      <alignment vertical="bottom"/>
    </xf>
    <xf numFmtId="169" fontId="0" fillId="4" borderId="21" applyAlignment="1" pivotButton="0" quotePrefix="0" xfId="0">
      <alignment vertical="bottom"/>
    </xf>
    <xf numFmtId="171" fontId="8" fillId="6" borderId="21" applyAlignment="1" pivotButton="0" quotePrefix="0" xfId="0">
      <alignment vertical="bottom"/>
    </xf>
    <xf numFmtId="169" fontId="0" fillId="4" borderId="23" applyAlignment="1" pivotButton="0" quotePrefix="0" xfId="0">
      <alignment vertical="bottom"/>
    </xf>
    <xf numFmtId="171" fontId="0" fillId="4" borderId="8" applyAlignment="1" pivotButton="0" quotePrefix="0" xfId="0">
      <alignment vertical="bottom"/>
    </xf>
    <xf numFmtId="171" fontId="0" fillId="4" borderId="10" applyAlignment="1" pivotButton="0" quotePrefix="0" xfId="0">
      <alignment vertical="bottom"/>
    </xf>
    <xf numFmtId="169" fontId="8" fillId="4" borderId="7" applyAlignment="1" pivotButton="0" quotePrefix="0" xfId="0">
      <alignment vertical="bottom"/>
    </xf>
    <xf numFmtId="171" fontId="8" fillId="4" borderId="7" applyAlignment="1" pivotButton="0" quotePrefix="0" xfId="0">
      <alignment vertical="bottom"/>
    </xf>
    <xf numFmtId="171" fontId="8" fillId="4" borderId="8" applyAlignment="1" pivotButton="0" quotePrefix="0" xfId="0">
      <alignment vertical="bottom"/>
    </xf>
    <xf numFmtId="171" fontId="8" fillId="4" borderId="9" applyAlignment="1" pivotButton="0" quotePrefix="0" xfId="0">
      <alignment vertical="bottom"/>
    </xf>
    <xf numFmtId="169" fontId="8" fillId="4" borderId="10" applyAlignment="1" pivotButton="0" quotePrefix="0" xfId="0">
      <alignment vertical="bottom"/>
    </xf>
    <xf numFmtId="171" fontId="8" fillId="7" borderId="9" applyAlignment="1" pivotButton="0" quotePrefix="0" xfId="0">
      <alignment vertical="bottom"/>
    </xf>
    <xf numFmtId="170" fontId="8" fillId="4" borderId="16" applyAlignment="1" pivotButton="0" quotePrefix="0" xfId="0">
      <alignment vertical="bottom"/>
    </xf>
    <xf numFmtId="170" fontId="8" fillId="7" borderId="16" applyAlignment="1" pivotButton="0" quotePrefix="0" xfId="0">
      <alignment vertical="bottom"/>
    </xf>
    <xf numFmtId="170" fontId="8" fillId="4" borderId="17" applyAlignment="1" pivotButton="0" quotePrefix="0" xfId="0">
      <alignment vertical="bottom"/>
    </xf>
    <xf numFmtId="170" fontId="8" fillId="4" borderId="18" applyAlignment="1" pivotButton="0" quotePrefix="0" xfId="0">
      <alignment vertical="bottom"/>
    </xf>
    <xf numFmtId="170" fontId="8" fillId="7" borderId="18" applyAlignment="1" pivotButton="0" quotePrefix="0" xfId="0">
      <alignment vertical="bottom"/>
    </xf>
    <xf numFmtId="170" fontId="8" fillId="4" borderId="19" applyAlignment="1" pivotButton="0" quotePrefix="0" xfId="0">
      <alignment vertical="bottom"/>
    </xf>
    <xf numFmtId="170" fontId="8" fillId="7" borderId="19" applyAlignment="1" pivotButton="0" quotePrefix="0" xfId="0">
      <alignment vertical="bottom"/>
    </xf>
    <xf numFmtId="170" fontId="16" fillId="7" borderId="20" applyAlignment="1" pivotButton="0" quotePrefix="0" xfId="0">
      <alignment vertical="bottom"/>
    </xf>
    <xf numFmtId="170" fontId="16" fillId="7" borderId="14" applyAlignment="1" pivotButton="0" quotePrefix="0" xfId="0">
      <alignment vertical="bottom"/>
    </xf>
    <xf numFmtId="170" fontId="21" fillId="4" borderId="21" applyAlignment="1" pivotButton="0" quotePrefix="0" xfId="0">
      <alignment horizontal="right" vertical="bottom" wrapText="1"/>
    </xf>
    <xf numFmtId="170" fontId="7" fillId="7" borderId="21" applyAlignment="1" pivotButton="0" quotePrefix="0" xfId="0">
      <alignment vertical="bottom"/>
    </xf>
    <xf numFmtId="171" fontId="12" fillId="4" borderId="21" applyAlignment="1" pivotButton="0" quotePrefix="0" xfId="0">
      <alignment vertical="bottom"/>
    </xf>
    <xf numFmtId="171" fontId="12" fillId="4" borderId="20" applyAlignment="1" pivotButton="0" quotePrefix="0" xfId="0">
      <alignment vertical="bottom"/>
    </xf>
    <xf numFmtId="171" fontId="12" fillId="4" borderId="14" applyAlignment="1" pivotButton="0" quotePrefix="0" xfId="0">
      <alignment vertical="bottom"/>
    </xf>
    <xf numFmtId="171" fontId="0" fillId="4" borderId="22" applyAlignment="1" pivotButton="0" quotePrefix="0" xfId="0">
      <alignment vertical="bottom"/>
    </xf>
    <xf numFmtId="171" fontId="0" fillId="4" borderId="14" applyAlignment="1" pivotButton="0" quotePrefix="0" xfId="0">
      <alignment vertical="bottom"/>
    </xf>
    <xf numFmtId="170" fontId="25" fillId="4" borderId="18" applyAlignment="1" pivotButton="0" quotePrefix="0" xfId="0">
      <alignment vertical="bottom"/>
    </xf>
    <xf numFmtId="164" fontId="0" fillId="7" borderId="21" applyAlignment="1" pivotButton="0" quotePrefix="0" xfId="0">
      <alignment vertical="bottom"/>
    </xf>
    <xf numFmtId="164" fontId="10" fillId="4" borderId="16" applyAlignment="1" pivotButton="0" quotePrefix="0" xfId="0">
      <alignment vertical="bottom"/>
    </xf>
    <xf numFmtId="164" fontId="10" fillId="4" borderId="19" applyAlignment="1" pivotButton="0" quotePrefix="0" xfId="0">
      <alignment vertical="bottom"/>
    </xf>
    <xf numFmtId="164" fontId="12" fillId="9" borderId="16" applyAlignment="1" pivotButton="0" quotePrefix="0" xfId="0">
      <alignment vertical="bottom"/>
    </xf>
    <xf numFmtId="172" fontId="12" fillId="7" borderId="23" applyAlignment="1" pivotButton="0" quotePrefix="0" xfId="0">
      <alignment horizontal="right" vertical="bottom"/>
    </xf>
    <xf numFmtId="164" fontId="12" fillId="4" borderId="25" applyAlignment="1" pivotButton="0" quotePrefix="0" xfId="0">
      <alignment vertical="bottom"/>
    </xf>
    <xf numFmtId="172" fontId="12" fillId="4" borderId="26" applyAlignment="1" pivotButton="0" quotePrefix="0" xfId="0">
      <alignment horizontal="right" vertical="bottom"/>
    </xf>
    <xf numFmtId="164" fontId="0" fillId="4" borderId="8" applyAlignment="1" pivotButton="0" quotePrefix="0" xfId="0">
      <alignment vertical="bottom"/>
    </xf>
    <xf numFmtId="170" fontId="0" fillId="9" borderId="22" applyAlignment="1" pivotButton="0" quotePrefix="0" xfId="0">
      <alignment vertical="bottom"/>
    </xf>
    <xf numFmtId="170" fontId="0" fillId="9" borderId="21" applyAlignment="1" pivotButton="0" quotePrefix="0" xfId="0">
      <alignment vertical="bottom"/>
    </xf>
    <xf numFmtId="166" fontId="9" fillId="4" borderId="14" applyAlignment="1" pivotButton="0" quotePrefix="0" xfId="0">
      <alignment vertical="bottom"/>
    </xf>
    <xf numFmtId="166" fontId="9" fillId="4" borderId="21" applyAlignment="1" pivotButton="0" quotePrefix="0" xfId="0">
      <alignment vertical="bottom"/>
    </xf>
    <xf numFmtId="164" fontId="0" fillId="4" borderId="23" applyAlignment="1" pivotButton="0" quotePrefix="0" xfId="0">
      <alignment vertical="bottom"/>
    </xf>
    <xf numFmtId="164" fontId="0" fillId="4" borderId="24" applyAlignment="1" pivotButton="0" quotePrefix="0" xfId="0">
      <alignment vertical="bottom"/>
    </xf>
    <xf numFmtId="164" fontId="0" fillId="4" borderId="25" applyAlignment="1" pivotButton="0" quotePrefix="0" xfId="0">
      <alignment vertical="bottom"/>
    </xf>
    <xf numFmtId="164" fontId="0" fillId="4" borderId="26" applyAlignment="1" pivotButton="0" quotePrefix="0" xfId="0">
      <alignment vertical="bottom"/>
    </xf>
    <xf numFmtId="171" fontId="0" fillId="4" borderId="9" applyAlignment="1" pivotButton="0" quotePrefix="0" xfId="0">
      <alignment vertical="bottom"/>
    </xf>
    <xf numFmtId="171" fontId="0" fillId="4" borderId="18" applyAlignment="1" pivotButton="0" quotePrefix="0" xfId="0">
      <alignment vertical="bottom"/>
    </xf>
    <xf numFmtId="170" fontId="7" fillId="4" borderId="25" applyAlignment="1" pivotButton="0" quotePrefix="0" xfId="0">
      <alignment vertical="bottom"/>
    </xf>
    <xf numFmtId="164" fontId="21" fillId="4" borderId="21" applyAlignment="1" pivotButton="0" quotePrefix="0" xfId="0">
      <alignment vertical="bottom"/>
    </xf>
    <xf numFmtId="164" fontId="12" fillId="9" borderId="26" applyAlignment="1" pivotButton="0" quotePrefix="0" xfId="0">
      <alignment vertical="bottom"/>
    </xf>
    <xf numFmtId="164" fontId="9" fillId="4" borderId="16" applyAlignment="1" pivotButton="0" quotePrefix="0" xfId="0">
      <alignment vertical="bottom"/>
    </xf>
    <xf numFmtId="168" fontId="8" fillId="4" borderId="16" applyAlignment="1" pivotButton="0" quotePrefix="0" xfId="0">
      <alignment vertical="bottom"/>
    </xf>
    <xf numFmtId="173" fontId="0" fillId="4" borderId="23" applyAlignment="1" pivotButton="0" quotePrefix="0" xfId="0">
      <alignment vertical="bottom"/>
    </xf>
    <xf numFmtId="173" fontId="0" fillId="4" borderId="24" applyAlignment="1" pivotButton="0" quotePrefix="0" xfId="0">
      <alignment vertical="bottom"/>
    </xf>
    <xf numFmtId="173" fontId="0" fillId="4" borderId="25" applyAlignment="1" pivotButton="0" quotePrefix="0" xfId="0">
      <alignment vertical="bottom"/>
    </xf>
    <xf numFmtId="173" fontId="0" fillId="4" borderId="26" applyAlignment="1" pivotButton="0" quotePrefix="0" xfId="0">
      <alignment vertical="bottom"/>
    </xf>
    <xf numFmtId="171" fontId="8" fillId="4" borderId="20" applyAlignment="1" pivotButton="0" quotePrefix="0" xfId="0">
      <alignment vertical="bottom"/>
    </xf>
    <xf numFmtId="171" fontId="8" fillId="4" borderId="14" applyAlignment="1" pivotButton="0" quotePrefix="0" xfId="0">
      <alignment vertical="bottom"/>
    </xf>
    <xf numFmtId="171" fontId="8" fillId="4" borderId="22" applyAlignment="1" pivotButton="0" quotePrefix="0" xfId="0">
      <alignment vertical="bottom"/>
    </xf>
    <xf numFmtId="164" fontId="12" fillId="9" borderId="10" applyAlignment="1" pivotButton="0" quotePrefix="0" xfId="0">
      <alignment vertical="bottom"/>
    </xf>
    <xf numFmtId="164" fontId="12" fillId="9" borderId="7" applyAlignment="1" pivotButton="0" quotePrefix="0" xfId="0">
      <alignment vertical="bottom"/>
    </xf>
    <xf numFmtId="164" fontId="0" fillId="4" borderId="18" applyAlignment="1" pivotButton="0" quotePrefix="0" xfId="0">
      <alignment vertical="bottom"/>
    </xf>
    <xf numFmtId="164" fontId="0" fillId="4" borderId="19" applyAlignment="1" pivotButton="0" quotePrefix="0" xfId="0">
      <alignment vertical="bottom"/>
    </xf>
    <xf numFmtId="164" fontId="12" fillId="9" borderId="19" applyAlignment="1" pivotButton="0" quotePrefix="0" xfId="0">
      <alignment vertical="bottom"/>
    </xf>
    <xf numFmtId="166" fontId="22" fillId="4" borderId="7" applyAlignment="1" pivotButton="0" quotePrefix="0" xfId="0">
      <alignment vertical="bottom"/>
    </xf>
    <xf numFmtId="166" fontId="21" fillId="4" borderId="7" applyAlignment="1" pivotButton="0" quotePrefix="0" xfId="0">
      <alignment vertical="bottom"/>
    </xf>
    <xf numFmtId="164" fontId="14" fillId="4" borderId="7" applyAlignment="1" pivotButton="0" quotePrefix="0" xfId="0">
      <alignment vertical="bottom"/>
    </xf>
    <xf numFmtId="164" fontId="14" fillId="4" borderId="10" applyAlignment="1" pivotButton="0" quotePrefix="0" xfId="0">
      <alignment vertical="bottom"/>
    </xf>
    <xf numFmtId="176" fontId="16" fillId="4" borderId="7" applyAlignment="1" pivotButton="0" quotePrefix="0" xfId="0">
      <alignment vertical="bottom"/>
    </xf>
    <xf numFmtId="164" fontId="16" fillId="4" borderId="7" applyAlignment="1" pivotButton="0" quotePrefix="0" xfId="0">
      <alignment vertical="bottom"/>
    </xf>
    <xf numFmtId="164" fontId="16" fillId="4" borderId="8" applyAlignment="1" pivotButton="0" quotePrefix="0" xfId="0">
      <alignment vertical="bottom"/>
    </xf>
    <xf numFmtId="164" fontId="16" fillId="4" borderId="9" applyAlignment="1" pivotButton="0" quotePrefix="0" xfId="0">
      <alignment vertical="bottom"/>
    </xf>
    <xf numFmtId="164" fontId="16" fillId="4" borderId="10" applyAlignment="1" pivotButton="0" quotePrefix="0" xfId="0">
      <alignment vertical="bottom"/>
    </xf>
    <xf numFmtId="164" fontId="0" fillId="11" borderId="21" applyAlignment="1" pivotButton="0" quotePrefix="0" xfId="0">
      <alignment vertical="bottom"/>
    </xf>
    <xf numFmtId="164" fontId="16" fillId="4" borderId="21" applyAlignment="1" pivotButton="0" quotePrefix="0" xfId="0">
      <alignment vertical="bottom"/>
    </xf>
    <xf numFmtId="164" fontId="16" fillId="7" borderId="21" applyAlignment="1" pivotButton="0" quotePrefix="0" xfId="0">
      <alignment vertical="bottom"/>
    </xf>
    <xf numFmtId="164" fontId="16" fillId="4" borderId="20" applyAlignment="1" pivotButton="0" quotePrefix="0" xfId="0">
      <alignment vertical="bottom"/>
    </xf>
    <xf numFmtId="164" fontId="16" fillId="4" borderId="14" applyAlignment="1" pivotButton="0" quotePrefix="0" xfId="0">
      <alignment vertical="bottom"/>
    </xf>
    <xf numFmtId="164" fontId="16" fillId="4" borderId="22" applyAlignment="1" pivotButton="0" quotePrefix="0" xfId="0">
      <alignment vertical="bottom"/>
    </xf>
    <xf numFmtId="164" fontId="9" fillId="4" borderId="20" applyAlignment="1" pivotButton="0" quotePrefix="0" xfId="0">
      <alignment vertical="bottom"/>
    </xf>
    <xf numFmtId="164" fontId="9" fillId="4" borderId="22" applyAlignment="1" pivotButton="0" quotePrefix="0" xfId="0">
      <alignment vertical="bottom"/>
    </xf>
    <xf numFmtId="164" fontId="0" fillId="9" borderId="22" applyAlignment="1" pivotButton="0" quotePrefix="0" xfId="0">
      <alignment vertical="bottom"/>
    </xf>
    <xf numFmtId="164" fontId="0" fillId="9" borderId="21" applyAlignment="1" pivotButton="0" quotePrefix="0" xfId="0">
      <alignment vertical="bottom"/>
    </xf>
    <xf numFmtId="170" fontId="0" fillId="4" borderId="21" applyAlignment="1" pivotButton="0" quotePrefix="0" xfId="0">
      <alignment vertical="bottom" wrapText="1"/>
    </xf>
    <xf numFmtId="164" fontId="9" fillId="4" borderId="23" applyAlignment="1" pivotButton="0" quotePrefix="0" xfId="0">
      <alignment vertical="bottom"/>
    </xf>
    <xf numFmtId="173" fontId="8" fillId="11" borderId="21" applyAlignment="1" pivotButton="0" quotePrefix="0" xfId="0">
      <alignment vertical="bottom"/>
    </xf>
    <xf numFmtId="173" fontId="8" fillId="11" borderId="20" applyAlignment="1" pivotButton="0" quotePrefix="0" xfId="0">
      <alignment vertical="bottom"/>
    </xf>
    <xf numFmtId="173" fontId="8" fillId="11" borderId="14" applyAlignment="1" pivotButton="0" quotePrefix="0" xfId="0">
      <alignment vertical="bottom"/>
    </xf>
    <xf numFmtId="173" fontId="8" fillId="11" borderId="22" applyAlignment="1" pivotButton="0" quotePrefix="0" xfId="0">
      <alignment vertical="bottom"/>
    </xf>
    <xf numFmtId="168" fontId="16" fillId="4" borderId="21" applyAlignment="1" pivotButton="0" quotePrefix="0" xfId="0">
      <alignment vertical="bottom"/>
    </xf>
    <xf numFmtId="173" fontId="16" fillId="4" borderId="21" applyAlignment="1" pivotButton="0" quotePrefix="0" xfId="0">
      <alignment vertical="bottom"/>
    </xf>
    <xf numFmtId="173" fontId="0" fillId="4" borderId="20" applyAlignment="1" pivotButton="0" quotePrefix="0" xfId="0">
      <alignment vertical="bottom"/>
    </xf>
    <xf numFmtId="173" fontId="0" fillId="4" borderId="14" applyAlignment="1" pivotButton="0" quotePrefix="0" xfId="0">
      <alignment vertical="bottom"/>
    </xf>
    <xf numFmtId="170" fontId="21" fillId="4" borderId="20" applyAlignment="1" pivotButton="0" quotePrefix="0" xfId="0">
      <alignment vertical="bottom"/>
    </xf>
    <xf numFmtId="170" fontId="21" fillId="4" borderId="22" applyAlignment="1" pivotButton="0" quotePrefix="0" xfId="0">
      <alignment vertical="bottom"/>
    </xf>
    <xf numFmtId="170" fontId="18" fillId="9" borderId="22" applyAlignment="1" pivotButton="0" quotePrefix="0" xfId="0">
      <alignment vertical="bottom"/>
    </xf>
    <xf numFmtId="170" fontId="18" fillId="9" borderId="21" applyAlignment="1" pivotButton="0" quotePrefix="0" xfId="0">
      <alignment vertical="bottom"/>
    </xf>
    <xf numFmtId="170" fontId="14" fillId="9" borderId="22" applyAlignment="1" pivotButton="0" quotePrefix="0" xfId="0">
      <alignment vertical="bottom"/>
    </xf>
    <xf numFmtId="170" fontId="14" fillId="9" borderId="21" applyAlignment="1" pivotButton="0" quotePrefix="0" xfId="0">
      <alignment vertical="bottom"/>
    </xf>
    <xf numFmtId="164" fontId="0" fillId="9" borderId="26" applyAlignment="1" pivotButton="0" quotePrefix="0" xfId="0">
      <alignment vertical="bottom"/>
    </xf>
    <xf numFmtId="164" fontId="0" fillId="9" borderId="23" applyAlignment="1" pivotButton="0" quotePrefix="0" xfId="0">
      <alignment vertical="bottom"/>
    </xf>
    <xf numFmtId="164" fontId="12" fillId="4" borderId="9" applyAlignment="1" pivotButton="0" quotePrefix="0" xfId="0">
      <alignment vertical="bottom"/>
    </xf>
    <xf numFmtId="164" fontId="0" fillId="9" borderId="10" applyAlignment="1" pivotButton="0" quotePrefix="0" xfId="0">
      <alignment vertical="bottom"/>
    </xf>
    <xf numFmtId="164" fontId="0" fillId="9" borderId="7" applyAlignment="1" pivotButton="0" quotePrefix="0" xfId="0">
      <alignment vertical="bottom"/>
    </xf>
    <xf numFmtId="171" fontId="12" fillId="4" borderId="23" applyAlignment="1" pivotButton="0" quotePrefix="0" xfId="0">
      <alignment vertical="bottom"/>
    </xf>
    <xf numFmtId="171" fontId="12" fillId="4" borderId="24" applyAlignment="1" pivotButton="0" quotePrefix="0" xfId="0">
      <alignment vertical="bottom"/>
    </xf>
    <xf numFmtId="171" fontId="12" fillId="4" borderId="25" applyAlignment="1" pivotButton="0" quotePrefix="0" xfId="0">
      <alignment vertical="bottom"/>
    </xf>
    <xf numFmtId="171" fontId="0" fillId="4" borderId="25" applyAlignment="1" pivotButton="0" quotePrefix="0" xfId="0">
      <alignment vertical="bottom"/>
    </xf>
    <xf numFmtId="171" fontId="12" fillId="4" borderId="26" applyAlignment="1" pivotButton="0" quotePrefix="0" xfId="0">
      <alignment vertical="bottom"/>
    </xf>
    <xf numFmtId="164" fontId="9" fillId="4" borderId="10" applyAlignment="1" pivotButton="0" quotePrefix="0" xfId="0">
      <alignment vertical="bottom"/>
    </xf>
    <xf numFmtId="164" fontId="0" fillId="7" borderId="7" applyAlignment="1" pivotButton="0" quotePrefix="0" xfId="0">
      <alignment vertical="bottom"/>
    </xf>
    <xf numFmtId="168" fontId="0" fillId="4" borderId="8" applyAlignment="1" pivotButton="0" quotePrefix="0" xfId="0">
      <alignment vertical="bottom"/>
    </xf>
    <xf numFmtId="168" fontId="0" fillId="4" borderId="9" applyAlignment="1" pivotButton="0" quotePrefix="0" xfId="0">
      <alignment vertical="bottom"/>
    </xf>
    <xf numFmtId="168" fontId="0" fillId="4" borderId="10" applyAlignment="1" pivotButton="0" quotePrefix="0" xfId="0">
      <alignment vertical="bottom"/>
    </xf>
    <xf numFmtId="168" fontId="8" fillId="4" borderId="8" applyAlignment="1" pivotButton="0" quotePrefix="0" xfId="0">
      <alignment vertical="bottom"/>
    </xf>
    <xf numFmtId="168" fontId="8" fillId="4" borderId="9" applyAlignment="1" pivotButton="0" quotePrefix="0" xfId="0">
      <alignment vertical="bottom"/>
    </xf>
    <xf numFmtId="173" fontId="8" fillId="4" borderId="16" applyAlignment="1" pivotButton="0" quotePrefix="0" xfId="0">
      <alignment vertical="bottom"/>
    </xf>
    <xf numFmtId="173" fontId="8" fillId="4" borderId="17" applyAlignment="1" pivotButton="0" quotePrefix="0" xfId="0">
      <alignment vertical="bottom"/>
    </xf>
    <xf numFmtId="173" fontId="8" fillId="4" borderId="18" applyAlignment="1" pivotButton="0" quotePrefix="0" xfId="0">
      <alignment vertical="bottom"/>
    </xf>
    <xf numFmtId="173" fontId="8" fillId="4" borderId="19" applyAlignment="1" pivotButton="0" quotePrefix="0" xfId="0">
      <alignment vertical="bottom"/>
    </xf>
    <xf numFmtId="177" fontId="27" fillId="4" borderId="16" applyAlignment="1" pivotButton="0" quotePrefix="0" xfId="0">
      <alignment vertical="bottom"/>
    </xf>
    <xf numFmtId="173" fontId="8" fillId="12" borderId="21" applyAlignment="1" pivotButton="0" quotePrefix="0" xfId="0">
      <alignment vertical="bottom"/>
    </xf>
    <xf numFmtId="170" fontId="8" fillId="12" borderId="21" applyAlignment="1" pivotButton="0" quotePrefix="0" xfId="0">
      <alignment vertical="bottom"/>
    </xf>
    <xf numFmtId="170" fontId="8" fillId="12" borderId="20" applyAlignment="1" pivotButton="0" quotePrefix="0" xfId="0">
      <alignment vertical="bottom"/>
    </xf>
    <xf numFmtId="170" fontId="8" fillId="12" borderId="14" applyAlignment="1" pivotButton="0" quotePrefix="0" xfId="0">
      <alignment vertical="bottom"/>
    </xf>
    <xf numFmtId="173" fontId="8" fillId="12" borderId="22" applyAlignment="1" pivotButton="0" quotePrefix="0" xfId="0">
      <alignment vertical="bottom"/>
    </xf>
    <xf numFmtId="178" fontId="27" fillId="4" borderId="21" applyAlignment="1" pivotButton="0" quotePrefix="0" xfId="0">
      <alignment horizontal="right" vertical="bottom" wrapText="1"/>
    </xf>
    <xf numFmtId="170" fontId="8" fillId="12" borderId="22" applyAlignment="1" pivotButton="0" quotePrefix="0" xfId="0">
      <alignment vertical="bottom"/>
    </xf>
    <xf numFmtId="179" fontId="27" fillId="4" borderId="21" applyAlignment="1" pivotButton="0" quotePrefix="0" xfId="0">
      <alignment vertical="bottom" wrapText="1"/>
    </xf>
    <xf numFmtId="180" fontId="27" fillId="4" borderId="21" applyAlignment="1" pivotButton="0" quotePrefix="0" xfId="0">
      <alignment vertical="bottom" wrapText="1"/>
    </xf>
    <xf numFmtId="181" fontId="27" fillId="4" borderId="21" applyAlignment="1" pivotButton="0" quotePrefix="0" xfId="0">
      <alignment horizontal="right" vertical="bottom" wrapText="1"/>
    </xf>
    <xf numFmtId="182" fontId="27" fillId="4" borderId="21" applyAlignment="1" pivotButton="0" quotePrefix="0" xfId="0">
      <alignment horizontal="right" vertical="bottom" wrapText="1"/>
    </xf>
    <xf numFmtId="175" fontId="0" fillId="4" borderId="29" applyAlignment="1" pivotButton="0" quotePrefix="0" xfId="0">
      <alignment vertical="bottom"/>
    </xf>
    <xf numFmtId="175" fontId="30" fillId="4" borderId="14" applyAlignment="1" pivotButton="0" quotePrefix="0" xfId="0">
      <alignment horizontal="right" vertical="bottom"/>
    </xf>
    <xf numFmtId="175" fontId="31" fillId="4" borderId="14" applyAlignment="1" pivotButton="0" quotePrefix="0" xfId="0">
      <alignment horizontal="right" vertical="bottom"/>
    </xf>
    <xf numFmtId="0" fontId="0" fillId="0" borderId="38" pivotButton="0" quotePrefix="0" xfId="0"/>
    <xf numFmtId="170" fontId="0" fillId="13" borderId="7" applyAlignment="1" pivotButton="0" quotePrefix="0" xfId="0">
      <alignment vertical="center"/>
    </xf>
    <xf numFmtId="175" fontId="0" fillId="13" borderId="7" applyAlignment="1" pivotButton="0" quotePrefix="0" xfId="0">
      <alignment vertical="bottom"/>
    </xf>
    <xf numFmtId="0" fontId="0" fillId="0" borderId="35" pivotButton="0" quotePrefix="0" xfId="0"/>
    <xf numFmtId="175" fontId="31" fillId="14" borderId="7" applyAlignment="1" pivotButton="0" quotePrefix="0" xfId="0">
      <alignment horizontal="center" vertical="center" wrapText="1"/>
    </xf>
    <xf numFmtId="175" fontId="31" fillId="4" borderId="7" applyAlignment="1" pivotButton="0" quotePrefix="0" xfId="0">
      <alignment horizontal="center" vertical="bottom"/>
    </xf>
    <xf numFmtId="175" fontId="31" fillId="11" borderId="7" applyAlignment="1" pivotButton="0" quotePrefix="0" xfId="0">
      <alignment horizontal="center" vertical="center" wrapText="1"/>
    </xf>
    <xf numFmtId="175" fontId="31" fillId="4" borderId="20" applyAlignment="1" pivotButton="0" quotePrefix="0" xfId="0">
      <alignment horizontal="center" vertical="bottom"/>
    </xf>
    <xf numFmtId="175" fontId="31" fillId="4" borderId="45" applyAlignment="1" pivotButton="0" quotePrefix="0" xfId="0">
      <alignment horizontal="center" vertical="bottom"/>
    </xf>
    <xf numFmtId="175" fontId="31" fillId="4" borderId="34" applyAlignment="1" pivotButton="0" quotePrefix="0" xfId="0">
      <alignment horizontal="center" vertical="bottom"/>
    </xf>
    <xf numFmtId="175" fontId="31" fillId="4" borderId="18" applyAlignment="1" pivotButton="0" quotePrefix="0" xfId="0">
      <alignment horizontal="center" vertical="bottom"/>
    </xf>
    <xf numFmtId="175" fontId="31" fillId="4" borderId="14" applyAlignment="1" pivotButton="0" quotePrefix="0" xfId="0">
      <alignment horizontal="center" vertical="bottom"/>
    </xf>
    <xf numFmtId="175" fontId="31" fillId="4" borderId="42" applyAlignment="1" pivotButton="0" quotePrefix="0" xfId="0">
      <alignment horizontal="center" vertical="bottom"/>
    </xf>
    <xf numFmtId="175" fontId="31" fillId="4" borderId="46" applyAlignment="1" pivotButton="0" quotePrefix="0" xfId="0">
      <alignment horizontal="center" vertical="bottom"/>
    </xf>
    <xf numFmtId="168" fontId="31" fillId="4" borderId="9" applyAlignment="1" pivotButton="0" quotePrefix="0" xfId="0">
      <alignment horizontal="center" vertical="bottom"/>
    </xf>
    <xf numFmtId="168" fontId="0" fillId="4" borderId="36" applyAlignment="1" pivotButton="0" quotePrefix="0" xfId="0">
      <alignment vertical="bottom"/>
    </xf>
    <xf numFmtId="0" fontId="0" fillId="0" borderId="50" pivotButton="0" quotePrefix="0" xfId="0"/>
    <xf numFmtId="175" fontId="0" fillId="4" borderId="7" applyAlignment="1" pivotButton="0" quotePrefix="0" xfId="0">
      <alignment vertical="center" wrapText="1"/>
    </xf>
    <xf numFmtId="175" fontId="0" fillId="4" borderId="14" applyAlignment="1" pivotButton="0" quotePrefix="0" xfId="0">
      <alignment vertical="center" wrapText="1"/>
    </xf>
    <xf numFmtId="175" fontId="31" fillId="7" borderId="7" applyAlignment="1" pivotButton="0" quotePrefix="0" xfId="0">
      <alignment horizontal="center" vertical="center" wrapText="1"/>
    </xf>
    <xf numFmtId="170" fontId="30" fillId="11" borderId="42" applyAlignment="1" pivotButton="0" quotePrefix="0" xfId="0">
      <alignment horizontal="center" vertical="bottom"/>
    </xf>
    <xf numFmtId="175" fontId="30" fillId="11" borderId="42" applyAlignment="1" pivotButton="0" quotePrefix="0" xfId="0">
      <alignment horizontal="center" vertical="bottom"/>
    </xf>
    <xf numFmtId="175" fontId="0" fillId="4" borderId="42" applyAlignment="1" pivotButton="0" quotePrefix="0" xfId="0">
      <alignment vertical="bottom"/>
    </xf>
    <xf numFmtId="0" fontId="0" fillId="0" borderId="25" pivotButton="0" quotePrefix="0" xfId="0"/>
    <xf numFmtId="183" fontId="36" fillId="4" borderId="9" applyAlignment="1" pivotButton="0" quotePrefix="0" xfId="0">
      <alignment vertical="bottom"/>
    </xf>
    <xf numFmtId="183" fontId="36" fillId="4" borderId="10" applyAlignment="1" pivotButton="0" quotePrefix="0" xfId="0">
      <alignment vertical="bottom"/>
    </xf>
    <xf numFmtId="170" fontId="34" fillId="4" borderId="25" applyAlignment="1" pivotButton="0" quotePrefix="0" xfId="0">
      <alignment horizontal="right" vertical="bottom"/>
    </xf>
    <xf numFmtId="168" fontId="32" fillId="4" borderId="25" applyAlignment="1" pivotButton="0" quotePrefix="0" xfId="0">
      <alignment horizontal="right" vertical="bottom"/>
    </xf>
    <xf numFmtId="170" fontId="38" fillId="4" borderId="25" applyAlignment="1" pivotButton="0" quotePrefix="0" xfId="0">
      <alignment horizontal="right" vertical="bottom"/>
    </xf>
    <xf numFmtId="168" fontId="32" fillId="4" borderId="10" applyAlignment="1" pivotButton="0" quotePrefix="0" xfId="0">
      <alignment horizontal="right" vertical="bottom"/>
    </xf>
    <xf numFmtId="168" fontId="32" fillId="4" borderId="8" applyAlignment="1" pivotButton="0" quotePrefix="0" xfId="0">
      <alignment horizontal="right" vertical="bottom"/>
    </xf>
    <xf numFmtId="168" fontId="32" fillId="4" borderId="9" applyAlignment="1" pivotButton="0" quotePrefix="0" xfId="0">
      <alignment horizontal="right" vertical="bottom"/>
    </xf>
    <xf numFmtId="168" fontId="32" fillId="7" borderId="9" applyAlignment="1" pivotButton="0" quotePrefix="0" xfId="0">
      <alignment horizontal="right" vertical="bottom"/>
    </xf>
    <xf numFmtId="170" fontId="32" fillId="4" borderId="14" applyAlignment="1" pivotButton="0" quotePrefix="0" xfId="0">
      <alignment horizontal="right" vertical="bottom"/>
    </xf>
    <xf numFmtId="168" fontId="32" fillId="4" borderId="14" applyAlignment="1" pivotButton="0" quotePrefix="0" xfId="0">
      <alignment horizontal="right" vertical="bottom"/>
    </xf>
    <xf numFmtId="170" fontId="32" fillId="4" borderId="15" applyAlignment="1" pivotButton="0" quotePrefix="0" xfId="0">
      <alignment horizontal="right" vertical="bottom"/>
    </xf>
    <xf numFmtId="170" fontId="31" fillId="4" borderId="19" applyAlignment="1" pivotButton="0" quotePrefix="0" xfId="0">
      <alignment horizontal="right" vertical="bottom"/>
    </xf>
    <xf numFmtId="170" fontId="31" fillId="4" borderId="17" applyAlignment="1" pivotButton="0" quotePrefix="0" xfId="0">
      <alignment horizontal="right" vertical="bottom"/>
    </xf>
    <xf numFmtId="170" fontId="31" fillId="4" borderId="18" applyAlignment="1" pivotButton="0" quotePrefix="0" xfId="0">
      <alignment horizontal="right" vertical="bottom"/>
    </xf>
    <xf numFmtId="170" fontId="31" fillId="7" borderId="18" applyAlignment="1" pivotButton="0" quotePrefix="0" xfId="0">
      <alignment horizontal="right" vertical="bottom"/>
    </xf>
    <xf numFmtId="170" fontId="31" fillId="4" borderId="14" applyAlignment="1" pivotButton="0" quotePrefix="0" xfId="0">
      <alignment horizontal="right" vertical="bottom"/>
    </xf>
    <xf numFmtId="170" fontId="31" fillId="15" borderId="18" applyAlignment="1" pivotButton="0" quotePrefix="0" xfId="0">
      <alignment horizontal="right" vertical="bottom"/>
    </xf>
    <xf numFmtId="170" fontId="31" fillId="4" borderId="15" applyAlignment="1" pivotButton="0" quotePrefix="0" xfId="0">
      <alignment horizontal="right" vertical="bottom"/>
    </xf>
    <xf numFmtId="170" fontId="31" fillId="4" borderId="22" applyAlignment="1" pivotButton="0" quotePrefix="0" xfId="0">
      <alignment horizontal="right" vertical="bottom"/>
    </xf>
    <xf numFmtId="170" fontId="31" fillId="4" borderId="20" applyAlignment="1" pivotButton="0" quotePrefix="0" xfId="0">
      <alignment horizontal="right" vertical="bottom"/>
    </xf>
    <xf numFmtId="168" fontId="31" fillId="4" borderId="14" applyAlignment="1" pivotButton="0" quotePrefix="0" xfId="0">
      <alignment horizontal="right" vertical="bottom"/>
    </xf>
    <xf numFmtId="170" fontId="31" fillId="15" borderId="14" applyAlignment="1" pivotButton="0" quotePrefix="0" xfId="0">
      <alignment horizontal="right" vertical="bottom"/>
    </xf>
    <xf numFmtId="170" fontId="31" fillId="4" borderId="26" applyAlignment="1" pivotButton="0" quotePrefix="0" xfId="0">
      <alignment horizontal="right" vertical="bottom"/>
    </xf>
    <xf numFmtId="170" fontId="31" fillId="4" borderId="24" applyAlignment="1" pivotButton="0" quotePrefix="0" xfId="0">
      <alignment horizontal="right" vertical="bottom"/>
    </xf>
    <xf numFmtId="170" fontId="31" fillId="4" borderId="25" applyAlignment="1" pivotButton="0" quotePrefix="0" xfId="0">
      <alignment horizontal="right" vertical="bottom"/>
    </xf>
    <xf numFmtId="170" fontId="31" fillId="15" borderId="25" applyAlignment="1" pivotButton="0" quotePrefix="0" xfId="0">
      <alignment horizontal="right" vertical="bottom"/>
    </xf>
    <xf numFmtId="170" fontId="32" fillId="7" borderId="14" applyAlignment="1" pivotButton="0" quotePrefix="0" xfId="0">
      <alignment horizontal="right" vertical="bottom"/>
    </xf>
    <xf numFmtId="168" fontId="31" fillId="4" borderId="22" applyAlignment="1" pivotButton="0" quotePrefix="0" xfId="0">
      <alignment horizontal="right" vertical="bottom"/>
    </xf>
    <xf numFmtId="168" fontId="31" fillId="4" borderId="20" applyAlignment="1" pivotButton="0" quotePrefix="0" xfId="0">
      <alignment horizontal="right" vertical="bottom"/>
    </xf>
    <xf numFmtId="168" fontId="32" fillId="4" borderId="15" applyAlignment="1" pivotButton="0" quotePrefix="0" xfId="0">
      <alignment horizontal="right" vertical="bottom"/>
    </xf>
    <xf numFmtId="170" fontId="31" fillId="11" borderId="25" applyAlignment="1" pivotButton="0" quotePrefix="0" xfId="0">
      <alignment horizontal="right" vertical="bottom"/>
    </xf>
    <xf numFmtId="170" fontId="31" fillId="4" borderId="10" applyAlignment="1" pivotButton="0" quotePrefix="0" xfId="0">
      <alignment horizontal="right" vertical="bottom"/>
    </xf>
    <xf numFmtId="168" fontId="31" fillId="4" borderId="8" applyAlignment="1" pivotButton="0" quotePrefix="0" xfId="0">
      <alignment horizontal="right" vertical="bottom"/>
    </xf>
    <xf numFmtId="168" fontId="31" fillId="4" borderId="9" applyAlignment="1" pivotButton="0" quotePrefix="0" xfId="0">
      <alignment horizontal="right" vertical="bottom"/>
    </xf>
    <xf numFmtId="170" fontId="31" fillId="11" borderId="18" applyAlignment="1" pivotButton="0" quotePrefix="0" xfId="0">
      <alignment horizontal="right" vertical="bottom"/>
    </xf>
    <xf numFmtId="170" fontId="31" fillId="7" borderId="14" applyAlignment="1" pivotButton="0" quotePrefix="0" xfId="0">
      <alignment horizontal="right" vertical="bottom"/>
    </xf>
    <xf numFmtId="169" fontId="32" fillId="4" borderId="14" applyAlignment="1" pivotButton="0" quotePrefix="0" xfId="0">
      <alignment horizontal="right" vertical="bottom"/>
    </xf>
    <xf numFmtId="169" fontId="32" fillId="4" borderId="10" applyAlignment="1" pivotButton="0" quotePrefix="0" xfId="0">
      <alignment horizontal="right" vertical="bottom"/>
    </xf>
    <xf numFmtId="171" fontId="32" fillId="4" borderId="8" applyAlignment="1" pivotButton="0" quotePrefix="0" xfId="0">
      <alignment vertical="bottom"/>
    </xf>
    <xf numFmtId="171" fontId="32" fillId="4" borderId="9" applyAlignment="1" pivotButton="0" quotePrefix="0" xfId="0">
      <alignment vertical="bottom"/>
    </xf>
    <xf numFmtId="169" fontId="32" fillId="4" borderId="9" applyAlignment="1" pivotButton="0" quotePrefix="0" xfId="0">
      <alignment horizontal="right" vertical="bottom"/>
    </xf>
    <xf numFmtId="169" fontId="39" fillId="4" borderId="14" applyAlignment="1" pivotButton="0" quotePrefix="0" xfId="0">
      <alignment horizontal="right" vertical="bottom"/>
    </xf>
    <xf numFmtId="169" fontId="32" fillId="7" borderId="9" applyAlignment="1" pivotButton="0" quotePrefix="0" xfId="0">
      <alignment horizontal="right" vertical="bottom"/>
    </xf>
    <xf numFmtId="176" fontId="30" fillId="4" borderId="14" applyAlignment="1" pivotButton="0" quotePrefix="0" xfId="0">
      <alignment horizontal="right" vertical="bottom"/>
    </xf>
    <xf numFmtId="170" fontId="35" fillId="4" borderId="14" applyAlignment="1" pivotButton="0" quotePrefix="0" xfId="0">
      <alignment horizontal="right" vertical="bottom"/>
    </xf>
    <xf numFmtId="170" fontId="30" fillId="4" borderId="26" applyAlignment="1" pivotButton="0" quotePrefix="0" xfId="0">
      <alignment horizontal="right" vertical="bottom"/>
    </xf>
    <xf numFmtId="170" fontId="30" fillId="4" borderId="24" applyAlignment="1" pivotButton="0" quotePrefix="0" xfId="0">
      <alignment horizontal="right" vertical="bottom"/>
    </xf>
    <xf numFmtId="170" fontId="30" fillId="4" borderId="25" applyAlignment="1" pivotButton="0" quotePrefix="0" xfId="0">
      <alignment horizontal="right" vertical="bottom"/>
    </xf>
    <xf numFmtId="170" fontId="30" fillId="4" borderId="14" applyAlignment="1" pivotButton="0" quotePrefix="0" xfId="0">
      <alignment horizontal="right" vertical="bottom"/>
    </xf>
    <xf numFmtId="170" fontId="42" fillId="4" borderId="14" applyAlignment="1" pivotButton="0" quotePrefix="0" xfId="0">
      <alignment horizontal="right" vertical="bottom"/>
    </xf>
    <xf numFmtId="164" fontId="32" fillId="4" borderId="8" applyAlignment="1" pivotButton="0" quotePrefix="0" xfId="0">
      <alignment vertical="bottom"/>
    </xf>
    <xf numFmtId="164" fontId="32" fillId="4" borderId="9" applyAlignment="1" pivotButton="0" quotePrefix="0" xfId="0">
      <alignment vertical="bottom"/>
    </xf>
    <xf numFmtId="164" fontId="32" fillId="4" borderId="14" applyAlignment="1" pivotButton="0" quotePrefix="0" xfId="0">
      <alignment vertical="bottom"/>
    </xf>
    <xf numFmtId="168" fontId="32" fillId="4" borderId="19" applyAlignment="1" pivotButton="0" quotePrefix="0" xfId="0">
      <alignment horizontal="right" vertical="bottom"/>
    </xf>
    <xf numFmtId="173" fontId="32" fillId="4" borderId="17" applyAlignment="1" pivotButton="0" quotePrefix="0" xfId="0">
      <alignment vertical="bottom"/>
    </xf>
    <xf numFmtId="173" fontId="32" fillId="4" borderId="18" applyAlignment="1" pivotButton="0" quotePrefix="0" xfId="0">
      <alignment vertical="bottom"/>
    </xf>
    <xf numFmtId="173" fontId="32" fillId="4" borderId="14" applyAlignment="1" pivotButton="0" quotePrefix="0" xfId="0">
      <alignment vertical="bottom"/>
    </xf>
    <xf numFmtId="168" fontId="32" fillId="4" borderId="22" applyAlignment="1" pivotButton="0" quotePrefix="0" xfId="0">
      <alignment horizontal="right" vertical="bottom"/>
    </xf>
    <xf numFmtId="168" fontId="32" fillId="4" borderId="20" applyAlignment="1" pivotButton="0" quotePrefix="0" xfId="0">
      <alignment horizontal="right" vertical="bottom"/>
    </xf>
    <xf numFmtId="169" fontId="32" fillId="4" borderId="20" applyAlignment="1" pivotButton="0" quotePrefix="0" xfId="0">
      <alignment horizontal="right" vertical="bottom"/>
    </xf>
    <xf numFmtId="168" fontId="30" fillId="4" borderId="22" applyAlignment="1" pivotButton="0" quotePrefix="0" xfId="0">
      <alignment horizontal="right" vertical="bottom"/>
    </xf>
    <xf numFmtId="169" fontId="30" fillId="4" borderId="20" applyAlignment="1" pivotButton="0" quotePrefix="0" xfId="0">
      <alignment horizontal="right" vertical="bottom"/>
    </xf>
    <xf numFmtId="169" fontId="30" fillId="4" borderId="14" applyAlignment="1" pivotButton="0" quotePrefix="0" xfId="0">
      <alignment horizontal="right" vertical="bottom"/>
    </xf>
    <xf numFmtId="176" fontId="31" fillId="4" borderId="22" applyAlignment="1" pivotButton="0" quotePrefix="0" xfId="0">
      <alignment horizontal="right" vertical="bottom"/>
    </xf>
    <xf numFmtId="173" fontId="31" fillId="4" borderId="20" applyAlignment="1" pivotButton="0" quotePrefix="0" xfId="0">
      <alignment vertical="bottom"/>
    </xf>
    <xf numFmtId="173" fontId="31" fillId="4" borderId="14" applyAlignment="1" pivotButton="0" quotePrefix="0" xfId="0">
      <alignment vertical="bottom"/>
    </xf>
    <xf numFmtId="170" fontId="31" fillId="4" borderId="20" applyAlignment="1" pivotButton="0" quotePrefix="0" xfId="0">
      <alignment vertical="bottom"/>
    </xf>
    <xf numFmtId="170" fontId="31" fillId="4" borderId="14" applyAlignment="1" pivotButton="0" quotePrefix="0" xfId="0">
      <alignment vertical="bottom"/>
    </xf>
    <xf numFmtId="170" fontId="34" fillId="4" borderId="22" applyAlignment="1" pivotButton="0" quotePrefix="0" xfId="0">
      <alignment horizontal="right" vertical="bottom"/>
    </xf>
    <xf numFmtId="173" fontId="32" fillId="4" borderId="24" applyAlignment="1" pivotButton="0" quotePrefix="0" xfId="0">
      <alignment vertical="bottom"/>
    </xf>
    <xf numFmtId="173" fontId="32" fillId="4" borderId="25" applyAlignment="1" pivotButton="0" quotePrefix="0" xfId="0">
      <alignment vertical="bottom"/>
    </xf>
    <xf numFmtId="173" fontId="32" fillId="16" borderId="25" applyAlignment="1" pivotButton="0" quotePrefix="0" xfId="0">
      <alignment vertical="bottom"/>
    </xf>
    <xf numFmtId="169" fontId="30" fillId="4" borderId="25" applyAlignment="1" pivotButton="0" quotePrefix="0" xfId="0">
      <alignment horizontal="right" vertical="bottom"/>
    </xf>
    <xf numFmtId="176" fontId="31" fillId="4" borderId="14" applyAlignment="1" pivotButton="0" quotePrefix="0" xfId="0">
      <alignment horizontal="right" vertical="bottom"/>
    </xf>
    <xf numFmtId="183" fontId="32" fillId="4" borderId="8" applyAlignment="1" pivotButton="0" quotePrefix="0" xfId="0">
      <alignment vertical="bottom"/>
    </xf>
    <xf numFmtId="183" fontId="32" fillId="4" borderId="9" applyAlignment="1" pivotButton="0" quotePrefix="0" xfId="0">
      <alignment vertical="bottom"/>
    </xf>
    <xf numFmtId="165" fontId="36" fillId="11" borderId="9" applyAlignment="1" pivotButton="0" quotePrefix="0" xfId="0">
      <alignment vertical="bottom" wrapText="1"/>
    </xf>
    <xf numFmtId="173" fontId="32" fillId="4" borderId="9" applyAlignment="1" pivotButton="0" quotePrefix="0" xfId="0">
      <alignment vertical="bottom"/>
    </xf>
    <xf numFmtId="169" fontId="31" fillId="4" borderId="14" applyAlignment="1" pivotButton="0" quotePrefix="0" xfId="0">
      <alignment horizontal="right" vertical="bottom"/>
    </xf>
    <xf numFmtId="170" fontId="30" fillId="4" borderId="18" applyAlignment="1" pivotButton="0" quotePrefix="0" xfId="0">
      <alignment horizontal="right" vertical="bottom"/>
    </xf>
    <xf numFmtId="173" fontId="32" fillId="4" borderId="20" applyAlignment="1" pivotButton="0" quotePrefix="0" xfId="0">
      <alignment vertical="bottom"/>
    </xf>
    <xf numFmtId="173" fontId="32" fillId="11" borderId="14" applyAlignment="1" pivotButton="0" quotePrefix="0" xfId="0">
      <alignment vertical="bottom"/>
    </xf>
    <xf numFmtId="171" fontId="32" fillId="4" borderId="14" applyAlignment="1" pivotButton="0" quotePrefix="0" xfId="0">
      <alignment vertical="bottom"/>
    </xf>
    <xf numFmtId="176" fontId="32" fillId="4" borderId="14" applyAlignment="1" pivotButton="0" quotePrefix="0" xfId="0">
      <alignment horizontal="right" vertical="bottom"/>
    </xf>
    <xf numFmtId="173" fontId="45" fillId="11" borderId="22" applyAlignment="1" pivotButton="0" quotePrefix="0" xfId="0">
      <alignment vertical="bottom"/>
    </xf>
    <xf numFmtId="173" fontId="45" fillId="11" borderId="21" applyAlignment="1" pivotButton="0" quotePrefix="0" xfId="0">
      <alignment vertical="bottom"/>
    </xf>
    <xf numFmtId="173" fontId="46" fillId="4" borderId="14" applyAlignment="1" pivotButton="0" quotePrefix="0" xfId="0">
      <alignment vertical="bottom"/>
    </xf>
    <xf numFmtId="170" fontId="32" fillId="4" borderId="14" applyAlignment="1" pivotButton="0" quotePrefix="0" xfId="0">
      <alignment vertical="bottom"/>
    </xf>
    <xf numFmtId="164" fontId="31" fillId="4" borderId="22" applyAlignment="1" pivotButton="0" quotePrefix="0" xfId="0">
      <alignment vertical="bottom"/>
    </xf>
    <xf numFmtId="164" fontId="31" fillId="4" borderId="20" applyAlignment="1" pivotButton="0" quotePrefix="0" xfId="0">
      <alignment vertical="bottom"/>
    </xf>
    <xf numFmtId="164" fontId="31" fillId="4" borderId="14" applyAlignment="1" pivotButton="0" quotePrefix="0" xfId="0">
      <alignment vertical="bottom"/>
    </xf>
    <xf numFmtId="171" fontId="30" fillId="4" borderId="14" applyAlignment="1" pivotButton="0" quotePrefix="0" xfId="0">
      <alignment vertical="bottom"/>
    </xf>
    <xf numFmtId="166" fontId="31" fillId="4" borderId="14" applyAlignment="1" pivotButton="0" quotePrefix="0" xfId="0">
      <alignment vertical="center"/>
    </xf>
    <xf numFmtId="184" fontId="31" fillId="4" borderId="19" applyAlignment="1" pivotButton="0" quotePrefix="0" xfId="0">
      <alignment vertical="bottom"/>
    </xf>
    <xf numFmtId="173" fontId="32" fillId="11" borderId="22" applyAlignment="1" pivotButton="0" quotePrefix="0" xfId="0">
      <alignment vertical="bottom"/>
    </xf>
    <xf numFmtId="173" fontId="32" fillId="11" borderId="19" applyAlignment="1" pivotButton="0" quotePrefix="0" xfId="0">
      <alignment vertical="bottom"/>
    </xf>
    <xf numFmtId="173" fontId="38" fillId="4" borderId="22" applyAlignment="1" pivotButton="0" quotePrefix="0" xfId="0">
      <alignment vertical="bottom"/>
    </xf>
    <xf numFmtId="173" fontId="38" fillId="4" borderId="20" applyAlignment="1" pivotButton="0" quotePrefix="0" xfId="0">
      <alignment vertical="bottom"/>
    </xf>
    <xf numFmtId="173" fontId="38" fillId="4" borderId="14" applyAlignment="1" pivotButton="0" quotePrefix="0" xfId="0">
      <alignment vertical="bottom"/>
    </xf>
    <xf numFmtId="166" fontId="31" fillId="4" borderId="22" applyAlignment="1" pivotButton="0" quotePrefix="0" xfId="0">
      <alignment vertical="center"/>
    </xf>
    <xf numFmtId="183" fontId="31" fillId="4" borderId="22" applyAlignment="1" pivotButton="0" quotePrefix="0" xfId="0">
      <alignment vertical="bottom"/>
    </xf>
    <xf numFmtId="183" fontId="31" fillId="4" borderId="20" applyAlignment="1" pivotButton="0" quotePrefix="0" xfId="0">
      <alignment vertical="bottom"/>
    </xf>
    <xf numFmtId="183" fontId="31" fillId="4" borderId="14" applyAlignment="1" pivotButton="0" quotePrefix="0" xfId="0">
      <alignment vertical="bottom"/>
    </xf>
    <xf numFmtId="169" fontId="0" fillId="4" borderId="14" applyAlignment="1" pivotButton="0" quotePrefix="0" xfId="0">
      <alignment vertical="bottom"/>
    </xf>
    <xf numFmtId="170" fontId="32" fillId="7" borderId="22" applyAlignment="1" pivotButton="0" quotePrefix="0" xfId="0">
      <alignment vertical="bottom"/>
    </xf>
    <xf numFmtId="170" fontId="32" fillId="4" borderId="20" applyAlignment="1" pivotButton="0" quotePrefix="0" xfId="0">
      <alignment vertical="bottom"/>
    </xf>
    <xf numFmtId="175" fontId="31" fillId="4" borderId="22" applyAlignment="1" pivotButton="0" quotePrefix="0" xfId="0">
      <alignment vertical="bottom"/>
    </xf>
    <xf numFmtId="170" fontId="31" fillId="4" borderId="26" applyAlignment="1" pivotButton="0" quotePrefix="0" xfId="0">
      <alignment vertical="bottom"/>
    </xf>
    <xf numFmtId="183" fontId="31" fillId="4" borderId="25" applyAlignment="1" pivotButton="0" quotePrefix="0" xfId="0">
      <alignment vertical="bottom"/>
    </xf>
    <xf numFmtId="170" fontId="31" fillId="4" borderId="22" applyAlignment="1" pivotButton="0" quotePrefix="0" xfId="0">
      <alignment vertical="bottom"/>
    </xf>
    <xf numFmtId="170" fontId="30" fillId="4" borderId="14" applyAlignment="1" pivotButton="0" quotePrefix="0" xfId="0">
      <alignment vertical="bottom"/>
    </xf>
    <xf numFmtId="170" fontId="30" fillId="4" borderId="18" applyAlignment="1" pivotButton="0" quotePrefix="0" xfId="0">
      <alignment vertical="bottom"/>
    </xf>
    <xf numFmtId="170" fontId="32" fillId="7" borderId="26" applyAlignment="1" pivotButton="0" quotePrefix="0" xfId="0">
      <alignment vertical="bottom"/>
    </xf>
    <xf numFmtId="183" fontId="31" fillId="4" borderId="21" applyAlignment="1" pivotButton="0" quotePrefix="0" xfId="0">
      <alignment vertical="bottom"/>
    </xf>
    <xf numFmtId="170" fontId="32" fillId="7" borderId="21" applyAlignment="1" pivotButton="0" quotePrefix="0" xfId="0">
      <alignment vertical="bottom"/>
    </xf>
    <xf numFmtId="183" fontId="31" fillId="4" borderId="14" applyAlignment="1" pivotButton="0" quotePrefix="0" xfId="0">
      <alignment horizontal="right" vertical="bottom"/>
    </xf>
    <xf numFmtId="164" fontId="31" fillId="4" borderId="14" applyAlignment="1" pivotButton="0" quotePrefix="0" xfId="0">
      <alignment horizontal="right" vertical="bottom"/>
    </xf>
    <xf numFmtId="183" fontId="0" fillId="4" borderId="14" applyAlignment="1" pivotButton="0" quotePrefix="0" xfId="0">
      <alignment vertical="bottom"/>
    </xf>
    <xf numFmtId="183" fontId="32" fillId="4" borderId="14" applyAlignment="1" pivotButton="0" quotePrefix="0" xfId="0">
      <alignment vertical="bottom"/>
    </xf>
    <xf numFmtId="185" fontId="0" fillId="4" borderId="14" applyAlignment="1" pivotButton="0" quotePrefix="0" xfId="0">
      <alignment vertical="bottom"/>
    </xf>
    <xf numFmtId="170" fontId="0" fillId="0" borderId="53" applyAlignment="1" pivotButton="0" quotePrefix="0" xfId="0">
      <alignment vertical="bottom"/>
    </xf>
    <xf numFmtId="175" fontId="53" fillId="0" borderId="53" applyAlignment="1" pivotButton="0" quotePrefix="0" xfId="0">
      <alignment vertical="bottom"/>
    </xf>
    <xf numFmtId="175" fontId="53" fillId="0" borderId="57" applyAlignment="1" pivotButton="0" quotePrefix="0" xfId="0">
      <alignment vertical="bottom"/>
    </xf>
    <xf numFmtId="168" fontId="53" fillId="0" borderId="56" applyAlignment="1" pivotButton="0" quotePrefix="0" xfId="0">
      <alignment vertical="bottom"/>
    </xf>
    <xf numFmtId="168" fontId="53" fillId="0" borderId="53" applyAlignment="1" pivotButton="0" quotePrefix="0" xfId="0">
      <alignment vertical="bottom"/>
    </xf>
    <xf numFmtId="170" fontId="53" fillId="0" borderId="53" applyAlignment="1" pivotButton="0" quotePrefix="0" xfId="0">
      <alignment vertical="bottom"/>
    </xf>
    <xf numFmtId="170" fontId="0" fillId="0" borderId="58" applyAlignment="1" pivotButton="0" quotePrefix="0" xfId="0">
      <alignment vertical="bottom"/>
    </xf>
    <xf numFmtId="170" fontId="54" fillId="0" borderId="53" applyAlignment="1" pivotButton="0" quotePrefix="0" xfId="0">
      <alignment vertical="bottom"/>
    </xf>
    <xf numFmtId="170" fontId="0" fillId="0" borderId="57" applyAlignment="1" pivotButton="0" quotePrefix="0" xfId="0">
      <alignment vertical="bottom"/>
    </xf>
    <xf numFmtId="170" fontId="54" fillId="0" borderId="54" applyAlignment="1" pivotButton="0" quotePrefix="0" xfId="0">
      <alignment vertical="bottom"/>
    </xf>
    <xf numFmtId="170" fontId="0" fillId="0" borderId="54" applyAlignment="1" pivotButton="0" quotePrefix="0" xfId="0">
      <alignment vertical="bottom"/>
    </xf>
    <xf numFmtId="170" fontId="41" fillId="0" borderId="53" applyAlignment="1" pivotButton="0" quotePrefix="0" xfId="0">
      <alignment vertical="bottom"/>
    </xf>
    <xf numFmtId="175" fontId="0" fillId="0" borderId="53" applyAlignment="1" pivotButton="0" quotePrefix="0" xfId="0">
      <alignment vertical="bottom"/>
    </xf>
    <xf numFmtId="186" fontId="0" fillId="18" borderId="14" applyAlignment="1" pivotButton="0" quotePrefix="0" xfId="0">
      <alignment vertical="bottom"/>
    </xf>
    <xf numFmtId="187" fontId="0" fillId="0" borderId="53" applyAlignment="1" pivotButton="0" quotePrefix="0" xfId="0">
      <alignment vertical="bottom"/>
    </xf>
    <xf numFmtId="0" fontId="0" fillId="0" borderId="31" pivotButton="0" quotePrefix="0" xfId="0"/>
    <xf numFmtId="164" fontId="0" fillId="0" borderId="40" applyAlignment="1" pivotButton="0" quotePrefix="0" xfId="0">
      <alignment vertical="bottom"/>
    </xf>
    <xf numFmtId="164" fontId="0" fillId="0" borderId="14" applyAlignment="1" pivotButton="0" quotePrefix="0" xfId="0">
      <alignment vertical="bottom"/>
    </xf>
    <xf numFmtId="164" fontId="53" fillId="16" borderId="14" applyAlignment="1" pivotButton="0" quotePrefix="0" xfId="0">
      <alignment horizontal="right" vertical="bottom"/>
    </xf>
    <xf numFmtId="164" fontId="0" fillId="0" borderId="14" applyAlignment="1" pivotButton="0" quotePrefix="0" xfId="0">
      <alignment horizontal="right" vertical="bottom"/>
    </xf>
    <xf numFmtId="164" fontId="0" fillId="0" borderId="31" applyAlignment="1" pivotButton="0" quotePrefix="0" xfId="0">
      <alignment vertical="bottom"/>
    </xf>
    <xf numFmtId="164" fontId="57" fillId="0" borderId="35" applyAlignment="1" pivotButton="0" quotePrefix="0" xfId="0">
      <alignment horizontal="right" vertical="bottom"/>
    </xf>
    <xf numFmtId="49" fontId="0" fillId="4" borderId="15" applyAlignment="1" pivotButton="0" quotePrefix="0" xfId="0">
      <alignment horizontal="left" vertical="bottom" wrapText="1"/>
    </xf>
    <xf numFmtId="0" fontId="0" fillId="0" borderId="15" pivotButton="0" quotePrefix="0" xfId="0"/>
    <xf numFmtId="164" fontId="57" fillId="0" borderId="14" applyAlignment="1" pivotButton="0" quotePrefix="0" xfId="0">
      <alignment horizontal="right" vertical="bottom"/>
    </xf>
    <xf numFmtId="164" fontId="56" fillId="0" borderId="14" applyAlignment="1" pivotButton="0" quotePrefix="0" xfId="0">
      <alignment vertical="bottom"/>
    </xf>
    <xf numFmtId="164" fontId="53" fillId="0" borderId="14" applyAlignment="1" pivotButton="0" quotePrefix="0" xfId="0">
      <alignment horizontal="right" vertical="bottom"/>
    </xf>
    <xf numFmtId="164" fontId="53" fillId="0" borderId="14" applyAlignment="1" pivotButton="0" quotePrefix="0" xfId="0">
      <alignment vertical="bottom"/>
    </xf>
    <xf numFmtId="170" fontId="0" fillId="0" borderId="14" applyAlignment="1" pivotButton="0" quotePrefix="0" xfId="0">
      <alignment vertical="bottom"/>
    </xf>
    <xf numFmtId="166" fontId="0" fillId="0" borderId="14" applyAlignment="1" pivotButton="0" quotePrefix="0" xfId="0">
      <alignment horizontal="right" vertical="bottom"/>
    </xf>
    <xf numFmtId="49" fontId="61" fillId="8" borderId="2" applyAlignment="1" pivotButton="0" quotePrefix="0" xfId="0">
      <alignment horizontal="center" vertical="center"/>
    </xf>
    <xf numFmtId="170" fontId="71" fillId="4" borderId="35" applyAlignment="1" pivotButton="0" quotePrefix="0" xfId="0">
      <alignment horizontal="center" vertical="center"/>
    </xf>
    <xf numFmtId="49" fontId="77" fillId="4" borderId="15" applyAlignment="1" pivotButton="0" quotePrefix="0" xfId="0">
      <alignment vertical="bottom"/>
    </xf>
    <xf numFmtId="188" fontId="76" fillId="4" borderId="18" applyAlignment="1" pivotButton="0" quotePrefix="0" xfId="0">
      <alignment horizontal="left" vertical="bottom"/>
    </xf>
    <xf numFmtId="170" fontId="76" fillId="4" borderId="18" applyAlignment="1" pivotButton="0" quotePrefix="0" xfId="0">
      <alignment horizontal="right" vertical="bottom"/>
    </xf>
    <xf numFmtId="170" fontId="76" fillId="4" borderId="19" applyAlignment="1" pivotButton="0" quotePrefix="0" xfId="0">
      <alignment horizontal="right" vertical="bottom"/>
    </xf>
    <xf numFmtId="171" fontId="0" fillId="4" borderId="20" applyAlignment="1" pivotButton="0" quotePrefix="0" xfId="0">
      <alignment vertical="bottom"/>
    </xf>
    <xf numFmtId="188" fontId="76" fillId="4" borderId="14" applyAlignment="1" pivotButton="0" quotePrefix="0" xfId="0">
      <alignment horizontal="left" vertical="bottom"/>
    </xf>
    <xf numFmtId="170" fontId="76" fillId="4" borderId="14" applyAlignment="1" pivotButton="0" quotePrefix="0" xfId="0">
      <alignment horizontal="right" vertical="bottom"/>
    </xf>
    <xf numFmtId="170" fontId="76" fillId="4" borderId="22" applyAlignment="1" pivotButton="0" quotePrefix="0" xfId="0">
      <alignment horizontal="right" vertical="bottom"/>
    </xf>
    <xf numFmtId="188" fontId="75" fillId="4" borderId="14" applyAlignment="1" pivotButton="0" quotePrefix="0" xfId="0">
      <alignment horizontal="left" vertical="bottom"/>
    </xf>
    <xf numFmtId="170" fontId="75" fillId="4" borderId="14" applyAlignment="1" pivotButton="0" quotePrefix="0" xfId="0">
      <alignment horizontal="right" vertical="bottom"/>
    </xf>
    <xf numFmtId="170" fontId="75" fillId="4" borderId="22" applyAlignment="1" pivotButton="0" quotePrefix="0" xfId="0">
      <alignment horizontal="right" vertical="bottom"/>
    </xf>
    <xf numFmtId="188" fontId="76" fillId="4" borderId="25" applyAlignment="1" pivotButton="0" quotePrefix="0" xfId="0">
      <alignment horizontal="left" vertical="bottom"/>
    </xf>
    <xf numFmtId="189" fontId="76" fillId="4" borderId="25" applyAlignment="1" pivotButton="0" quotePrefix="0" xfId="0">
      <alignment horizontal="right" vertical="bottom" wrapText="1"/>
    </xf>
    <xf numFmtId="189" fontId="76" fillId="4" borderId="26" applyAlignment="1" pivotButton="0" quotePrefix="0" xfId="0">
      <alignment horizontal="right" vertical="bottom" wrapText="1"/>
    </xf>
    <xf numFmtId="189" fontId="0" fillId="4" borderId="14" applyAlignment="1" pivotButton="0" quotePrefix="0" xfId="0">
      <alignment vertical="bottom"/>
    </xf>
    <xf numFmtId="189" fontId="75" fillId="4" borderId="14" applyAlignment="1" pivotButton="0" quotePrefix="0" xfId="0">
      <alignment vertical="bottom"/>
    </xf>
    <xf numFmtId="189" fontId="0" fillId="4" borderId="25" applyAlignment="1" pivotButton="0" quotePrefix="0" xfId="0">
      <alignment vertical="bottom"/>
    </xf>
    <xf numFmtId="170" fontId="76" fillId="4" borderId="16" applyAlignment="1" pivotButton="0" quotePrefix="0" xfId="0">
      <alignment horizontal="right" vertical="bottom"/>
    </xf>
    <xf numFmtId="170" fontId="76" fillId="4" borderId="21" applyAlignment="1" pivotButton="0" quotePrefix="0" xfId="0">
      <alignment horizontal="right" vertical="bottom"/>
    </xf>
    <xf numFmtId="170" fontId="75" fillId="4" borderId="21" applyAlignment="1" pivotButton="0" quotePrefix="0" xfId="0">
      <alignment horizontal="right" vertical="bottom"/>
    </xf>
    <xf numFmtId="170" fontId="76" fillId="4" borderId="25" applyAlignment="1" pivotButton="0" quotePrefix="0" xfId="0">
      <alignment horizontal="right" vertical="bottom"/>
    </xf>
    <xf numFmtId="170" fontId="76" fillId="4" borderId="26" applyAlignment="1" pivotButton="0" quotePrefix="0" xfId="0">
      <alignment horizontal="right" vertical="bottom"/>
    </xf>
    <xf numFmtId="170" fontId="76" fillId="4" borderId="23" applyAlignment="1" pivotButton="0" quotePrefix="0" xfId="0">
      <alignment horizontal="right" vertical="bottom"/>
    </xf>
    <xf numFmtId="189" fontId="0" fillId="4" borderId="18" applyAlignment="1" pivotButton="0" quotePrefix="0" xfId="0">
      <alignment vertical="bottom"/>
    </xf>
    <xf numFmtId="170" fontId="75" fillId="4" borderId="26" applyAlignment="1" pivotButton="0" quotePrefix="0" xfId="0">
      <alignment horizontal="right" vertical="bottom"/>
    </xf>
    <xf numFmtId="0" fontId="0" fillId="0" borderId="18" pivotButton="0" quotePrefix="0" xfId="0"/>
    <xf numFmtId="0" fontId="0" fillId="0" borderId="10" pivotButton="0" quotePrefix="0" xfId="0"/>
    <xf numFmtId="170" fontId="76" fillId="4" borderId="16" applyAlignment="1" pivotButton="0" quotePrefix="0" xfId="0">
      <alignment horizontal="right" vertical="bottom" wrapText="1"/>
    </xf>
    <xf numFmtId="170" fontId="76" fillId="4" borderId="21" applyAlignment="1" pivotButton="0" quotePrefix="0" xfId="0">
      <alignment horizontal="right" vertical="bottom" wrapText="1"/>
    </xf>
    <xf numFmtId="170" fontId="75" fillId="4" borderId="21" applyAlignment="1" pivotButton="0" quotePrefix="0" xfId="0">
      <alignment horizontal="right" vertical="bottom" wrapText="1"/>
    </xf>
    <xf numFmtId="170" fontId="76" fillId="4" borderId="23" applyAlignment="1" pivotButton="0" quotePrefix="0" xfId="0">
      <alignment horizontal="right" vertical="bottom" wrapText="1"/>
    </xf>
    <xf numFmtId="175" fontId="76" fillId="4" borderId="18" applyAlignment="1" pivotButton="0" quotePrefix="0" xfId="0">
      <alignment horizontal="right" vertical="bottom"/>
    </xf>
    <xf numFmtId="189" fontId="75" fillId="4" borderId="29" applyAlignment="1" pivotButton="0" quotePrefix="0" xfId="0">
      <alignment vertical="bottom"/>
    </xf>
    <xf numFmtId="0" fontId="0" fillId="0" borderId="9" pivotButton="0" quotePrefix="0" xfId="0"/>
    <xf numFmtId="166" fontId="76" fillId="4" borderId="18" applyAlignment="1" pivotButton="0" quotePrefix="0" xfId="0">
      <alignment horizontal="right" vertical="bottom"/>
    </xf>
    <xf numFmtId="166" fontId="76" fillId="4" borderId="14" applyAlignment="1" pivotButton="0" quotePrefix="0" xfId="0">
      <alignment horizontal="right" vertical="bottom"/>
    </xf>
    <xf numFmtId="166" fontId="76" fillId="4" borderId="25" applyAlignment="1" pivotButton="0" quotePrefix="0" xfId="0">
      <alignment horizontal="right" vertical="bottom"/>
    </xf>
    <xf numFmtId="189" fontId="76" fillId="4" borderId="14" applyAlignment="1" pivotButton="0" quotePrefix="0" xfId="0">
      <alignment horizontal="right" vertical="bottom"/>
    </xf>
    <xf numFmtId="170" fontId="76" fillId="4" borderId="20" applyAlignment="1" pivotButton="0" quotePrefix="0" xfId="0">
      <alignment horizontal="right" vertical="bottom"/>
    </xf>
    <xf numFmtId="166" fontId="76" fillId="4" borderId="20" applyAlignment="1" pivotButton="0" quotePrefix="0" xfId="0">
      <alignment horizontal="right" vertical="bottom"/>
    </xf>
    <xf numFmtId="189" fontId="75" fillId="7" borderId="14" applyAlignment="1" pivotButton="0" quotePrefix="0" xfId="0">
      <alignment vertical="bottom"/>
    </xf>
    <xf numFmtId="170" fontId="75" fillId="4" borderId="22" applyAlignment="1" pivotButton="0" quotePrefix="0" xfId="0">
      <alignment vertical="bottom"/>
    </xf>
    <xf numFmtId="170" fontId="75" fillId="4" borderId="25" applyAlignment="1" pivotButton="0" quotePrefix="0" xfId="0">
      <alignment horizontal="right" vertical="bottom"/>
    </xf>
    <xf numFmtId="170" fontId="75" fillId="4" borderId="14" applyAlignment="1" pivotButton="0" quotePrefix="0" xfId="0">
      <alignment vertical="bottom"/>
    </xf>
    <xf numFmtId="170" fontId="75" fillId="4" borderId="25" applyAlignment="1" pivotButton="0" quotePrefix="0" xfId="0">
      <alignment vertical="bottom"/>
    </xf>
    <xf numFmtId="170" fontId="75" fillId="4" borderId="26" applyAlignment="1" pivotButton="0" quotePrefix="0" xfId="0">
      <alignment vertical="bottom"/>
    </xf>
    <xf numFmtId="164" fontId="76" fillId="4" borderId="14" applyAlignment="1" pivotButton="0" quotePrefix="0" xfId="0">
      <alignment vertical="bottom"/>
    </xf>
    <xf numFmtId="170" fontId="76" fillId="4" borderId="22" applyAlignment="1" pivotButton="0" quotePrefix="0" xfId="0">
      <alignment vertical="bottom"/>
    </xf>
    <xf numFmtId="164" fontId="75" fillId="4" borderId="14" applyAlignment="1" pivotButton="0" quotePrefix="0" xfId="0">
      <alignment vertical="bottom"/>
    </xf>
    <xf numFmtId="166" fontId="76" fillId="4" borderId="14" applyAlignment="1" pivotButton="0" quotePrefix="0" xfId="0">
      <alignment vertical="bottom"/>
    </xf>
    <xf numFmtId="164" fontId="75" fillId="7" borderId="14" applyAlignment="1" pivotButton="0" quotePrefix="0" xfId="0">
      <alignment vertical="bottom"/>
    </xf>
    <xf numFmtId="164" fontId="75" fillId="7" borderId="25" applyAlignment="1" pivotButton="0" quotePrefix="0" xfId="0">
      <alignment vertical="bottom"/>
    </xf>
    <xf numFmtId="164" fontId="75" fillId="4" borderId="25" applyAlignment="1" pivotButton="0" quotePrefix="0" xfId="0">
      <alignment vertical="bottom"/>
    </xf>
    <xf numFmtId="189" fontId="75" fillId="4" borderId="18" applyAlignment="1" pivotButton="0" quotePrefix="0" xfId="0">
      <alignment vertical="bottom"/>
    </xf>
    <xf numFmtId="170" fontId="75" fillId="4" borderId="19" applyAlignment="1" pivotButton="0" quotePrefix="0" xfId="0">
      <alignment vertical="bottom"/>
    </xf>
    <xf numFmtId="170" fontId="76" fillId="4" borderId="14" applyAlignment="1" pivotButton="0" quotePrefix="0" xfId="0">
      <alignment vertical="bottom"/>
    </xf>
    <xf numFmtId="170" fontId="75" fillId="4" borderId="18" applyAlignment="1" pivotButton="0" quotePrefix="0" xfId="0">
      <alignment vertical="bottom"/>
    </xf>
    <xf numFmtId="164" fontId="75" fillId="4" borderId="25" applyAlignment="1" pivotButton="0" quotePrefix="0" xfId="0">
      <alignment horizontal="right" vertical="bottom"/>
    </xf>
    <xf numFmtId="164" fontId="75" fillId="4" borderId="26" applyAlignment="1" pivotButton="0" quotePrefix="0" xfId="0">
      <alignment horizontal="right" vertical="bottom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00b05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aaaaaa"/>
      <rgbColor rgb="ffc00000"/>
      <rgbColor rgb="ffff0000"/>
      <rgbColor rgb="ffd8d8d8"/>
      <rgbColor rgb="fffbe4d5"/>
      <rgbColor rgb="ffffff00"/>
      <rgbColor rgb="ffe2eeda"/>
      <rgbColor rgb="fffff2cb"/>
      <rgbColor rgb="ffe7e6e6"/>
      <rgbColor rgb="ffcfcfcf"/>
      <rgbColor rgb="ff595959"/>
      <rgbColor rgb="ffc5deb5"/>
      <rgbColor rgb="ffc8c8c8"/>
      <rgbColor rgb="ffececec"/>
      <rgbColor rgb="ffd9dce1"/>
      <rgbColor rgb="ff0070c0"/>
      <rgbColor rgb="ff00ff00"/>
      <rgbColor rgb="ff4472c4"/>
      <rgbColor rgb="ffd9e2f3"/>
      <rgbColor rgb="ffccccff"/>
      <rgbColor rgb="ff8e98a5"/>
      <rgbColor rgb="ffdeeaf6"/>
      <rgbColor rgb="ff00b050"/>
      <rgbColor rgb="fff4b083"/>
      <rgbColor rgb="ff548135"/>
      <rgbColor rgb="ffbf9000"/>
      <rgbColor rgb="ff002856"/>
      <rgbColor rgb="ff0563c1"/>
      <rgbColor rgb="00000000"/>
      <rgbColor rgb="ff9900f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200" b="1" i="0" strike="noStrike">
                <a:solidFill>
                  <a:srgbClr val="595959"/>
                </a:solidFill>
                <a:latin typeface="Calibri"/>
              </a:defRPr>
            </a:pPr>
            <a:r>
              <a:rPr sz="1200" b="1" i="0" strike="noStrike">
                <a:solidFill>
                  <a:srgbClr val="595959"/>
                </a:solidFill>
                <a:latin typeface="Calibri"/>
              </a:rPr>
              <a:t>Text_997</a:t>
            </a:r>
          </a:p>
        </rich>
      </tx>
      <layout>
        <manualLayout>
          <xMode val="edge"/>
          <yMode val="edge"/>
          <wMode val="factor"/>
          <hMode val="factor"/>
          <x val="0.338143"/>
          <y val="0"/>
          <w val="0.323714"/>
          <h val="0.110334"/>
        </manualLayout>
      </layout>
      <overlay val="1"/>
      <spPr>
        <a:noFill/>
        <a:ln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87735"/>
          <y val="0.110334"/>
          <w val="0.807265"/>
          <h val="0.725515"/>
        </manualLayout>
      </layout>
      <barChart>
        <barDir val="col"/>
        <grouping val="stacked"/>
        <varyColors val="0"/>
        <ser>
          <idx val="0"/>
          <order val="0"/>
          <tx>
            <strRef>
              <f>'Model'!$CH$123</f>
              <strCache>
                <ptCount val="1"/>
                <pt idx="0">
                  <v>Text_105</v>
                </pt>
              </strCache>
            </strRef>
          </tx>
          <spPr>
            <a:solidFill>
              <a:schemeClr val="accent1"/>
            </a:solidFill>
            <a:ln w="12700" cap="flat">
              <a:noFill/>
              <a:prstDash val="solid"/>
              <a:miter lim="400000"/>
            </a:ln>
          </spPr>
          <invertIfNegative val="0"/>
          <dLbls>
            <numFmt formatCode="&quot; &quot;#,##0&quot; &quot;;&quot;-&quot;#,##0&quot; &quot;;&quot; '-&quot;??&quot; &quot;"/>
            <txPr>
              <a:bodyPr/>
              <a:lstStyle/>
              <a:p>
                <a:pPr>
                  <a:defRPr sz="1000" b="0" i="0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'Model'!$CI$122:$CP$122</f>
              <strCache>
                <ptCount val="8"/>
                <pt idx="0">
                  <v>CY19</v>
                </pt>
                <pt idx="1">
                  <v>CY20</v>
                </pt>
                <pt idx="2">
                  <v>CY21</v>
                </pt>
                <pt idx="3">
                  <v>CY22</v>
                </pt>
                <pt idx="4">
                  <v>CY23</v>
                </pt>
                <pt idx="5">
                  <v>CY24</v>
                </pt>
                <pt idx="6">
                  <v>CY25</v>
                </pt>
                <pt idx="7">
                  <v>CY26</v>
                </pt>
              </strCache>
            </strRef>
          </cat>
          <val>
            <numRef>
              <f>'Model'!$CI$123:$CP$123</f>
              <numCache>
                <ptCount val="8"/>
                <pt idx="0">
                  <v>18515.943138</v>
                </pt>
                <pt idx="1">
                  <v>24998.505926</v>
                </pt>
                <pt idx="2">
                  <v>33010.887146</v>
                </pt>
                <pt idx="3">
                  <v>33811.633789</v>
                </pt>
                <pt idx="4">
                  <v>30697.964892</v>
                </pt>
                <pt idx="5">
                  <v>32214.821107</v>
                </pt>
                <pt idx="6">
                  <v>35371.387461</v>
                </pt>
                <pt idx="7">
                  <v>40980.956415</v>
                </pt>
              </numCache>
            </numRef>
          </val>
        </ser>
        <ser>
          <idx val="1"/>
          <order val="1"/>
          <tx>
            <strRef>
              <f>'Model'!$CH$124</f>
              <strCache>
                <ptCount val="1"/>
                <pt idx="0">
                  <v>Text_107</v>
                </pt>
              </strCache>
            </strRef>
          </tx>
          <spPr>
            <a:solidFill>
              <a:schemeClr val="accent2"/>
            </a:solidFill>
            <a:ln w="12700" cap="flat">
              <a:noFill/>
              <a:prstDash val="solid"/>
              <a:miter lim="400000"/>
            </a:ln>
          </spPr>
          <invertIfNegative val="0"/>
          <dLbls>
            <numFmt formatCode="&quot; &quot;#,##0&quot; &quot;;&quot;-&quot;#,##0&quot; &quot;;&quot; '-&quot;??&quot; &quot;"/>
            <txPr>
              <a:bodyPr/>
              <a:lstStyle/>
              <a:p>
                <a:pPr>
                  <a:defRPr sz="1000" b="0" i="0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'Model'!$CI$122:$CP$122</f>
              <strCache>
                <ptCount val="8"/>
                <pt idx="0">
                  <v>CY19</v>
                </pt>
                <pt idx="1">
                  <v>CY20</v>
                </pt>
                <pt idx="2">
                  <v>CY21</v>
                </pt>
                <pt idx="3">
                  <v>CY22</v>
                </pt>
                <pt idx="4">
                  <v>CY23</v>
                </pt>
                <pt idx="5">
                  <v>CY24</v>
                </pt>
                <pt idx="6">
                  <v>CY25</v>
                </pt>
                <pt idx="7">
                  <v>CY26</v>
                </pt>
              </strCache>
            </strRef>
          </cat>
          <val>
            <numRef>
              <f>'Model'!$CI$124:$CP$124</f>
              <numCache>
                <ptCount val="8"/>
                <pt idx="0">
                  <v>18769.467539</v>
                </pt>
                <pt idx="1">
                  <v>11044.648045</v>
                </pt>
                <pt idx="2">
                  <v>14702.178905</v>
                </pt>
                <pt idx="3">
                  <v>20705.188256</v>
                </pt>
                <pt idx="4">
                  <v>28882.400055</v>
                </pt>
                <pt idx="5">
                  <v>24416.679911</v>
                </pt>
                <pt idx="6">
                  <v>21832.307672</v>
                </pt>
                <pt idx="7">
                  <v>23504.658496</v>
                </pt>
              </numCache>
            </numRef>
          </val>
        </ser>
        <ser>
          <idx val="2"/>
          <order val="2"/>
          <tx>
            <strRef>
              <f>'Model'!$CH$125</f>
              <strCache>
                <ptCount val="1"/>
                <pt idx="0">
                  <v>Text_108</v>
                </pt>
              </strCache>
            </strRef>
          </tx>
          <spPr>
            <a:solidFill>
              <a:schemeClr val="accent3"/>
            </a:solidFill>
            <a:ln w="12700" cap="flat">
              <a:noFill/>
              <a:prstDash val="solid"/>
              <a:miter lim="400000"/>
            </a:ln>
          </spPr>
          <invertIfNegative val="0"/>
          <dLbls>
            <numFmt formatCode="&quot; &quot;#,##0&quot; &quot;;&quot;-&quot;#,##0&quot; &quot;;&quot; '-&quot;??&quot; &quot;"/>
            <txPr>
              <a:bodyPr/>
              <a:lstStyle/>
              <a:p>
                <a:pPr>
                  <a:defRPr sz="1000" b="0" i="0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BubbleSize val="0"/>
            <showLeaderLines val="0"/>
          </dLbls>
          <cat>
            <strRef>
              <f>'Model'!$CI$122:$CP$122</f>
              <strCache>
                <ptCount val="8"/>
                <pt idx="0">
                  <v>CY19</v>
                </pt>
                <pt idx="1">
                  <v>CY20</v>
                </pt>
                <pt idx="2">
                  <v>CY21</v>
                </pt>
                <pt idx="3">
                  <v>CY22</v>
                </pt>
                <pt idx="4">
                  <v>CY23</v>
                </pt>
                <pt idx="5">
                  <v>CY24</v>
                </pt>
                <pt idx="6">
                  <v>CY25</v>
                </pt>
                <pt idx="7">
                  <v>CY26</v>
                </pt>
              </strCache>
            </strRef>
          </cat>
          <val>
            <numRef>
              <f>'Model'!$CI$125:$CP$125</f>
              <numCache>
                <ptCount val="8"/>
                <pt idx="0">
                  <v>18488.36071</v>
                </pt>
                <pt idx="1">
                  <v>25585.757829</v>
                </pt>
                <pt idx="2">
                  <v>30323.190405</v>
                </pt>
                <pt idx="3">
                  <v>37736.933964</v>
                </pt>
                <pt idx="4">
                  <v>19975.288913</v>
                </pt>
                <pt idx="5">
                  <v>24005.392621</v>
                </pt>
                <pt idx="6">
                  <v>27907.758166</v>
                </pt>
                <pt idx="7">
                  <v>32499.309393</v>
                </pt>
              </numCache>
            </numRef>
          </val>
        </ser>
        <gapWidth val="150"/>
        <overlap val="100"/>
        <axId val="2094734552"/>
        <axId val="2094734553"/>
      </barChart>
      <catAx>
        <axId val="209473455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spPr>
          <a:ln w="12700" cap="flat">
            <a:solidFill>
              <a:srgbClr val="D9D9D9"/>
            </a:solidFill>
            <a:prstDash val="solid"/>
            <a:round/>
          </a:ln>
        </spPr>
        <txPr>
          <a:bodyPr rot="0"/>
          <a:lstStyle/>
          <a:p>
            <a:pPr>
              <a:defRPr sz="900" b="0" i="0" strike="noStrike">
                <a:solidFill>
                  <a:srgbClr val="595959"/>
                </a:solidFill>
                <a:latin typeface="Calibri"/>
              </a:defRPr>
            </a:pPr>
            <a:r>
              <a:t/>
            </a:r>
          </a:p>
        </txPr>
        <crossAx val="2094734553"/>
        <crosses val="autoZero"/>
        <auto val="1"/>
        <lblAlgn val="ctr"/>
        <lblOffset val="100"/>
        <noMultiLvlLbl val="1"/>
      </catAx>
      <valAx>
        <axId val="2094734553"/>
        <scaling>
          <orientation val="minMax"/>
          <max val="130000"/>
          <min val="0"/>
        </scaling>
        <delete val="0"/>
        <axPos val="l"/>
        <majorGridlines>
          <spPr>
            <a:ln w="12700" cap="flat">
              <a:solidFill>
                <a:srgbClr val="D9D9D9"/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ln w="12700" cap="flat">
            <a:noFill/>
            <a:prstDash val="solid"/>
            <a:round/>
          </a:ln>
        </spPr>
        <txPr>
          <a:bodyPr rot="0"/>
          <a:lstStyle/>
          <a:p>
            <a:pPr>
              <a:defRPr sz="900" b="0" i="0" strike="noStrike">
                <a:solidFill>
                  <a:srgbClr val="595959"/>
                </a:solidFill>
                <a:latin typeface="Calibri"/>
              </a:defRPr>
            </a:pPr>
            <a:r>
              <a:t/>
            </a:r>
          </a:p>
        </txPr>
        <crossAx val="2094734552"/>
        <crosses val="autoZero"/>
        <crossBetween val="between"/>
        <majorUnit val="32500"/>
        <minorUnit val="16250"/>
      </valAx>
    </plotArea>
    <legend>
      <legendPos val="b"/>
      <layout>
        <manualLayout>
          <xMode val="edge"/>
          <yMode val="edge"/>
          <wMode val="factor"/>
          <hMode val="factor"/>
          <x val="0.265713"/>
          <y val="0.940952"/>
          <w val="0.554277"/>
          <h val="0.0590483"/>
        </manualLayout>
      </layout>
      <overlay val="1"/>
      <spPr>
        <a:noFill/>
        <a:ln w="12700" cap="flat">
          <a:noFill/>
          <a:prstDash val="solid"/>
          <a:miter lim="400000"/>
        </a:ln>
      </spPr>
      <txPr>
        <a:bodyPr rot="0"/>
        <a:lstStyle/>
        <a:p>
          <a:pPr>
            <a:defRPr sz="900" b="0" i="0" strike="noStrike">
              <a:solidFill>
                <a:srgbClr val="595959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12700" cap="flat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Caroline Ader Thompson</author>
  </authors>
  <commentList>
    <comment ref="AW24" authorId="0" shapeId="0">
      <text>
        <t>Caroline Ader Thompson:
material pullback expected in 2024-25</t>
      </text>
    </comment>
    <comment ref="BD24" authorId="0" shapeId="0">
      <text>
        <t>Caroline Ader Thompson:
guide 29% of sales for CY25</t>
      </text>
    </comment>
    <comment ref="BE24" authorId="0" shapeId="0">
      <text>
        <t>Caroline Ader Thompson:
guide 29% of sales for CY25</t>
      </text>
    </comment>
    <comment ref="BG24" authorId="0" shapeId="0">
      <text>
        <t>Caroline Ader Thompson:
guide 29% of sales for CY25</t>
      </text>
    </comment>
    <comment ref="BH24" authorId="0" shapeId="0">
      <text>
        <t>Caroline Ader Thompson:
guide 29% of sales for CY25</t>
      </text>
    </comment>
    <comment ref="BZ24" authorId="0" shapeId="0">
      <text>
        <t>Caroline Ader Thompson:
LT guide low-twenties maybe 20%</t>
      </text>
    </comment>
    <comment ref="BB33" authorId="0" shapeId="0">
      <text>
        <t>Caroline Ader Thompson:
leading-edge centric</t>
      </text>
    </comment>
    <comment ref="CB50" authorId="0" shapeId="0">
      <text>
        <t>Caroline Ader Thompson:
Driven by market share and intensity gains</t>
      </text>
    </comment>
    <comment ref="CB56" authorId="0" shapeId="0">
      <text>
        <t>Caroline Ader Thompson:
Electronics, Packaging and Components Group</t>
      </text>
    </comment>
    <comment ref="AX59" authorId="0" shapeId="0">
      <text>
        <t>Caroline Ader Thompson:
- KLA recognized a goodwill and purchased intangible asset impairment charge of $219 million for the PCB and display reporting unit, attributed to a weaker long-term outlook, primarily for the flat panel display business. We have begun investigating strategic alternatives for this FPD business, which accounted for 1.4% of total revenue in calendar 2023.</t>
      </text>
    </comment>
    <comment ref="BA71" authorId="0" shapeId="0">
      <text>
        <t>Caroline Ader Thompson:
12-14% growth in CALENDAR 2024</t>
      </text>
    </comment>
    <comment ref="BD71" authorId="0" shapeId="0">
      <text>
        <t>Caroline Ader Thompson:
HSD% in calendar 2025 (hurt by export controls). Target 12-14% LT</t>
      </text>
    </comment>
    <comment ref="BE71" authorId="0" shapeId="0">
      <text>
        <t>Caroline Ader Thompson:
HSD% in calendar 2025 (hurt by export controls). Target 12-14% LT</t>
      </text>
    </comment>
    <comment ref="BF71" authorId="0" shapeId="0">
      <text>
        <t>Caroline Ader Thompson:
12-14% growth in CALENDAR 2024, nearer higher end than lower</t>
      </text>
    </comment>
    <comment ref="BG71" authorId="0" shapeId="0">
      <text>
        <t>Caroline Ader Thompson:
HSD% in calendar 2025 (hurt by export controls). Target 12-14% LT</t>
      </text>
    </comment>
    <comment ref="BH71" authorId="0" shapeId="0">
      <text>
        <t>Caroline Ader Thompson:
HSD% in calendar 2025 (hurt by export controls). Target 12-14% LT</t>
      </text>
    </comment>
    <comment ref="BK71" authorId="0" shapeId="0">
      <text>
        <t>Caroline Ader Thompson:
HSD% in calendar 2025 (hurt by export controls). Target 12-14% LT</t>
      </text>
    </comment>
    <comment ref="BA95" authorId="0" shapeId="0">
      <text>
        <t>Caroline Ader Thompson:
PC + smartphone semi demand to recover; AI driving datacentre investments</t>
      </text>
    </comment>
    <comment ref="BK98" authorId="0" shapeId="0">
      <text>
        <t>Caroline Ader Thompson:
FP est</t>
      </text>
    </comment>
    <comment ref="BP98" authorId="0" shapeId="0">
      <text>
        <t>Caroline Ader Thompson:
FP est</t>
      </text>
    </comment>
    <comment ref="BU98" authorId="0" shapeId="0">
      <text>
        <t>Caroline Ader Thompson:
FP est</t>
      </text>
    </comment>
    <comment ref="BZ98" authorId="0" shapeId="0">
      <text>
        <t>Caroline Ader Thompson:
FP est</t>
      </text>
    </comment>
    <comment ref="BA101" authorId="0" shapeId="0">
      <text>
        <t>Caroline Ader Thompson:
a gradual recovery in memory + leading-edge logic won't be enough to offset a correction at the trailing edge</t>
      </text>
    </comment>
    <comment ref="BA102" authorId="0" shapeId="0">
      <text>
        <t>Caroline Ader Thompson:
JEF Europe team forecast +9% 2024 WFE growth driven by memory rebound + accelerated advanced logic, esp 2nm GAA. China WFE to remain resilient. Some weakness in non-China mature.</t>
      </text>
    </comment>
    <comment ref="BF102" authorId="0" shapeId="0">
      <text>
        <t>Caroline Ader Thompson:
KLA + LRCX guiding +MSD%
Reduced Oct 2024 assuming leading edge push outs (Intel + Samsung) and China less resilient
JEF Europe team forecast +15% 2025 WFE growth driven by memory rebound + accelerated advanced logic, esp 2nm GAA. China WFE to remain resilient. Some weakness in non-China mature.</t>
      </text>
    </comment>
    <comment ref="BP102" authorId="0" shapeId="0">
      <text>
        <t>Caroline Ader Thompson:
assumes downturn</t>
      </text>
    </comment>
    <comment ref="CA103" authorId="0" shapeId="0">
      <text>
        <t>Caroline Ader Thompson:
AMAT think 15-16%</t>
      </text>
    </comment>
    <comment ref="AV105" authorId="0" shapeId="0">
      <text>
        <t>Caroline Ader Thompson:
March 24 call think $90-91bn WFE in '23</t>
      </text>
    </comment>
    <comment ref="BA106" authorId="0" shapeId="0">
      <text>
        <t>Caroline Ader Thompson:
roughly flat to modestly up from CY23 levels</t>
      </text>
    </comment>
    <comment ref="CB107" authorId="0" shapeId="0">
      <text>
        <t>Caroline Ader Thompson:
should outgrow WFE</t>
      </text>
    </comment>
    <comment ref="BF109" authorId="0" shapeId="0">
      <text>
        <t>Caroline Ader Thompson:
FP est</t>
      </text>
    </comment>
    <comment ref="BK109" authorId="0" shapeId="0">
      <text>
        <t>Caroline Ader Thompson:
FP est</t>
      </text>
    </comment>
    <comment ref="BP109" authorId="0" shapeId="0">
      <text>
        <t>Caroline Ader Thompson:
FP est</t>
      </text>
    </comment>
    <comment ref="BU109" authorId="0" shapeId="0">
      <text>
        <t>Caroline Ader Thompson:
FP est</t>
      </text>
    </comment>
    <comment ref="BZ109" authorId="0" shapeId="0">
      <text>
        <t>Caroline Ader Thompson:
FP est</t>
      </text>
    </comment>
    <comment ref="CA111" authorId="0" shapeId="0">
      <text>
        <t>Caroline Ader Thompson:
worst case is 65% Lasertec here and 35% KLA vs 50/50 today, but that's only 10% of KLA revenue</t>
      </text>
    </comment>
    <comment ref="CB111" authorId="0" shapeId="0">
      <text>
        <t>Caroline Ader Thompson:
Usually grows in-line with process control</t>
      </text>
    </comment>
    <comment ref="BF112" authorId="0" shapeId="0">
      <text>
        <t>Caroline Ader Thompson:
guiding above MSD% WFE growth</t>
      </text>
    </comment>
    <comment ref="BA117" authorId="0" shapeId="0">
      <text>
        <t>Caroline Ader Thompson:
expecting flatish on a flat/up WFE number</t>
      </text>
    </comment>
    <comment ref="BA125" authorId="0" shapeId="0">
      <text>
        <t>Caroline Ader Thompson:
low 70%s</t>
      </text>
    </comment>
    <comment ref="BF125" authorId="0" shapeId="0">
      <text>
        <t>Caroline Ader Thompson:
high 60%s</t>
      </text>
    </comment>
    <comment ref="BF127" authorId="0" shapeId="0">
      <text>
        <t>Caroline Ader Thompson:
led by TSMC</t>
      </text>
    </comment>
    <comment ref="BF131" authorId="0" shapeId="0">
      <text>
        <t>Caroline Ader Thompson:
SMIC/UMC/GF/Hua Hong -19% (est)</t>
      </text>
    </comment>
    <comment ref="BA138" authorId="0" shapeId="0">
      <text>
        <t>Caroline Ader Thompson:
HBM = 15% of DRAM</t>
      </text>
    </comment>
    <comment ref="BF138" authorId="0" shapeId="0">
      <text>
        <t>Caroline Ader Thompson:
HBM = 17-18% of DRAM</t>
      </text>
    </comment>
    <comment ref="BK138" authorId="0" shapeId="0">
      <text>
        <t>Caroline Ader Thompson:
HBM = 17-18% of DRAM</t>
      </text>
    </comment>
    <comment ref="AV139" authorId="0" shapeId="0">
      <text>
        <t>Caroline Ader Thompson:
HBM &lt;10% of DRAM</t>
      </text>
    </comment>
    <comment ref="AV143" authorId="0" shapeId="0">
      <text>
        <t>Caroline Ader Thompson:
LAM: NAND WFE in 2023 was down more than 70% year-on-year</t>
      </text>
    </comment>
    <comment ref="BA143" authorId="0" shapeId="0">
      <text>
        <t>Caroline Ader Thompson:
LAM: as we look to 2024, NAND has improved a little bit, but from an equipment spending perspective, very little.</t>
      </text>
    </comment>
    <comment ref="AZ161" authorId="0" shapeId="0">
      <text>
        <t>Caroline Ader Thompson:
sequential growth in foundry/logic – we suspect somewhat biased to advanced logic – is expected to more than offset this</t>
      </text>
    </comment>
    <comment ref="BD161" authorId="0" shapeId="0">
      <text>
        <t>Caroline Ader Thompson:
china sanctions</t>
      </text>
    </comment>
    <comment ref="AZ162" authorId="0" shapeId="0">
      <text>
        <t>Caroline Ader Thompson:
Intel’s outlook was under-whelming, but from a capex perspective their aggressive technology cadence (5 nodes in 4 yrs) means they consistently have immature yields, meaning they need to spend more on process control.</t>
      </text>
    </comment>
    <comment ref="AX163" authorId="0" shapeId="0">
      <text>
        <t>Caroline Ader Thompson:
KLA guide 68%</t>
      </text>
    </comment>
    <comment ref="AY163" authorId="0" shapeId="0">
      <text>
        <t>Caroline Ader Thompson:
60% guide</t>
      </text>
    </comment>
    <comment ref="AZ163" authorId="0" shapeId="0">
      <text>
        <t>Caroline Ader Thompson:
82% guide + reported</t>
      </text>
    </comment>
    <comment ref="BA163" authorId="0" shapeId="0">
      <text>
        <t>Caroline Ader Thompson:
expect ~70%</t>
      </text>
    </comment>
    <comment ref="BB163" authorId="0" shapeId="0">
      <text>
        <t>Caroline Ader Thompson:
80% est.</t>
      </text>
    </comment>
    <comment ref="BC163" authorId="0" shapeId="0">
      <text>
        <t>Caroline Ader Thompson:
76% guide</t>
      </text>
    </comment>
    <comment ref="BD163" authorId="0" shapeId="0">
      <text>
        <t>Caroline Ader Thompson:
73% guide</t>
      </text>
    </comment>
    <comment ref="BF165" authorId="0" shapeId="0">
      <text>
        <t>Caroline Ader Thompson:
get back the $200m push out from leading edge customer</t>
      </text>
    </comment>
    <comment ref="BK168" authorId="0" shapeId="0">
      <text>
        <t>Caroline Ader Thompson:
china drag?</t>
      </text>
    </comment>
    <comment ref="AZ171" authorId="0" shapeId="0">
      <text>
        <t>Caroline Ader Thompson:
DRAM revenue is expected to decline meaningfully, reflecting a downward ebb in China activity</t>
      </text>
    </comment>
    <comment ref="AX173" authorId="0" shapeId="0">
      <text>
        <t>Caroline Ader Thompson:
KLA guide 32%</t>
      </text>
    </comment>
    <comment ref="AY173" authorId="0" shapeId="0">
      <text>
        <t>Caroline Ader Thompson:
40% guide</t>
      </text>
    </comment>
    <comment ref="AZ173" authorId="0" shapeId="0">
      <text>
        <t>Caroline Ader Thompson:
18% given on Q3 call + reported</t>
      </text>
    </comment>
    <comment ref="BD173" authorId="0" shapeId="0">
      <text>
        <t>Caroline Ader Thompson:
27% guide</t>
      </text>
    </comment>
    <comment ref="BF175" authorId="0" shapeId="0">
      <text>
        <t>Caroline Ader Thompson:
China weak but ex-China strong</t>
      </text>
    </comment>
    <comment ref="AW176" authorId="0" shapeId="0">
      <text>
        <t>Caroline Ader Thompson:
Given in text of letter</t>
      </text>
    </comment>
    <comment ref="AZ176" authorId="0" shapeId="0">
      <text>
        <t>Caroline Ader Thompson:
China DRAM down meaningfully</t>
      </text>
    </comment>
    <comment ref="BB176" authorId="0" shapeId="0">
      <text>
        <t>Caroline Ader Thompson:
Given in text of letter</t>
      </text>
    </comment>
    <comment ref="BC176" authorId="0" shapeId="0">
      <text>
        <t>Caroline Ader Thompson:
guide</t>
      </text>
    </comment>
    <comment ref="AY186" authorId="0" shapeId="0">
      <text>
        <t>Caroline Ader Thompson:
Running off the FPD (flat panel display) biz in 2024 - was 1.4% of KLA rev in CY23 ($135m)</t>
      </text>
    </comment>
    <comment ref="AZ186" authorId="0" shapeId="0">
      <text>
        <t>Caroline Ader Thompson:
Running off the FPD (flat panel display) biz in 2024 - was 1.4% of KLA rev in CY23 ($135m)</t>
      </text>
    </comment>
    <comment ref="BF186" authorId="0" shapeId="0">
      <text>
        <t>Caroline Ader Thompson:
Running off the FPD (flat panel display) biz in 2024 - was 1.4% of KLA rev in CY23 ($135m)</t>
      </text>
    </comment>
    <comment ref="BC202" authorId="0" shapeId="0">
      <text>
        <t>Caroline Ader Thompson:
After the 2024 BIS Rules and 2025 BIS Rules were promulgated, we reduced our remaining performance
obligations (“RPO”) by an aggregate of approximately $430 million because we are currently unable to ship the products ordered by affected customers without an export
license, of which approximately 50% was included in the RPO expected to be recognized as revenue in the following 12 months</t>
      </text>
    </comment>
    <comment ref="AZ209" authorId="0" shapeId="0">
      <text>
        <t>Caroline Ader Thompson:
guide</t>
      </text>
    </comment>
    <comment ref="BB209" authorId="0" shapeId="0">
      <text>
        <t>Caroline Ader Thompson:
Guide</t>
      </text>
    </comment>
    <comment ref="BC209" authorId="0" shapeId="0">
      <text>
        <t>Caroline Ader Thompson:
guide</t>
      </text>
    </comment>
    <comment ref="BD209" authorId="0" shapeId="0">
      <text>
        <t>Caroline Ader Thompson:
guide</t>
      </text>
    </comment>
    <comment ref="AZ213" authorId="0" shapeId="0">
      <text>
        <t>Caroline Ader Thompson:
return to sequential growth</t>
      </text>
    </comment>
    <comment ref="AY218" authorId="0" shapeId="0">
      <text>
        <t>Caroline Ader Thompson:
 would have been 62.4% ex FPD exit</t>
      </text>
    </comment>
    <comment ref="AZ218" authorId="0" shapeId="0">
      <text>
        <t>Caroline Ader Thompson:
Guide ~61.5%</t>
      </text>
    </comment>
    <comment ref="BC218" authorId="0" shapeId="0">
      <text>
        <t>Caroline Ader Thompson:
61.5% guide</t>
      </text>
    </comment>
    <comment ref="BD218" authorId="0" shapeId="0">
      <text>
        <t>Caroline Ader Thompson:
year ago would have been 62.4% ex write-down</t>
      </text>
    </comment>
    <comment ref="BF219" authorId="0" shapeId="0">
      <text>
        <t>Caroline Ader Thompson:
prior year impacted by FPD write-down</t>
      </text>
    </comment>
    <comment ref="BF220" authorId="0" shapeId="0">
      <text>
        <t>Caroline Ader Thompson:
our incremental margin model suggests about a 60% to 65% incremental.</t>
      </text>
    </comment>
    <comment ref="AY227" authorId="0" shapeId="0">
      <text>
        <t>Caroline Ader Thompson:
~545m</t>
      </text>
    </comment>
    <comment ref="AZ227" authorId="0" shapeId="0">
      <text>
        <t>Caroline Ader Thompson:
5-10m quarterly growth for remainder of CY24</t>
      </text>
    </comment>
    <comment ref="BB227" authorId="0" shapeId="0">
      <text>
        <t>Caroline Ader Thompson:
565 est</t>
      </text>
    </comment>
    <comment ref="BC227" authorId="0" shapeId="0">
      <text>
        <t>Caroline Ader Thompson:
$580m guide</t>
      </text>
    </comment>
    <comment ref="BD227" authorId="0" shapeId="0">
      <text>
        <t>Caroline Ader Thompson:
585m guide</t>
      </text>
    </comment>
    <comment ref="BF227" authorId="0" shapeId="0">
      <text>
        <t>Caroline Ader Thompson:
 expecting $15m incremental opex per Q</t>
      </text>
    </comment>
    <comment ref="BD240" authorId="0" shapeId="0">
      <text>
        <t>Caroline Ader Thompson:
prior Q impacted by write-down</t>
      </text>
    </comment>
    <comment ref="BD242" authorId="0" shapeId="0">
      <text>
        <t>Caroline Ader Thompson:
year ago impacted by write-down</t>
      </text>
    </comment>
    <comment ref="BF242" authorId="0" shapeId="0">
      <text>
        <t>Caroline Ader Thompson:
lapping a write-down impact in Q324</t>
      </text>
    </comment>
    <comment ref="AY249" authorId="0" shapeId="0">
      <text>
        <t>Caroline Ader Thompson:
$45m net non operating expense guided</t>
      </text>
    </comment>
    <comment ref="AZ249" authorId="0" shapeId="0">
      <text>
        <t>Caroline Ader Thompson:
$38m expense (?)</t>
      </text>
    </comment>
    <comment ref="BC249" authorId="0" shapeId="0">
      <text>
        <t>Caroline Ader Thompson:
$33m guide</t>
      </text>
    </comment>
    <comment ref="BD249" authorId="0" shapeId="0">
      <text>
        <t>Caroline Ader Thompson:
36m guide</t>
      </text>
    </comment>
    <comment ref="BD252" authorId="0" shapeId="0">
      <text>
        <t>Caroline Ader Thompson:
13.5% guide</t>
      </text>
    </comment>
    <comment ref="BK252" authorId="0" shapeId="0">
      <text>
        <t>Caroline Ader Thompson:
14% guide</t>
      </text>
    </comment>
    <comment ref="AY269" authorId="0" shapeId="0">
      <text>
        <t>Caroline Ader Thompson:
135.6m guide</t>
      </text>
    </comment>
    <comment ref="BD269" authorId="0" shapeId="0">
      <text>
        <t>Caroline Ader Thompson:
133.3m guide</t>
      </text>
    </comment>
    <comment ref="AY271" authorId="0" shapeId="0">
      <text>
        <t>Caroline Ader Thompson:
guide updated for FPD run-off</t>
      </text>
    </comment>
    <comment ref="AZ271" authorId="0" shapeId="0">
      <text>
        <t>Caroline Ader Thompson:
guide</t>
      </text>
    </comment>
    <comment ref="BB271" authorId="0" shapeId="0">
      <text>
        <t>Caroline Ader Thompson:
guide</t>
      </text>
    </comment>
    <comment ref="BC271" authorId="0" shapeId="0">
      <text>
        <t>Caroline Ader Thompson:
guide</t>
      </text>
    </comment>
    <comment ref="R274" authorId="0" shapeId="0">
      <text>
        <t>Caroline Ader Thompson:
5.94</t>
      </text>
    </comment>
    <comment ref="W274" authorId="0" shapeId="0">
      <text>
        <t>Caroline Ader Thompson:
8.00</t>
      </text>
    </comment>
    <comment ref="AB274" authorId="0" shapeId="0">
      <text>
        <t>Caroline Ader Thompson:
8.46</t>
      </text>
    </comment>
    <comment ref="AG274" authorId="0" shapeId="0">
      <text>
        <t>Caroline Ader Thompson:
10.35</t>
      </text>
    </comment>
    <comment ref="AL274" authorId="0" shapeId="0">
      <text>
        <t>Caroline Ader Thompson:
14.55</t>
      </text>
    </comment>
    <comment ref="AM274" authorId="0" shapeId="0">
      <text>
        <t>Caroline Ader Thompson:
4.64</t>
      </text>
    </comment>
    <comment ref="AN274" authorId="0" shapeId="0">
      <text>
        <t>Caroline Ader Thompson:
5.59</t>
      </text>
    </comment>
    <comment ref="AO274" authorId="0" shapeId="0">
      <text>
        <t>Caroline Ader Thompson:
5.13</t>
      </text>
    </comment>
    <comment ref="AP274" authorId="0" shapeId="0">
      <text>
        <t>Caroline Ader Thompson:
5.81</t>
      </text>
    </comment>
    <comment ref="AQ274" authorId="0" shapeId="0">
      <text>
        <t>Caroline Ader Thompson:
21.15</t>
      </text>
    </comment>
    <comment ref="AR274" authorId="0" shapeId="0">
      <text>
        <t>Caroline Ader Thompson:
7.06</t>
      </text>
    </comment>
    <comment ref="AS274" authorId="0" shapeId="0">
      <text>
        <t>Caroline Ader Thompson:
7.38</t>
      </text>
    </comment>
    <comment ref="AT274" authorId="0" shapeId="0">
      <text>
        <t>Caroline Ader Thompson:
5.49</t>
      </text>
    </comment>
    <comment ref="AU274" authorId="0" shapeId="0">
      <text>
        <t>Caroline Ader Thompson:
5.40</t>
      </text>
    </comment>
    <comment ref="AV274" authorId="0" shapeId="0">
      <text>
        <t>Caroline Ader Thompson:
25.37</t>
      </text>
    </comment>
    <comment ref="AW274" authorId="0" shapeId="0">
      <text>
        <t>Caroline Ader Thompson:
5.74</t>
      </text>
    </comment>
    <comment ref="AX274" authorId="0" shapeId="0">
      <text>
        <t>Caroline Ader Thompson:
6.16</t>
      </text>
    </comment>
    <comment ref="AY274" authorId="0" shapeId="0">
      <text>
        <t>Caroline Ader Thompson:
5.26</t>
      </text>
    </comment>
    <comment ref="AZ274" authorId="0" shapeId="0">
      <text>
        <t>Caroline Ader Thompson:
6.60</t>
      </text>
    </comment>
    <comment ref="BB274" authorId="0" shapeId="0">
      <text>
        <t>Caroline Ader Thompson:
7.33</t>
      </text>
    </comment>
    <comment ref="BC274" authorId="0" shapeId="0">
      <text>
        <t>Caroline Ader Thompson:
8.20</t>
      </text>
    </comment>
    <comment ref="AY284" authorId="0" shapeId="0">
      <text>
        <t>Caroline Ader Thompson:
non-cash write-off of inventory related to FPD biz they are exiting</t>
      </text>
    </comment>
    <comment ref="AX285" authorId="0" shapeId="0">
      <text>
        <t xml:space="preserve">Caroline Ader Thompson:
flat panel display equipment </t>
      </text>
    </comment>
    <comment ref="AY285" authorId="0" shapeId="0">
      <text>
        <t>Caroline Ader Thompson:
g/will impairment related to FPD biz they are exiting</t>
      </text>
    </comment>
    <comment ref="R295" authorId="0" shapeId="0">
      <text>
        <t>Caroline Ader Thompson:
5.88</t>
      </text>
    </comment>
    <comment ref="W295" authorId="0" shapeId="0">
      <text>
        <t>Caroline Ader Thompson:
5.10</t>
      </text>
    </comment>
    <comment ref="AB295" authorId="0" shapeId="0">
      <text>
        <t>Caroline Ader Thompson:
7.49</t>
      </text>
    </comment>
    <comment ref="AG295" authorId="0" shapeId="0">
      <text>
        <t>Caroline Ader Thompson:
7.70</t>
      </text>
    </comment>
    <comment ref="AL295" authorId="0" shapeId="0">
      <text>
        <t>Caroline Ader Thompson:
13.37</t>
      </text>
    </comment>
    <comment ref="AM295" authorId="0" shapeId="0">
      <text>
        <t>Caroline Ader Thompson:
6.96</t>
      </text>
    </comment>
    <comment ref="AN295" authorId="0" shapeId="0">
      <text>
        <t>Caroline Ader Thompson:
4.71</t>
      </text>
    </comment>
    <comment ref="AO295" authorId="0" shapeId="0">
      <text>
        <t>Caroline Ader Thompson:
4.83</t>
      </text>
    </comment>
    <comment ref="AP295" authorId="0" shapeId="0">
      <text>
        <t>Caroline Ader Thompson:
5.4</t>
      </text>
    </comment>
    <comment ref="AQ295" authorId="0" shapeId="0">
      <text>
        <t>Caroline Ader Thompson:
21.92</t>
      </text>
    </comment>
    <comment ref="AR295" authorId="0" shapeId="0">
      <text>
        <t>Caroline Ader Thompson:
7.20</t>
      </text>
    </comment>
    <comment ref="AS295" authorId="0" shapeId="0">
      <text>
        <t>Caroline Ader Thompson:
6.89</t>
      </text>
    </comment>
    <comment ref="AT295" authorId="0" shapeId="0">
      <text>
        <t>Caroline Ader Thompson:
5.03</t>
      </text>
    </comment>
    <comment ref="AU295" authorId="0" shapeId="0">
      <text>
        <t>Caroline Ader Thompson:
4.97</t>
      </text>
    </comment>
    <comment ref="AV295" authorId="0" shapeId="0">
      <text>
        <t>Caroline Ader Thompson:
24.15</t>
      </text>
    </comment>
    <comment ref="AW295" authorId="0" shapeId="0">
      <text>
        <t>Caroline Ader Thompson:
5.41</t>
      </text>
    </comment>
    <comment ref="AX295" authorId="0" shapeId="0">
      <text>
        <t>Caroline Ader Thompson:
4.28</t>
      </text>
    </comment>
    <comment ref="AY295" authorId="0" shapeId="0">
      <text>
        <t>Caroline Ader Thompson:
4.43</t>
      </text>
    </comment>
    <comment ref="AZ295" authorId="0" shapeId="0">
      <text>
        <t>Caroline Ader Thompson:
6.18</t>
      </text>
    </comment>
    <comment ref="BB295" authorId="0" shapeId="0">
      <text>
        <t>Caroline Ader Thompson:
5.41</t>
      </text>
    </comment>
    <comment ref="BC295" authorId="0" shapeId="0">
      <text>
        <t>Caroline Ader Thompson:
7.45 guide</t>
      </text>
    </comment>
    <comment ref="R312" authorId="0" shapeId="0">
      <text>
        <t>Caroline Ader Thompson:
def system PROFIT</t>
      </text>
    </comment>
    <comment ref="W312" authorId="0" shapeId="0">
      <text>
        <t>Caroline Ader Thompson:
def system PROFIT</t>
      </text>
    </comment>
    <comment ref="AW329" authorId="0" shapeId="0">
      <text>
        <t>Caroline Ader Thompson:
purch of available for sale securities</t>
      </text>
    </comment>
    <comment ref="W371" authorId="0" shapeId="0">
      <text>
        <t>Caroline Ader Thompson:
Deferred system profit</t>
      </text>
    </comment>
    <comment ref="W373" authorId="0" shapeId="0">
      <text>
        <t>Caroline Ader Thompson:
def SERVICE rev</t>
      </text>
    </comment>
    <comment ref="AB373" authorId="0" shapeId="0">
      <text>
        <t>Caroline Ader Thompson:
def SERVICE rev</t>
      </text>
    </comment>
    <comment ref="B404" authorId="0" shapeId="0">
      <text>
        <t>Caroline Ader Thompson:
check formula</t>
      </text>
    </comment>
  </commentList>
</comments>
</file>

<file path=xl/comments/comment2.xml><?xml version="1.0" encoding="utf-8"?>
<comments xmlns="http://schemas.openxmlformats.org/spreadsheetml/2006/main">
  <authors>
    <author>Caroline Ader Thompson</author>
  </authors>
  <commentList>
    <comment ref="N47" authorId="0" shapeId="0">
      <text>
        <t>Caroline Ader Thompson:
prior 25.04</t>
      </text>
    </comment>
    <comment ref="N48" authorId="0" shapeId="0">
      <text>
        <t>Caroline Ader Thompson:
30.56</t>
      </text>
    </comment>
    <comment ref="N49" authorId="0" shapeId="0">
      <text>
        <t>Caroline Ader Thompson:
36.99</t>
      </text>
    </comment>
    <comment ref="N52" authorId="0" shapeId="0">
      <text>
        <t>Caroline Ader Thompson:
grow with algo</t>
      </text>
    </comment>
    <comment ref="AE64" authorId="0" shapeId="0">
      <text>
        <t>Caroline Ader Thompson:
grow with algo</t>
      </text>
    </comment>
    <comment ref="AR64" authorId="0" shapeId="0">
      <text>
        <t>Caroline Ader Thompson:
grow with algo</t>
      </text>
    </comment>
  </commentList>
</comments>
</file>

<file path=xl/comments/comment3.xml><?xml version="1.0" encoding="utf-8"?>
<comments xmlns="http://schemas.openxmlformats.org/spreadsheetml/2006/main">
  <authors>
    <author>Caroline Ader Thompson</author>
  </authors>
  <commentList>
    <comment ref="F5" authorId="0" shapeId="0">
      <text>
        <t>Caroline Ader Thompson:
China restrictions impacted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85</col>
      <colOff>1017370</colOff>
      <row>126</row>
      <rowOff>65062</rowOff>
    </from>
    <to>
      <col>93</col>
      <colOff>335055</colOff>
      <row>141</row>
      <rowOff>29392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asml.com/en/technology/lithography-principles/measuring-accuracy" TargetMode="Externa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19"/>
  <sheetViews>
    <sheetView showGridLines="0" defaultGridColor="1" workbookViewId="0">
      <selection activeCell="A1" sqref="A1"/>
    </sheetView>
  </sheetViews>
  <sheetFormatPr baseColWidth="8" defaultColWidth="9" defaultRowHeight="14.45" customHeight="1" outlineLevelRow="0"/>
  <cols>
    <col width="1.5" customWidth="1" style="1623" min="1" max="1"/>
    <col width="37.5" customWidth="1" style="1623" min="2" max="2"/>
    <col hidden="1" width="9" customWidth="1" style="1623" min="3" max="17"/>
    <col width="10.1719" customWidth="1" style="1623" min="18" max="18"/>
    <col hidden="1" width="9" customWidth="1" style="1623" min="19" max="22"/>
    <col width="10.1719" customWidth="1" style="1623" min="23" max="23"/>
    <col hidden="1" width="9" customWidth="1" style="1623" min="24" max="27"/>
    <col width="10.1719" customWidth="1" style="1623" min="28" max="28"/>
    <col hidden="1" width="9" customWidth="1" style="1623" min="29" max="32"/>
    <col width="10.1719" customWidth="1" style="1623" min="33" max="33"/>
    <col hidden="1" width="9" customWidth="1" style="1623" min="34" max="37"/>
    <col width="10.1719" customWidth="1" style="1623" min="38" max="38"/>
    <col hidden="1" width="9" customWidth="1" style="1623" min="39" max="42"/>
    <col width="10.1719" customWidth="1" style="1623" min="43" max="43"/>
    <col hidden="1" width="9" customWidth="1" style="1623" min="44" max="47"/>
    <col width="10.1719" customWidth="1" style="1623" min="48" max="58"/>
    <col hidden="1" width="9" customWidth="1" style="1623" min="59" max="62"/>
    <col width="10.1719" customWidth="1" style="1623" min="63" max="63"/>
    <col hidden="1" width="9" customWidth="1" style="1623" min="64" max="67"/>
    <col width="10.1719" customWidth="1" style="1623" min="68" max="68"/>
    <col hidden="1" width="9" customWidth="1" style="1623" min="69" max="72"/>
    <col width="10.5" customWidth="1" style="1623" min="73" max="73"/>
    <col hidden="1" width="9" customWidth="1" style="1623" min="74" max="77"/>
    <col width="10.5" customWidth="1" style="1623" min="78" max="78"/>
    <col width="45.1719" customWidth="1" style="1623" min="79" max="79"/>
    <col width="11.1719" customWidth="1" style="1623" min="80" max="80"/>
    <col width="16.3516" customWidth="1" style="1623" min="81" max="81"/>
    <col width="5.5" customWidth="1" style="1623" min="82" max="82"/>
    <col width="4.85156" customWidth="1" style="1623" min="83" max="84"/>
    <col width="9" customWidth="1" style="1623" min="85" max="85"/>
    <col width="15.3516" customWidth="1" style="1623" min="86" max="86"/>
    <col width="9" customWidth="1" style="1623" min="87" max="101"/>
    <col width="9" customWidth="1" style="1623" min="102" max="16384"/>
  </cols>
  <sheetData>
    <row r="1" ht="13.5" customHeight="1" s="1676">
      <c r="A1" s="7" t="n"/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9" t="n"/>
      <c r="AH1" s="9" t="n"/>
      <c r="AI1" s="9" t="n"/>
      <c r="AJ1" s="9" t="n"/>
      <c r="AK1" s="9" t="n"/>
      <c r="AL1" s="9" t="n"/>
      <c r="AM1" s="8" t="n"/>
      <c r="AN1" s="8" t="n"/>
      <c r="AO1" s="8" t="n"/>
      <c r="AP1" s="8" t="n"/>
      <c r="AQ1" s="8" t="n"/>
      <c r="AR1" s="8" t="n"/>
      <c r="AS1" s="8" t="n"/>
      <c r="AT1" s="8" t="n"/>
      <c r="AU1" s="8" t="n"/>
      <c r="AV1" s="8" t="n"/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10" t="n"/>
      <c r="CB1" s="11" t="n"/>
      <c r="CC1" s="11" t="n"/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2" t="n"/>
    </row>
    <row r="2" ht="16.5" customHeight="1" s="1676">
      <c r="A2" s="13" t="n"/>
      <c r="B2" s="14" t="inlineStr">
        <is>
          <t>Text_7</t>
        </is>
      </c>
      <c r="C2" s="711" t="n"/>
      <c r="D2" s="1677" t="n"/>
      <c r="E2" s="1677" t="n"/>
      <c r="F2" s="1677" t="n"/>
      <c r="G2" s="1677" t="n"/>
      <c r="H2" s="17" t="inlineStr">
        <is>
          <t>365</t>
        </is>
      </c>
      <c r="I2" s="1677" t="n">
        <v>93.5517054310933</v>
      </c>
      <c r="J2" s="1677" t="n">
        <v>78.47907851210471</v>
      </c>
      <c r="K2" s="1677" t="n">
        <v>78.47820054023779</v>
      </c>
      <c r="L2" s="1677" t="n">
        <v>74.9142434829225</v>
      </c>
      <c r="M2" s="17" t="inlineStr">
        <is>
          <t>365</t>
        </is>
      </c>
      <c r="N2" s="1677" t="n">
        <v>103.182341247898</v>
      </c>
      <c r="O2" s="1677" t="n">
        <v>94.68058642745279</v>
      </c>
      <c r="P2" s="1677" t="n">
        <v>98.57384183177609</v>
      </c>
      <c r="Q2" s="1677" t="n">
        <v>73.5492755923672</v>
      </c>
      <c r="R2" s="19">
        <f t="array" ref="R2">R3-M3</f>
        <v/>
      </c>
      <c r="S2" s="1677" t="n">
        <v>106.916754677832</v>
      </c>
      <c r="T2" s="1677" t="n">
        <v>103.100912125135</v>
      </c>
      <c r="U2" s="1677" t="n">
        <v>80.5291436286893</v>
      </c>
      <c r="V2" s="1677" t="n">
        <v>79.4184288063385</v>
      </c>
      <c r="W2" s="19">
        <f t="array" ref="W2">W3-R3</f>
        <v/>
      </c>
      <c r="X2" s="1677" t="n">
        <v>78.6025623547236</v>
      </c>
      <c r="Y2" s="1677" t="n">
        <v>83.8744176437272</v>
      </c>
      <c r="Z2" s="1677" t="n">
        <v>91.9011341114135</v>
      </c>
      <c r="AA2" s="1677" t="n">
        <v>88.522798678573</v>
      </c>
      <c r="AB2" s="19">
        <f t="array" ref="AB2">AB3-W3</f>
        <v/>
      </c>
      <c r="AC2" s="1677" t="n">
        <v>0</v>
      </c>
      <c r="AD2" s="1677" t="n">
        <v>0</v>
      </c>
      <c r="AE2" s="1677" t="n">
        <v>0</v>
      </c>
      <c r="AF2" s="1677" t="n">
        <v>0</v>
      </c>
      <c r="AG2" s="1677" t="n">
        <v>0</v>
      </c>
      <c r="AH2" s="1677" t="n">
        <v>0</v>
      </c>
      <c r="AI2" s="1677" t="n">
        <v>0</v>
      </c>
      <c r="AJ2" s="1677" t="n">
        <v>0</v>
      </c>
      <c r="AK2" s="1677" t="n">
        <v>0</v>
      </c>
      <c r="AL2" s="1677" t="n">
        <v>0</v>
      </c>
      <c r="AM2" s="1677" t="n">
        <v>0</v>
      </c>
      <c r="AN2" s="1677" t="n">
        <v>0</v>
      </c>
      <c r="AO2" s="1677" t="n">
        <v>0</v>
      </c>
      <c r="AP2" s="1677" t="n">
        <v>0</v>
      </c>
      <c r="AQ2" s="1677" t="n">
        <v>0</v>
      </c>
      <c r="AR2" s="1677" t="n">
        <v>0</v>
      </c>
      <c r="AS2" s="1677">
        <f t="array" ref="AS2">AN2</f>
        <v/>
      </c>
      <c r="AT2" s="1677" t="n">
        <v>83.4007407032087</v>
      </c>
      <c r="AU2" s="1677" t="n">
        <v>0</v>
      </c>
      <c r="AV2" s="1677" t="n">
        <v>0</v>
      </c>
      <c r="AW2" s="1678" t="n">
        <v>0</v>
      </c>
      <c r="AX2" s="1679">
        <f t="array" ref="AX2">AS2</f>
        <v/>
      </c>
      <c r="AY2" s="1679" t="n">
        <v>95.0714453678946</v>
      </c>
      <c r="AZ2" s="1679" t="n">
        <v>0</v>
      </c>
      <c r="BA2" s="1680" t="n">
        <v>0</v>
      </c>
      <c r="BB2" s="1678" t="n">
        <v>0</v>
      </c>
      <c r="BC2" s="1679">
        <f t="array" ref="BC2">AX2</f>
        <v/>
      </c>
      <c r="BD2" s="1681" t="n">
        <v>77.87757652773431</v>
      </c>
      <c r="BE2" s="1681" t="n">
        <v>83.43406520668189</v>
      </c>
      <c r="BF2" s="1682" t="n">
        <v>0</v>
      </c>
      <c r="BG2" s="1683">
        <f t="array" ref="BG2">BB2</f>
        <v/>
      </c>
      <c r="BH2" s="1683">
        <f t="array" ref="BH2">BC2</f>
        <v/>
      </c>
      <c r="BI2" s="1683" t="n">
        <v>86.1355710958904</v>
      </c>
      <c r="BJ2" s="1683" t="n">
        <v>89.40094742550011</v>
      </c>
      <c r="BK2" s="1683" t="n">
        <v>0</v>
      </c>
      <c r="BL2" s="1683">
        <f t="array" ref="BL2">BG2</f>
        <v/>
      </c>
      <c r="BM2" s="1683">
        <f t="array" ref="BM2">BH2</f>
        <v/>
      </c>
      <c r="BN2" s="1683" t="n">
        <v>101.380404994706</v>
      </c>
      <c r="BO2" s="1683" t="n">
        <v>80.0681256705643</v>
      </c>
      <c r="BP2" s="1683" t="n">
        <v>0</v>
      </c>
      <c r="BQ2" s="1683">
        <f t="array" ref="BQ2">BL2</f>
        <v/>
      </c>
      <c r="BR2" s="1683">
        <f t="array" ref="BR2">BM2</f>
        <v/>
      </c>
      <c r="BS2" s="1683" t="n">
        <v>91.5181335582555</v>
      </c>
      <c r="BT2" s="1683" t="n">
        <v>94.3638903065784</v>
      </c>
      <c r="BU2" s="1683" t="n">
        <v>0</v>
      </c>
      <c r="BV2" s="1683">
        <f t="array" ref="BV2">BQ2</f>
        <v/>
      </c>
      <c r="BW2" s="1683">
        <f t="array" ref="BW2">BR2</f>
        <v/>
      </c>
      <c r="BX2" s="1683" t="n">
        <v>74.49079502300791</v>
      </c>
      <c r="BY2" s="1683" t="n">
        <v>94.9146326092123</v>
      </c>
      <c r="BZ2" s="1684" t="n">
        <v>0</v>
      </c>
      <c r="CA2" s="27" t="inlineStr">
        <is>
          <t>Text_8</t>
        </is>
      </c>
      <c r="CB2" s="28" t="inlineStr">
        <is>
          <t>Text_9</t>
        </is>
      </c>
      <c r="CC2" s="701" t="n"/>
      <c r="CD2" s="701" t="n"/>
      <c r="CE2" s="701" t="n"/>
      <c r="CF2" s="701" t="n"/>
      <c r="CG2" s="701" t="n"/>
      <c r="CH2" s="701" t="n"/>
      <c r="CI2" s="701" t="n"/>
      <c r="CJ2" s="701" t="n"/>
      <c r="CK2" s="701" t="n"/>
      <c r="CL2" s="701" t="n"/>
      <c r="CM2" s="701" t="n"/>
      <c r="CN2" s="701" t="n"/>
      <c r="CO2" s="701" t="n"/>
      <c r="CP2" s="701" t="n"/>
      <c r="CQ2" s="701" t="n"/>
      <c r="CR2" s="701" t="n"/>
      <c r="CS2" s="701" t="n"/>
      <c r="CT2" s="701" t="n"/>
      <c r="CU2" s="701" t="n"/>
      <c r="CV2" s="701" t="n"/>
      <c r="CW2" s="30" t="n"/>
    </row>
    <row r="3" ht="16.5" customHeight="1" s="1676">
      <c r="A3" s="31" t="n"/>
      <c r="B3" s="32" t="n">
        <v>0</v>
      </c>
      <c r="C3" s="33" t="n"/>
      <c r="D3" s="34" t="n"/>
      <c r="E3" s="34" t="n"/>
      <c r="F3" s="34" t="n"/>
      <c r="G3" s="34" t="n"/>
      <c r="H3" s="34" t="n">
        <v>42185</v>
      </c>
      <c r="I3" s="34">
        <f t="array" ref="I3">H3+I2</f>
        <v/>
      </c>
      <c r="J3" s="34">
        <f t="array" ref="J3">I3+J2</f>
        <v/>
      </c>
      <c r="K3" s="34">
        <f t="array" ref="K3">J3+K2</f>
        <v/>
      </c>
      <c r="L3" s="34">
        <f t="array" ref="L3">K3+L2</f>
        <v/>
      </c>
      <c r="M3" s="34">
        <f t="array" ref="M3">EOMONTH(H3,12)</f>
        <v/>
      </c>
      <c r="N3" s="34">
        <f t="array" ref="N3">M3+N2</f>
        <v/>
      </c>
      <c r="O3" s="34">
        <f t="array" ref="O3">N3+O2</f>
        <v/>
      </c>
      <c r="P3" s="34">
        <f t="array" ref="P3">O3+P2</f>
        <v/>
      </c>
      <c r="Q3" s="34">
        <f t="array" ref="Q3">P3+Q2</f>
        <v/>
      </c>
      <c r="R3" s="34">
        <f t="array" ref="R3">EOMONTH(M3,12)</f>
        <v/>
      </c>
      <c r="S3" s="34">
        <f t="array" ref="S3">R3+S2</f>
        <v/>
      </c>
      <c r="T3" s="34">
        <f t="array" ref="T3">S3+T2</f>
        <v/>
      </c>
      <c r="U3" s="34">
        <f t="array" ref="U3">T3+U2</f>
        <v/>
      </c>
      <c r="V3" s="34">
        <f t="array" ref="V3">U3+V2</f>
        <v/>
      </c>
      <c r="W3" s="34">
        <f t="array" ref="W3">EOMONTH(R3,12)</f>
        <v/>
      </c>
      <c r="X3" s="34">
        <f t="array" ref="X3">W3+X2</f>
        <v/>
      </c>
      <c r="Y3" s="34">
        <f t="array" ref="Y3">X3+Y2</f>
        <v/>
      </c>
      <c r="Z3" s="34">
        <f t="array" ref="Z3">Y3+Z2</f>
        <v/>
      </c>
      <c r="AA3" s="34">
        <f t="array" ref="AA3">Z3+AA2</f>
        <v/>
      </c>
      <c r="AB3" s="34">
        <f t="array" ref="AB3">EOMONTH(W3,12)</f>
        <v/>
      </c>
      <c r="AC3" s="34">
        <f t="array" ref="AC3">EOMONTH(AB3,3)</f>
        <v/>
      </c>
      <c r="AD3" s="34">
        <f t="array" ref="AD3">EOMONTH(AC3,3)</f>
        <v/>
      </c>
      <c r="AE3" s="34">
        <f t="array" ref="AE3">EOMONTH(AD3,3)</f>
        <v/>
      </c>
      <c r="AF3" s="34">
        <f t="array" ref="AF3">EOMONTH(AE3,3)</f>
        <v/>
      </c>
      <c r="AG3" s="34">
        <f t="array" ref="AG3">EOMONTH(AB3,12)</f>
        <v/>
      </c>
      <c r="AH3" s="34">
        <f t="array" ref="AH3">EOMONTH(AG3,3)</f>
        <v/>
      </c>
      <c r="AI3" s="34">
        <f t="array" ref="AI3">EOMONTH(AH3,3)</f>
        <v/>
      </c>
      <c r="AJ3" s="34">
        <f t="array" ref="AJ3">EOMONTH(AI3,3)</f>
        <v/>
      </c>
      <c r="AK3" s="34">
        <f t="array" ref="AK3">EOMONTH(AJ3,3)</f>
        <v/>
      </c>
      <c r="AL3" s="34">
        <f t="array" ref="AL3">EOMONTH(AG3,12)</f>
        <v/>
      </c>
      <c r="AM3" s="34">
        <f t="array" ref="AM3">EOMONTH(AL3,3)</f>
        <v/>
      </c>
      <c r="AN3" s="34">
        <f t="array" ref="AN3">EOMONTH(AM3,3)</f>
        <v/>
      </c>
      <c r="AO3" s="34">
        <f t="array" ref="AO3">EOMONTH(AN3,3)</f>
        <v/>
      </c>
      <c r="AP3" s="34">
        <f t="array" ref="AP3">EOMONTH(AO3,3)</f>
        <v/>
      </c>
      <c r="AQ3" s="34">
        <f t="array" ref="AQ3">EOMONTH(AL3,12)</f>
        <v/>
      </c>
      <c r="AR3" s="34">
        <f t="array" ref="AR3">EOMONTH(AQ3,3)</f>
        <v/>
      </c>
      <c r="AS3" s="34">
        <f t="array" ref="AS3">AR3+AS2</f>
        <v/>
      </c>
      <c r="AT3" s="34">
        <f t="array" ref="AT3">AS3+AT2</f>
        <v/>
      </c>
      <c r="AU3" s="34">
        <f t="array" ref="AU3">EOMONTH(AT3,3)</f>
        <v/>
      </c>
      <c r="AV3" s="34">
        <f t="array" ref="AV3">EOMONTH(AQ3,12)</f>
        <v/>
      </c>
      <c r="AW3" s="35">
        <f t="array" ref="AW3">EOMONTH(AV3,3)</f>
        <v/>
      </c>
      <c r="AX3" s="36">
        <f t="array" ref="AX3">AW3+AX2</f>
        <v/>
      </c>
      <c r="AY3" s="36">
        <f t="array" ref="AY3">AX3+AY2</f>
        <v/>
      </c>
      <c r="AZ3" s="36">
        <f t="array" ref="AZ3">EOMONTH(AY3,3)</f>
        <v/>
      </c>
      <c r="BA3" s="37">
        <f t="array" ref="BA3">EOMONTH(AV3,12)</f>
        <v/>
      </c>
      <c r="BB3" s="35">
        <f t="array" ref="BB3">EOMONTH(BA3,3)</f>
        <v/>
      </c>
      <c r="BC3" s="36">
        <f t="array" ref="BC3">BB3+BC2</f>
        <v/>
      </c>
      <c r="BD3" s="38">
        <f t="array" ref="BD3">BC3+BD2</f>
        <v/>
      </c>
      <c r="BE3" s="38">
        <f t="array" ref="BE3">BD3+BE2</f>
        <v/>
      </c>
      <c r="BF3" s="39">
        <f t="array" ref="BF3">EOMONTH(BA3,12)</f>
        <v/>
      </c>
      <c r="BG3" s="40">
        <f t="array" ref="BG3">BF3+BG2</f>
        <v/>
      </c>
      <c r="BH3" s="40">
        <f t="array" ref="BH3">BG3+BH2</f>
        <v/>
      </c>
      <c r="BI3" s="40">
        <f t="array" ref="BI3">BH3+BI2</f>
        <v/>
      </c>
      <c r="BJ3" s="40">
        <f t="array" ref="BJ3">BI3+BJ2</f>
        <v/>
      </c>
      <c r="BK3" s="40">
        <f t="array" ref="BK3">EOMONTH(BF3,12)</f>
        <v/>
      </c>
      <c r="BL3" s="40">
        <f t="array" ref="BL3">BK3+BL2</f>
        <v/>
      </c>
      <c r="BM3" s="40">
        <f t="array" ref="BM3">BL3+BM2</f>
        <v/>
      </c>
      <c r="BN3" s="40">
        <f t="array" ref="BN3">BM3+BN2</f>
        <v/>
      </c>
      <c r="BO3" s="40">
        <f t="array" ref="BO3">BN3+BO2</f>
        <v/>
      </c>
      <c r="BP3" s="40">
        <f t="array" ref="BP3">EOMONTH(BK3,12)</f>
        <v/>
      </c>
      <c r="BQ3" s="40">
        <f t="array" ref="BQ3">BP3+BQ2</f>
        <v/>
      </c>
      <c r="BR3" s="40">
        <f t="array" ref="BR3">BQ3+BR2</f>
        <v/>
      </c>
      <c r="BS3" s="40">
        <f t="array" ref="BS3">BR3+BS2</f>
        <v/>
      </c>
      <c r="BT3" s="40">
        <f t="array" ref="BT3">BS3+BT2</f>
        <v/>
      </c>
      <c r="BU3" s="40">
        <f t="array" ref="BU3">EOMONTH(BP3,12)</f>
        <v/>
      </c>
      <c r="BV3" s="40">
        <f t="array" ref="BV3">BU3+BV2</f>
        <v/>
      </c>
      <c r="BW3" s="40">
        <f t="array" ref="BW3">BV3+BW2</f>
        <v/>
      </c>
      <c r="BX3" s="40">
        <f t="array" ref="BX3">BW3+BX2</f>
        <v/>
      </c>
      <c r="BY3" s="40">
        <f t="array" ref="BY3">BX3+BY2</f>
        <v/>
      </c>
      <c r="BZ3" s="40">
        <f t="array" ref="BZ3">EOMONTH(BU3,12)</f>
        <v/>
      </c>
      <c r="CA3" s="41" t="inlineStr">
        <is>
          <t>Text_10</t>
        </is>
      </c>
      <c r="CB3" s="1685" t="n"/>
      <c r="CC3" s="701" t="n"/>
      <c r="CD3" s="701" t="n"/>
      <c r="CE3" s="701" t="n"/>
      <c r="CF3" s="701" t="n"/>
      <c r="CG3" s="701" t="n"/>
      <c r="CH3" s="701" t="n"/>
      <c r="CI3" s="701" t="n"/>
      <c r="CJ3" s="701" t="n"/>
      <c r="CK3" s="701" t="n"/>
      <c r="CL3" s="701" t="n"/>
      <c r="CM3" s="701" t="n"/>
      <c r="CN3" s="701" t="n"/>
      <c r="CO3" s="701" t="n"/>
      <c r="CP3" s="701" t="n"/>
      <c r="CQ3" s="701" t="n"/>
      <c r="CR3" s="701" t="n"/>
      <c r="CS3" s="701" t="n"/>
      <c r="CT3" s="701" t="n"/>
      <c r="CU3" s="701" t="n"/>
      <c r="CV3" s="701" t="n"/>
      <c r="CW3" s="30" t="n"/>
    </row>
    <row r="4" ht="15" customHeight="1" s="1676">
      <c r="A4" s="31" t="n"/>
      <c r="B4" s="1686" t="n"/>
      <c r="C4" s="699" t="n"/>
      <c r="D4" s="44" t="n"/>
      <c r="E4" s="44" t="n"/>
      <c r="F4" s="44" t="n"/>
      <c r="G4" s="44" t="n"/>
      <c r="H4" s="45" t="inlineStr">
        <is>
          <t>FY15</t>
        </is>
      </c>
      <c r="I4" s="45" t="inlineStr">
        <is>
          <t>Q116</t>
        </is>
      </c>
      <c r="J4" s="45" t="inlineStr">
        <is>
          <t>Q216</t>
        </is>
      </c>
      <c r="K4" s="45" t="inlineStr">
        <is>
          <t>Q316</t>
        </is>
      </c>
      <c r="L4" s="45" t="inlineStr">
        <is>
          <t>Q416</t>
        </is>
      </c>
      <c r="M4" s="45" t="inlineStr">
        <is>
          <t>FY16</t>
        </is>
      </c>
      <c r="N4" s="44">
        <f t="array" ref="N4">LEFT(I4,2)&amp;RIGHT(I4,2)+1</f>
        <v/>
      </c>
      <c r="O4" s="44">
        <f t="array" ref="O4">LEFT(J4,2)&amp;RIGHT(J4,2)+1</f>
        <v/>
      </c>
      <c r="P4" s="44">
        <f t="array" ref="P4">LEFT(K4,2)&amp;RIGHT(K4,2)+1</f>
        <v/>
      </c>
      <c r="Q4" s="44">
        <f t="array" ref="Q4">LEFT(L4,2)&amp;RIGHT(L4,2)+1</f>
        <v/>
      </c>
      <c r="R4" s="44">
        <f t="array" ref="R4">LEFT(M4,2)&amp;RIGHT(M4,2)+1</f>
        <v/>
      </c>
      <c r="S4" s="44">
        <f t="array" ref="S4">LEFT(N4,2)&amp;RIGHT(N4,2)+1</f>
        <v/>
      </c>
      <c r="T4" s="44">
        <f t="array" ref="T4">LEFT(O4,2)&amp;RIGHT(O4,2)+1</f>
        <v/>
      </c>
      <c r="U4" s="44">
        <f t="array" ref="U4">LEFT(P4,2)&amp;RIGHT(P4,2)+1</f>
        <v/>
      </c>
      <c r="V4" s="44">
        <f t="array" ref="V4">LEFT(Q4,2)&amp;RIGHT(Q4,2)+1</f>
        <v/>
      </c>
      <c r="W4" s="44">
        <f t="array" ref="W4">LEFT(R4,2)&amp;RIGHT(R4,2)+1</f>
        <v/>
      </c>
      <c r="X4" s="44">
        <f t="array" ref="X4">LEFT(S4,2)&amp;RIGHT(S4,2)+1</f>
        <v/>
      </c>
      <c r="Y4" s="44">
        <f t="array" ref="Y4">LEFT(T4,2)&amp;RIGHT(T4,2)+1</f>
        <v/>
      </c>
      <c r="Z4" s="44">
        <f t="array" ref="Z4">LEFT(U4,2)&amp;RIGHT(U4,2)+1</f>
        <v/>
      </c>
      <c r="AA4" s="44">
        <f t="array" ref="AA4">LEFT(V4,2)&amp;RIGHT(V4,2)+1</f>
        <v/>
      </c>
      <c r="AB4" s="44">
        <f t="array" ref="AB4">LEFT(W4,2)&amp;RIGHT(W4,2)+1</f>
        <v/>
      </c>
      <c r="AC4" s="44">
        <f t="array" ref="AC4">LEFT(X4,2)&amp;RIGHT(X4,2)+1</f>
        <v/>
      </c>
      <c r="AD4" s="44">
        <f t="array" ref="AD4">LEFT(Y4,2)&amp;RIGHT(Y4,2)+1</f>
        <v/>
      </c>
      <c r="AE4" s="44">
        <f t="array" ref="AE4">LEFT(Z4,2)&amp;RIGHT(Z4,2)+1</f>
        <v/>
      </c>
      <c r="AF4" s="44">
        <f t="array" ref="AF4">LEFT(AA4,2)&amp;RIGHT(AA4,2)+1</f>
        <v/>
      </c>
      <c r="AG4" s="44">
        <f t="array" ref="AG4">LEFT(AB4,2)&amp;RIGHT(AB4,2)+1</f>
        <v/>
      </c>
      <c r="AH4" s="44">
        <f t="array" ref="AH4">LEFT(AC4,2)&amp;RIGHT(AC4,2)+1</f>
        <v/>
      </c>
      <c r="AI4" s="44">
        <f t="array" ref="AI4">LEFT(AD4,2)&amp;RIGHT(AD4,2)+1</f>
        <v/>
      </c>
      <c r="AJ4" s="44">
        <f t="array" ref="AJ4">LEFT(AE4,2)&amp;RIGHT(AE4,2)+1</f>
        <v/>
      </c>
      <c r="AK4" s="44">
        <f t="array" ref="AK4">LEFT(AF4,2)&amp;RIGHT(AF4,2)+1</f>
        <v/>
      </c>
      <c r="AL4" s="44">
        <f t="array" ref="AL4">LEFT(AG4,2)&amp;RIGHT(AG4,2)+1</f>
        <v/>
      </c>
      <c r="AM4" s="44">
        <f t="array" ref="AM4">LEFT(AH4,2)&amp;RIGHT(AH4,2)+1</f>
        <v/>
      </c>
      <c r="AN4" s="44">
        <f t="array" ref="AN4">LEFT(AI4,2)&amp;RIGHT(AI4,2)+1</f>
        <v/>
      </c>
      <c r="AO4" s="44">
        <f t="array" ref="AO4">LEFT(AJ4,2)&amp;RIGHT(AJ4,2)+1</f>
        <v/>
      </c>
      <c r="AP4" s="44">
        <f t="array" ref="AP4">LEFT(AK4,2)&amp;RIGHT(AK4,2)+1</f>
        <v/>
      </c>
      <c r="AQ4" s="44">
        <f t="array" ref="AQ4">LEFT(AL4,2)&amp;RIGHT(AL4,2)+1</f>
        <v/>
      </c>
      <c r="AR4" s="44">
        <f t="array" ref="AR4">LEFT(AM4,2)&amp;RIGHT(AM4,2)+1</f>
        <v/>
      </c>
      <c r="AS4" s="45" t="inlineStr">
        <is>
          <t>Q223</t>
        </is>
      </c>
      <c r="AT4" s="45" t="inlineStr">
        <is>
          <t>Q323</t>
        </is>
      </c>
      <c r="AU4" s="44">
        <f t="array" ref="AU4">LEFT(AP4,2)&amp;RIGHT(AP4,2)+1</f>
        <v/>
      </c>
      <c r="AV4" s="44">
        <f t="array" ref="AV4">LEFT(AQ4,2)&amp;RIGHT(AQ4,2)+1</f>
        <v/>
      </c>
      <c r="AW4" s="46">
        <f t="array" ref="AW4">LEFT(AR4,2)&amp;RIGHT(AR4,2)+1</f>
        <v/>
      </c>
      <c r="AX4" s="47" t="inlineStr">
        <is>
          <t>Q224</t>
        </is>
      </c>
      <c r="AY4" s="47" t="inlineStr">
        <is>
          <t>Q324</t>
        </is>
      </c>
      <c r="AZ4" s="48">
        <f t="array" ref="AZ4">LEFT(AU4,2)&amp;RIGHT(AU4,2)+1</f>
        <v/>
      </c>
      <c r="BA4" s="49">
        <f t="array" ref="BA4">LEFT(AV4,2)&amp;RIGHT(AV4,2)+1</f>
        <v/>
      </c>
      <c r="BB4" s="46">
        <f t="array" ref="BB4">LEFT(AW4,2)&amp;RIGHT(AW4,2)+1</f>
        <v/>
      </c>
      <c r="BC4" s="47" t="inlineStr">
        <is>
          <t>Q225</t>
        </is>
      </c>
      <c r="BD4" s="50" t="inlineStr">
        <is>
          <t>Q325</t>
        </is>
      </c>
      <c r="BE4" s="50" t="inlineStr">
        <is>
          <t>Q425</t>
        </is>
      </c>
      <c r="BF4" s="51">
        <f t="array" ref="BF4">LEFT(BA4,2)&amp;RIGHT(BA4,2)+1</f>
        <v/>
      </c>
      <c r="BG4" s="52" t="inlineStr">
        <is>
          <t>Q126</t>
        </is>
      </c>
      <c r="BH4" s="52" t="inlineStr">
        <is>
          <t>Q226</t>
        </is>
      </c>
      <c r="BI4" s="52" t="inlineStr">
        <is>
          <t>Q326</t>
        </is>
      </c>
      <c r="BJ4" s="52" t="inlineStr">
        <is>
          <t>Q426</t>
        </is>
      </c>
      <c r="BK4" s="53">
        <f t="array" ref="BK4">LEFT(BF4,2)&amp;RIGHT(BF4,2)+1</f>
        <v/>
      </c>
      <c r="BL4" s="52" t="inlineStr">
        <is>
          <t>Q126</t>
        </is>
      </c>
      <c r="BM4" s="52" t="inlineStr">
        <is>
          <t>Q226</t>
        </is>
      </c>
      <c r="BN4" s="52" t="inlineStr">
        <is>
          <t>Q326</t>
        </is>
      </c>
      <c r="BO4" s="52" t="inlineStr">
        <is>
          <t>Q426</t>
        </is>
      </c>
      <c r="BP4" s="53">
        <f t="array" ref="BP4">LEFT(BK4,2)&amp;RIGHT(BK4,2)+1</f>
        <v/>
      </c>
      <c r="BQ4" s="52" t="inlineStr">
        <is>
          <t>Q126</t>
        </is>
      </c>
      <c r="BR4" s="52" t="inlineStr">
        <is>
          <t>Q226</t>
        </is>
      </c>
      <c r="BS4" s="52" t="inlineStr">
        <is>
          <t>Q326</t>
        </is>
      </c>
      <c r="BT4" s="52" t="inlineStr">
        <is>
          <t>Q426</t>
        </is>
      </c>
      <c r="BU4" s="53">
        <f t="array" ref="BU4">LEFT(BP4,2)&amp;RIGHT(BP4,2)+1</f>
        <v/>
      </c>
      <c r="BV4" s="52" t="inlineStr">
        <is>
          <t>Q126</t>
        </is>
      </c>
      <c r="BW4" s="52" t="inlineStr">
        <is>
          <t>Q226</t>
        </is>
      </c>
      <c r="BX4" s="52" t="inlineStr">
        <is>
          <t>Q326</t>
        </is>
      </c>
      <c r="BY4" s="52" t="inlineStr">
        <is>
          <t>Q426</t>
        </is>
      </c>
      <c r="BZ4" s="53">
        <f t="array" ref="BZ4">LEFT(BU4,2)&amp;RIGHT(BU4,2)+1</f>
        <v/>
      </c>
      <c r="CA4" s="1687" t="n">
        <v>0</v>
      </c>
      <c r="CB4" s="1685" t="n"/>
      <c r="CC4" s="701" t="n"/>
      <c r="CD4" s="701" t="n"/>
      <c r="CE4" s="701" t="n"/>
      <c r="CF4" s="701" t="n"/>
      <c r="CG4" s="701" t="n"/>
      <c r="CH4" s="701" t="n"/>
      <c r="CI4" s="701" t="n"/>
      <c r="CJ4" s="701" t="n"/>
      <c r="CK4" s="701" t="n"/>
      <c r="CL4" s="701" t="n"/>
      <c r="CM4" s="701" t="n"/>
      <c r="CN4" s="701" t="n"/>
      <c r="CO4" s="701" t="n"/>
      <c r="CP4" s="701" t="n"/>
      <c r="CQ4" s="701" t="n"/>
      <c r="CR4" s="701" t="n"/>
      <c r="CS4" s="701" t="n"/>
      <c r="CT4" s="701" t="n"/>
      <c r="CU4" s="701" t="n"/>
      <c r="CV4" s="701" t="n"/>
      <c r="CW4" s="30" t="n"/>
    </row>
    <row r="5" ht="12.75" customHeight="1" s="1676">
      <c r="A5" s="31" t="n"/>
      <c r="B5" s="1688" t="n"/>
      <c r="C5" s="805" t="n"/>
      <c r="D5" s="1689" t="n"/>
      <c r="E5" s="1689" t="n"/>
      <c r="F5" s="1689" t="n"/>
      <c r="G5" s="1689" t="n"/>
      <c r="H5" s="57" t="inlineStr">
        <is>
          <t>A</t>
        </is>
      </c>
      <c r="I5" s="57" t="inlineStr">
        <is>
          <t>A</t>
        </is>
      </c>
      <c r="J5" s="57" t="inlineStr">
        <is>
          <t>A</t>
        </is>
      </c>
      <c r="K5" s="57" t="inlineStr">
        <is>
          <t>A</t>
        </is>
      </c>
      <c r="L5" s="57" t="inlineStr">
        <is>
          <t>A</t>
        </is>
      </c>
      <c r="M5" s="57" t="inlineStr">
        <is>
          <t>A</t>
        </is>
      </c>
      <c r="N5" s="57" t="inlineStr">
        <is>
          <t>A</t>
        </is>
      </c>
      <c r="O5" s="57" t="inlineStr">
        <is>
          <t>A</t>
        </is>
      </c>
      <c r="P5" s="57" t="inlineStr">
        <is>
          <t>A</t>
        </is>
      </c>
      <c r="Q5" s="57" t="inlineStr">
        <is>
          <t>A</t>
        </is>
      </c>
      <c r="R5" s="57" t="inlineStr">
        <is>
          <t>A</t>
        </is>
      </c>
      <c r="S5" s="57" t="inlineStr">
        <is>
          <t>A</t>
        </is>
      </c>
      <c r="T5" s="57" t="inlineStr">
        <is>
          <t>A</t>
        </is>
      </c>
      <c r="U5" s="57" t="inlineStr">
        <is>
          <t>A</t>
        </is>
      </c>
      <c r="V5" s="57" t="inlineStr">
        <is>
          <t>A</t>
        </is>
      </c>
      <c r="W5" s="57" t="inlineStr">
        <is>
          <t>A</t>
        </is>
      </c>
      <c r="X5" s="57" t="inlineStr">
        <is>
          <t>A</t>
        </is>
      </c>
      <c r="Y5" s="57" t="inlineStr">
        <is>
          <t>A</t>
        </is>
      </c>
      <c r="Z5" s="57" t="inlineStr">
        <is>
          <t>A</t>
        </is>
      </c>
      <c r="AA5" s="57" t="inlineStr">
        <is>
          <t>A</t>
        </is>
      </c>
      <c r="AB5" s="57" t="inlineStr">
        <is>
          <t>A</t>
        </is>
      </c>
      <c r="AC5" s="57" t="inlineStr">
        <is>
          <t>A</t>
        </is>
      </c>
      <c r="AD5" s="57" t="inlineStr">
        <is>
          <t>A</t>
        </is>
      </c>
      <c r="AE5" s="57" t="inlineStr">
        <is>
          <t>A</t>
        </is>
      </c>
      <c r="AF5" s="57" t="inlineStr">
        <is>
          <t>A</t>
        </is>
      </c>
      <c r="AG5" s="57" t="inlineStr">
        <is>
          <t>A</t>
        </is>
      </c>
      <c r="AH5" s="57" t="inlineStr">
        <is>
          <t>A</t>
        </is>
      </c>
      <c r="AI5" s="57" t="inlineStr">
        <is>
          <t>A</t>
        </is>
      </c>
      <c r="AJ5" s="57" t="inlineStr">
        <is>
          <t>A</t>
        </is>
      </c>
      <c r="AK5" s="57" t="inlineStr">
        <is>
          <t>A</t>
        </is>
      </c>
      <c r="AL5" s="57" t="inlineStr">
        <is>
          <t>A</t>
        </is>
      </c>
      <c r="AM5" s="57" t="inlineStr">
        <is>
          <t>A</t>
        </is>
      </c>
      <c r="AN5" s="57" t="inlineStr">
        <is>
          <t>A</t>
        </is>
      </c>
      <c r="AO5" s="57" t="inlineStr">
        <is>
          <t>A</t>
        </is>
      </c>
      <c r="AP5" s="57" t="inlineStr">
        <is>
          <t>A</t>
        </is>
      </c>
      <c r="AQ5" s="57" t="inlineStr">
        <is>
          <t>A</t>
        </is>
      </c>
      <c r="AR5" s="57" t="inlineStr">
        <is>
          <t>A</t>
        </is>
      </c>
      <c r="AS5" s="57" t="inlineStr">
        <is>
          <t>A</t>
        </is>
      </c>
      <c r="AT5" s="57" t="inlineStr">
        <is>
          <t>A</t>
        </is>
      </c>
      <c r="AU5" s="57" t="inlineStr">
        <is>
          <t>A</t>
        </is>
      </c>
      <c r="AV5" s="57" t="inlineStr">
        <is>
          <t>A</t>
        </is>
      </c>
      <c r="AW5" s="58" t="inlineStr">
        <is>
          <t>A</t>
        </is>
      </c>
      <c r="AX5" s="59" t="inlineStr">
        <is>
          <t>A</t>
        </is>
      </c>
      <c r="AY5" s="59" t="inlineStr">
        <is>
          <t>A</t>
        </is>
      </c>
      <c r="AZ5" s="59" t="inlineStr">
        <is>
          <t>A</t>
        </is>
      </c>
      <c r="BA5" s="60" t="inlineStr">
        <is>
          <t>A</t>
        </is>
      </c>
      <c r="BB5" s="58" t="inlineStr">
        <is>
          <t>A</t>
        </is>
      </c>
      <c r="BC5" s="59" t="inlineStr">
        <is>
          <t>A</t>
        </is>
      </c>
      <c r="BD5" s="61" t="inlineStr">
        <is>
          <t>E</t>
        </is>
      </c>
      <c r="BE5" s="61" t="inlineStr">
        <is>
          <t>E</t>
        </is>
      </c>
      <c r="BF5" s="62" t="inlineStr">
        <is>
          <t>E</t>
        </is>
      </c>
      <c r="BG5" s="63" t="inlineStr">
        <is>
          <t>E</t>
        </is>
      </c>
      <c r="BH5" s="63" t="inlineStr">
        <is>
          <t>E</t>
        </is>
      </c>
      <c r="BI5" s="63" t="inlineStr">
        <is>
          <t>E</t>
        </is>
      </c>
      <c r="BJ5" s="63" t="inlineStr">
        <is>
          <t>E</t>
        </is>
      </c>
      <c r="BK5" s="63" t="inlineStr">
        <is>
          <t>E</t>
        </is>
      </c>
      <c r="BL5" s="63" t="inlineStr">
        <is>
          <t>E</t>
        </is>
      </c>
      <c r="BM5" s="63" t="inlineStr">
        <is>
          <t>E</t>
        </is>
      </c>
      <c r="BN5" s="63" t="inlineStr">
        <is>
          <t>E</t>
        </is>
      </c>
      <c r="BO5" s="63" t="inlineStr">
        <is>
          <t>E</t>
        </is>
      </c>
      <c r="BP5" s="63" t="inlineStr">
        <is>
          <t>E</t>
        </is>
      </c>
      <c r="BQ5" s="63" t="inlineStr">
        <is>
          <t>E</t>
        </is>
      </c>
      <c r="BR5" s="63" t="inlineStr">
        <is>
          <t>E</t>
        </is>
      </c>
      <c r="BS5" s="63" t="inlineStr">
        <is>
          <t>E</t>
        </is>
      </c>
      <c r="BT5" s="63" t="inlineStr">
        <is>
          <t>E</t>
        </is>
      </c>
      <c r="BU5" s="63" t="inlineStr">
        <is>
          <t>E</t>
        </is>
      </c>
      <c r="BV5" s="63" t="inlineStr">
        <is>
          <t>E</t>
        </is>
      </c>
      <c r="BW5" s="63" t="inlineStr">
        <is>
          <t>E</t>
        </is>
      </c>
      <c r="BX5" s="63" t="inlineStr">
        <is>
          <t>E</t>
        </is>
      </c>
      <c r="BY5" s="63" t="inlineStr">
        <is>
          <t>E</t>
        </is>
      </c>
      <c r="BZ5" s="63" t="inlineStr">
        <is>
          <t>E</t>
        </is>
      </c>
      <c r="CA5" s="1690">
        <f t="array" ref="CA5">BC269*CA4</f>
        <v/>
      </c>
      <c r="CB5" s="1685" t="n"/>
      <c r="CC5" s="701" t="n"/>
      <c r="CD5" s="701" t="n"/>
      <c r="CE5" s="701" t="n"/>
      <c r="CF5" s="701" t="n"/>
      <c r="CG5" s="701" t="n"/>
      <c r="CH5" s="701" t="n"/>
      <c r="CI5" s="701" t="n"/>
      <c r="CJ5" s="701" t="n"/>
      <c r="CK5" s="701" t="n"/>
      <c r="CL5" s="701" t="n"/>
      <c r="CM5" s="701" t="n"/>
      <c r="CN5" s="701" t="n"/>
      <c r="CO5" s="701" t="n"/>
      <c r="CP5" s="701" t="n"/>
      <c r="CQ5" s="701" t="n"/>
      <c r="CR5" s="701" t="n"/>
      <c r="CS5" s="701" t="n"/>
      <c r="CT5" s="701" t="n"/>
      <c r="CU5" s="701" t="n"/>
      <c r="CV5" s="701" t="n"/>
      <c r="CW5" s="30" t="n"/>
    </row>
    <row r="6" hidden="1" ht="12.75" customHeight="1" s="1676">
      <c r="A6" s="31" t="n"/>
      <c r="B6" s="65" t="inlineStr">
        <is>
          <t>Text_11</t>
        </is>
      </c>
      <c r="C6" s="66" t="n"/>
      <c r="D6" s="66" t="n"/>
      <c r="E6" s="66" t="n"/>
      <c r="F6" s="66" t="n"/>
      <c r="G6" s="66" t="n"/>
      <c r="H6" s="66" t="n"/>
      <c r="I6" s="67">
        <f t="array" ref="I6">H3</f>
        <v/>
      </c>
      <c r="J6" s="67">
        <f t="array" ref="J6">I3</f>
        <v/>
      </c>
      <c r="K6" s="67">
        <f t="array" ref="K6">J3</f>
        <v/>
      </c>
      <c r="L6" s="67">
        <f t="array" ref="L6">K3</f>
        <v/>
      </c>
      <c r="M6" s="67">
        <f t="array" ref="M6">H3</f>
        <v/>
      </c>
      <c r="N6" s="67">
        <f t="array" ref="N6">M3</f>
        <v/>
      </c>
      <c r="O6" s="67">
        <f t="array" ref="O6">N3</f>
        <v/>
      </c>
      <c r="P6" s="67">
        <f t="array" ref="P6">O3</f>
        <v/>
      </c>
      <c r="Q6" s="67">
        <f t="array" ref="Q6">P3</f>
        <v/>
      </c>
      <c r="R6" s="67">
        <f t="array" ref="R6">M3</f>
        <v/>
      </c>
      <c r="S6" s="67">
        <f t="array" ref="S6">R3</f>
        <v/>
      </c>
      <c r="T6" s="67">
        <f t="array" ref="T6">S3</f>
        <v/>
      </c>
      <c r="U6" s="67">
        <f t="array" ref="U6">T3</f>
        <v/>
      </c>
      <c r="V6" s="67">
        <f t="array" ref="V6">U3</f>
        <v/>
      </c>
      <c r="W6" s="67">
        <f t="array" ref="W6">R3</f>
        <v/>
      </c>
      <c r="X6" s="67">
        <f t="array" ref="X6">W3</f>
        <v/>
      </c>
      <c r="Y6" s="67">
        <f t="array" ref="Y6">X3</f>
        <v/>
      </c>
      <c r="Z6" s="67">
        <f t="array" ref="Z6">Y3</f>
        <v/>
      </c>
      <c r="AA6" s="67">
        <f t="array" ref="AA6">Z3</f>
        <v/>
      </c>
      <c r="AB6" s="67">
        <f t="array" ref="AB6">W3</f>
        <v/>
      </c>
      <c r="AC6" s="67">
        <f t="array" ref="AC6">AB3</f>
        <v/>
      </c>
      <c r="AD6" s="67">
        <f t="array" ref="AD6">AC3</f>
        <v/>
      </c>
      <c r="AE6" s="67">
        <f t="array" ref="AE6">AD3</f>
        <v/>
      </c>
      <c r="AF6" s="67">
        <f t="array" ref="AF6">AE3</f>
        <v/>
      </c>
      <c r="AG6" s="67">
        <f t="array" ref="AG6">AB3</f>
        <v/>
      </c>
      <c r="AH6" s="67">
        <f t="array" ref="AH6">AG3</f>
        <v/>
      </c>
      <c r="AI6" s="67">
        <f t="array" ref="AI6">AH3</f>
        <v/>
      </c>
      <c r="AJ6" s="67">
        <f t="array" ref="AJ6">AI3</f>
        <v/>
      </c>
      <c r="AK6" s="67">
        <f t="array" ref="AK6">AJ3</f>
        <v/>
      </c>
      <c r="AL6" s="67">
        <f t="array" ref="AL6">AG3</f>
        <v/>
      </c>
      <c r="AM6" s="67">
        <f t="array" ref="AM6">AL3</f>
        <v/>
      </c>
      <c r="AN6" s="67">
        <f t="array" ref="AN6">AM3</f>
        <v/>
      </c>
      <c r="AO6" s="67">
        <f t="array" ref="AO6">AN3</f>
        <v/>
      </c>
      <c r="AP6" s="67">
        <f t="array" ref="AP6">AO3</f>
        <v/>
      </c>
      <c r="AQ6" s="67">
        <f t="array" ref="AQ6">AL3</f>
        <v/>
      </c>
      <c r="AR6" s="67">
        <f t="array" ref="AR6">AQ7</f>
        <v/>
      </c>
      <c r="AS6" s="67">
        <f t="array" ref="AS6">AR3</f>
        <v/>
      </c>
      <c r="AT6" s="67">
        <f t="array" ref="AT6">AS3</f>
        <v/>
      </c>
      <c r="AU6" s="67">
        <f t="array" ref="AU6">AT3</f>
        <v/>
      </c>
      <c r="AV6" s="67">
        <f t="array" ref="AV6">AQ3</f>
        <v/>
      </c>
      <c r="AW6" s="68">
        <f t="array" ref="AW6">AV7</f>
        <v/>
      </c>
      <c r="AX6" s="69" t="n"/>
      <c r="AY6" s="69" t="n"/>
      <c r="AZ6" s="70">
        <f t="array" ref="AZ6">AY3</f>
        <v/>
      </c>
      <c r="BA6" s="71">
        <f t="array" ref="BA6">AV3</f>
        <v/>
      </c>
      <c r="BB6" s="72" t="n"/>
      <c r="BC6" s="69" t="n"/>
      <c r="BD6" s="69" t="n"/>
      <c r="BE6" s="69" t="n"/>
      <c r="BF6" s="73" t="n"/>
      <c r="BG6" s="66" t="n"/>
      <c r="BH6" s="66" t="n"/>
      <c r="BI6" s="66" t="n"/>
      <c r="BJ6" s="66" t="n"/>
      <c r="BK6" s="66" t="n"/>
      <c r="BL6" s="66" t="n"/>
      <c r="BM6" s="66" t="n"/>
      <c r="BN6" s="66" t="n"/>
      <c r="BO6" s="66" t="n"/>
      <c r="BP6" s="66" t="n"/>
      <c r="BQ6" s="66" t="n"/>
      <c r="BR6" s="66" t="n"/>
      <c r="BS6" s="66" t="n"/>
      <c r="BT6" s="66" t="n"/>
      <c r="BU6" s="66" t="n"/>
      <c r="BV6" s="66" t="n"/>
      <c r="BW6" s="66" t="n"/>
      <c r="BX6" s="66" t="n"/>
      <c r="BY6" s="66" t="n"/>
      <c r="BZ6" s="66" t="n"/>
      <c r="CA6" s="66" t="n"/>
      <c r="CB6" s="456" t="n"/>
      <c r="CC6" s="701" t="n"/>
      <c r="CD6" s="701" t="n"/>
      <c r="CE6" s="701" t="n"/>
      <c r="CF6" s="701" t="n"/>
      <c r="CG6" s="701" t="n"/>
      <c r="CH6" s="701" t="n"/>
      <c r="CI6" s="701" t="n"/>
      <c r="CJ6" s="701" t="n"/>
      <c r="CK6" s="701" t="n"/>
      <c r="CL6" s="701" t="n"/>
      <c r="CM6" s="701" t="n"/>
      <c r="CN6" s="701" t="n"/>
      <c r="CO6" s="701" t="n"/>
      <c r="CP6" s="701" t="n"/>
      <c r="CQ6" s="701" t="n"/>
      <c r="CR6" s="701" t="n"/>
      <c r="CS6" s="701" t="n"/>
      <c r="CT6" s="701" t="n"/>
      <c r="CU6" s="701" t="n"/>
      <c r="CV6" s="701" t="n"/>
      <c r="CW6" s="30" t="n"/>
    </row>
    <row r="7" hidden="1" ht="12.75" customHeight="1" s="1676">
      <c r="A7" s="31" t="n"/>
      <c r="B7" s="65" t="inlineStr">
        <is>
          <t>Text_12</t>
        </is>
      </c>
      <c r="C7" s="66" t="n"/>
      <c r="D7" s="66" t="n"/>
      <c r="E7" s="66" t="n"/>
      <c r="F7" s="66" t="n"/>
      <c r="G7" s="66" t="n"/>
      <c r="H7" s="66" t="n"/>
      <c r="I7" s="67">
        <f t="array" ref="I7">I3</f>
        <v/>
      </c>
      <c r="J7" s="67">
        <f t="array" ref="J7">J3</f>
        <v/>
      </c>
      <c r="K7" s="67">
        <f t="array" ref="K7">K3</f>
        <v/>
      </c>
      <c r="L7" s="67">
        <f t="array" ref="L7">L3</f>
        <v/>
      </c>
      <c r="M7" s="67">
        <f t="array" ref="M7">M3</f>
        <v/>
      </c>
      <c r="N7" s="67">
        <f t="array" ref="N7">N3</f>
        <v/>
      </c>
      <c r="O7" s="67">
        <f t="array" ref="O7">O3</f>
        <v/>
      </c>
      <c r="P7" s="67">
        <f t="array" ref="P7">P3</f>
        <v/>
      </c>
      <c r="Q7" s="67">
        <f t="array" ref="Q7">Q3</f>
        <v/>
      </c>
      <c r="R7" s="67">
        <f t="array" ref="R7">R3</f>
        <v/>
      </c>
      <c r="S7" s="67">
        <f t="array" ref="S7">S3</f>
        <v/>
      </c>
      <c r="T7" s="67">
        <f t="array" ref="T7">T3</f>
        <v/>
      </c>
      <c r="U7" s="67">
        <f t="array" ref="U7">U3</f>
        <v/>
      </c>
      <c r="V7" s="67">
        <f t="array" ref="V7">V3</f>
        <v/>
      </c>
      <c r="W7" s="67">
        <f t="array" ref="W7">W3</f>
        <v/>
      </c>
      <c r="X7" s="67">
        <f t="array" ref="X7">X3</f>
        <v/>
      </c>
      <c r="Y7" s="67">
        <f t="array" ref="Y7">Y3</f>
        <v/>
      </c>
      <c r="Z7" s="67">
        <f t="array" ref="Z7">Z3</f>
        <v/>
      </c>
      <c r="AA7" s="67">
        <f t="array" ref="AA7">AA3</f>
        <v/>
      </c>
      <c r="AB7" s="67">
        <f t="array" ref="AB7">AB3</f>
        <v/>
      </c>
      <c r="AC7" s="67">
        <f t="array" ref="AC7">AC3</f>
        <v/>
      </c>
      <c r="AD7" s="67">
        <f t="array" ref="AD7">AD3</f>
        <v/>
      </c>
      <c r="AE7" s="67">
        <f t="array" ref="AE7">AE3</f>
        <v/>
      </c>
      <c r="AF7" s="67">
        <f t="array" ref="AF7">AF3</f>
        <v/>
      </c>
      <c r="AG7" s="67">
        <f t="array" ref="AG7">AG3</f>
        <v/>
      </c>
      <c r="AH7" s="67">
        <f t="array" ref="AH7">AH3</f>
        <v/>
      </c>
      <c r="AI7" s="67">
        <f t="array" ref="AI7">AI3</f>
        <v/>
      </c>
      <c r="AJ7" s="67">
        <f t="array" ref="AJ7">AJ3</f>
        <v/>
      </c>
      <c r="AK7" s="67">
        <f t="array" ref="AK7">AK3</f>
        <v/>
      </c>
      <c r="AL7" s="67">
        <f t="array" ref="AL7">AL3</f>
        <v/>
      </c>
      <c r="AM7" s="67">
        <f t="array" ref="AM7">AM3</f>
        <v/>
      </c>
      <c r="AN7" s="67">
        <f t="array" ref="AN7">AN3</f>
        <v/>
      </c>
      <c r="AO7" s="67">
        <f t="array" ref="AO7">AO3</f>
        <v/>
      </c>
      <c r="AP7" s="67">
        <f t="array" ref="AP7">AP3</f>
        <v/>
      </c>
      <c r="AQ7" s="67">
        <f t="array" ref="AQ7">AQ3</f>
        <v/>
      </c>
      <c r="AR7" s="67">
        <f t="array" ref="AR7">AR3</f>
        <v/>
      </c>
      <c r="AS7" s="67">
        <f t="array" ref="AS7">AS3</f>
        <v/>
      </c>
      <c r="AT7" s="67">
        <f t="array" ref="AT7">AT3</f>
        <v/>
      </c>
      <c r="AU7" s="67">
        <f t="array" ref="AU7">AU3</f>
        <v/>
      </c>
      <c r="AV7" s="67">
        <f t="array" ref="AV7">AV3</f>
        <v/>
      </c>
      <c r="AW7" s="68">
        <f t="array" ref="AW7">AW3</f>
        <v/>
      </c>
      <c r="AX7" s="69" t="n"/>
      <c r="AY7" s="69" t="n"/>
      <c r="AZ7" s="70">
        <f t="array" ref="AZ7">AZ3</f>
        <v/>
      </c>
      <c r="BA7" s="71">
        <f t="array" ref="BA7">BA3</f>
        <v/>
      </c>
      <c r="BB7" s="72" t="n"/>
      <c r="BC7" s="69" t="n"/>
      <c r="BD7" s="69" t="n"/>
      <c r="BE7" s="69" t="n"/>
      <c r="BF7" s="73" t="n"/>
      <c r="BG7" s="66" t="n"/>
      <c r="BH7" s="66" t="n"/>
      <c r="BI7" s="66" t="n"/>
      <c r="BJ7" s="66" t="n"/>
      <c r="BK7" s="66" t="n"/>
      <c r="BL7" s="66" t="n"/>
      <c r="BM7" s="66" t="n"/>
      <c r="BN7" s="66" t="n"/>
      <c r="BO7" s="66" t="n"/>
      <c r="BP7" s="66" t="n"/>
      <c r="BQ7" s="66" t="n"/>
      <c r="BR7" s="66" t="n"/>
      <c r="BS7" s="66" t="n"/>
      <c r="BT7" s="66" t="n"/>
      <c r="BU7" s="66" t="n"/>
      <c r="BV7" s="66" t="n"/>
      <c r="BW7" s="66" t="n"/>
      <c r="BX7" s="66" t="n"/>
      <c r="BY7" s="66" t="n"/>
      <c r="BZ7" s="66" t="n"/>
      <c r="CA7" s="66" t="n"/>
      <c r="CB7" s="456" t="n"/>
      <c r="CC7" s="701" t="n"/>
      <c r="CD7" s="701" t="n"/>
      <c r="CE7" s="701" t="n"/>
      <c r="CF7" s="701" t="n"/>
      <c r="CG7" s="701" t="n"/>
      <c r="CH7" s="701" t="n"/>
      <c r="CI7" s="701" t="n"/>
      <c r="CJ7" s="701" t="n"/>
      <c r="CK7" s="701" t="n"/>
      <c r="CL7" s="701" t="n"/>
      <c r="CM7" s="701" t="n"/>
      <c r="CN7" s="701" t="n"/>
      <c r="CO7" s="701" t="n"/>
      <c r="CP7" s="701" t="n"/>
      <c r="CQ7" s="701" t="n"/>
      <c r="CR7" s="701" t="n"/>
      <c r="CS7" s="701" t="n"/>
      <c r="CT7" s="701" t="n"/>
      <c r="CU7" s="701" t="n"/>
      <c r="CV7" s="701" t="n"/>
      <c r="CW7" s="30" t="n"/>
    </row>
    <row r="8" hidden="1" ht="12.75" customHeight="1" s="1676">
      <c r="A8" s="74" t="n"/>
      <c r="B8" s="1691" t="n"/>
      <c r="C8" s="69" t="n"/>
      <c r="D8" s="1691" t="n"/>
      <c r="E8" s="1691" t="n"/>
      <c r="F8" s="1691" t="n"/>
      <c r="G8" s="1691" t="n"/>
      <c r="H8" s="1691" t="n"/>
      <c r="I8" s="1691" t="n"/>
      <c r="J8" s="1691" t="n"/>
      <c r="K8" s="1691" t="n"/>
      <c r="L8" s="1691" t="n"/>
      <c r="M8" s="1691" t="n"/>
      <c r="N8" s="1691" t="n"/>
      <c r="O8" s="1691" t="n"/>
      <c r="P8" s="1691" t="n"/>
      <c r="Q8" s="1691" t="n"/>
      <c r="R8" s="1691" t="n"/>
      <c r="S8" s="1691" t="n"/>
      <c r="T8" s="1691" t="n"/>
      <c r="U8" s="1691" t="n"/>
      <c r="V8" s="1691" t="n"/>
      <c r="W8" s="1691" t="n"/>
      <c r="X8" s="1691" t="n"/>
      <c r="Y8" s="1691" t="n"/>
      <c r="Z8" s="1691" t="n"/>
      <c r="AA8" s="1691" t="n"/>
      <c r="AB8" s="1691" t="n"/>
      <c r="AC8" s="1691" t="n"/>
      <c r="AD8" s="1691" t="n"/>
      <c r="AE8" s="1691" t="n"/>
      <c r="AF8" s="1691" t="n"/>
      <c r="AG8" s="1691" t="n"/>
      <c r="AH8" s="1691" t="n"/>
      <c r="AI8" s="1691" t="n"/>
      <c r="AJ8" s="1691" t="n"/>
      <c r="AK8" s="1691" t="n"/>
      <c r="AL8" s="1691" t="n"/>
      <c r="AM8" s="1691" t="n"/>
      <c r="AN8" s="1691" t="n"/>
      <c r="AO8" s="1691" t="n"/>
      <c r="AP8" s="1691" t="n"/>
      <c r="AQ8" s="1691" t="n"/>
      <c r="AR8" s="1691" t="n"/>
      <c r="AS8" s="1691" t="n"/>
      <c r="AT8" s="1691" t="n"/>
      <c r="AU8" s="1691" t="n"/>
      <c r="AV8" s="1691" t="n"/>
      <c r="AW8" s="1691" t="n"/>
      <c r="AX8" s="1691" t="n"/>
      <c r="AY8" s="1691" t="n"/>
      <c r="AZ8" s="1691" t="n"/>
      <c r="BA8" s="1691" t="n"/>
      <c r="BB8" s="1691" t="n"/>
      <c r="BC8" s="1691" t="n"/>
      <c r="BD8" s="1691" t="n"/>
      <c r="BE8" s="1691" t="n"/>
      <c r="BF8" s="1691" t="n"/>
      <c r="BG8" s="1691" t="n"/>
      <c r="BH8" s="1691" t="n"/>
      <c r="BI8" s="1691" t="n"/>
      <c r="BJ8" s="1691" t="n"/>
      <c r="BK8" s="1691" t="n"/>
      <c r="BL8" s="1691" t="n"/>
      <c r="BM8" s="1691" t="n"/>
      <c r="BN8" s="1691" t="n"/>
      <c r="BO8" s="1691" t="n"/>
      <c r="BP8" s="1691" t="n"/>
      <c r="BQ8" s="1691" t="n"/>
      <c r="BR8" s="1691" t="n"/>
      <c r="BS8" s="1691" t="n"/>
      <c r="BT8" s="1691" t="n"/>
      <c r="BU8" s="1691" t="n"/>
      <c r="BV8" s="1691" t="n"/>
      <c r="BW8" s="1691" t="n"/>
      <c r="BX8" s="1691" t="n"/>
      <c r="BY8" s="1691" t="n"/>
      <c r="BZ8" s="1691" t="n"/>
      <c r="CA8" s="1691" t="n"/>
      <c r="CB8" s="701" t="n"/>
      <c r="CC8" s="701" t="n"/>
      <c r="CD8" s="701" t="n"/>
      <c r="CE8" s="701" t="n"/>
      <c r="CF8" s="701" t="n"/>
      <c r="CG8" s="701" t="n"/>
      <c r="CH8" s="701" t="n"/>
      <c r="CI8" s="701" t="n"/>
      <c r="CJ8" s="701" t="n"/>
      <c r="CK8" s="701" t="n"/>
      <c r="CL8" s="701" t="n"/>
      <c r="CM8" s="701" t="n"/>
      <c r="CN8" s="701" t="n"/>
      <c r="CO8" s="701" t="n"/>
      <c r="CP8" s="701" t="n"/>
      <c r="CQ8" s="701" t="n"/>
      <c r="CR8" s="701" t="n"/>
      <c r="CS8" s="701" t="n"/>
      <c r="CT8" s="701" t="n"/>
      <c r="CU8" s="701" t="n"/>
      <c r="CV8" s="701" t="n"/>
      <c r="CW8" s="30" t="n"/>
    </row>
    <row r="9" hidden="1" ht="12" customHeight="1" s="1676">
      <c r="A9" s="31" t="n"/>
      <c r="B9" s="76" t="inlineStr">
        <is>
          <t>Text_13</t>
        </is>
      </c>
      <c r="C9" s="66" t="n"/>
      <c r="D9" s="1692" t="n"/>
      <c r="E9" s="1692" t="n"/>
      <c r="F9" s="1692" t="n"/>
      <c r="G9" s="1692" t="n"/>
      <c r="H9" s="1692" t="n"/>
      <c r="I9" s="1692" t="n"/>
      <c r="J9" s="1692" t="n"/>
      <c r="K9" s="1692" t="n"/>
      <c r="L9" s="1692" t="n"/>
      <c r="M9" s="1692" t="n"/>
      <c r="N9" s="1692" t="n"/>
      <c r="O9" s="1692" t="n"/>
      <c r="P9" s="1692" t="n"/>
      <c r="Q9" s="1692" t="n"/>
      <c r="R9" s="1692" t="n"/>
      <c r="S9" s="1692" t="n"/>
      <c r="T9" s="1692" t="n"/>
      <c r="U9" s="1692" t="n"/>
      <c r="V9" s="1692" t="n"/>
      <c r="W9" s="1692" t="n"/>
      <c r="X9" s="1692" t="n"/>
      <c r="Y9" s="1692" t="n"/>
      <c r="Z9" s="1692" t="n"/>
      <c r="AA9" s="1692" t="n"/>
      <c r="AB9" s="1692" t="n"/>
      <c r="AC9" s="1692" t="n"/>
      <c r="AD9" s="1692" t="n"/>
      <c r="AE9" s="1692" t="n"/>
      <c r="AF9" s="1692" t="n"/>
      <c r="AG9" s="1692" t="n"/>
      <c r="AH9" s="1692" t="n"/>
      <c r="AI9" s="1692" t="n"/>
      <c r="AJ9" s="1692" t="n"/>
      <c r="AK9" s="1692" t="n"/>
      <c r="AL9" s="1692" t="n"/>
      <c r="AM9" s="1692" t="n"/>
      <c r="AN9" s="1692" t="n"/>
      <c r="AO9" s="1692" t="n"/>
      <c r="AP9" s="1692" t="n"/>
      <c r="AQ9" s="1692" t="n"/>
      <c r="AR9" s="1692" t="n"/>
      <c r="AS9" s="1692" t="n"/>
      <c r="AT9" s="1692" t="n"/>
      <c r="AU9" s="1692" t="n"/>
      <c r="AV9" s="1692" t="n"/>
      <c r="AW9" s="1692" t="n"/>
      <c r="AX9" s="1692" t="n"/>
      <c r="AY9" s="1692" t="n"/>
      <c r="AZ9" s="1693" t="n"/>
      <c r="BA9" s="1694" t="n"/>
      <c r="BB9" s="1692" t="n"/>
      <c r="BC9" s="1692" t="n"/>
      <c r="BD9" s="1692" t="n"/>
      <c r="BE9" s="1693" t="n"/>
      <c r="BF9" s="1694" t="n"/>
      <c r="BG9" s="1692" t="n"/>
      <c r="BH9" s="1692" t="n"/>
      <c r="BI9" s="1692" t="n"/>
      <c r="BJ9" s="1692" t="n"/>
      <c r="BK9" s="1692" t="n"/>
      <c r="BL9" s="1692" t="n"/>
      <c r="BM9" s="1692" t="n"/>
      <c r="BN9" s="1692" t="n"/>
      <c r="BO9" s="1692" t="n"/>
      <c r="BP9" s="1692" t="n"/>
      <c r="BQ9" s="1692" t="n"/>
      <c r="BR9" s="1692" t="n"/>
      <c r="BS9" s="1692" t="n"/>
      <c r="BT9" s="1692" t="n"/>
      <c r="BU9" s="1692" t="n"/>
      <c r="BV9" s="1692" t="n"/>
      <c r="BW9" s="1692" t="n"/>
      <c r="BX9" s="1692" t="n"/>
      <c r="BY9" s="1692" t="n"/>
      <c r="BZ9" s="1692" t="n"/>
      <c r="CA9" s="1692" t="n"/>
      <c r="CB9" s="456" t="n"/>
      <c r="CC9" s="701" t="n"/>
      <c r="CD9" s="701" t="n"/>
      <c r="CE9" s="701" t="n"/>
      <c r="CF9" s="701" t="n"/>
      <c r="CG9" s="701" t="n"/>
      <c r="CH9" s="701" t="n"/>
      <c r="CI9" s="701" t="n"/>
      <c r="CJ9" s="701" t="n"/>
      <c r="CK9" s="701" t="n"/>
      <c r="CL9" s="701" t="n"/>
      <c r="CM9" s="701" t="n"/>
      <c r="CN9" s="701" t="n"/>
      <c r="CO9" s="701" t="n"/>
      <c r="CP9" s="701" t="n"/>
      <c r="CQ9" s="701" t="n"/>
      <c r="CR9" s="701" t="n"/>
      <c r="CS9" s="701" t="n"/>
      <c r="CT9" s="701" t="n"/>
      <c r="CU9" s="701" t="n"/>
      <c r="CV9" s="701" t="n"/>
      <c r="CW9" s="30" t="n"/>
    </row>
    <row r="10" hidden="1" ht="12.75" customHeight="1" s="1676">
      <c r="A10" s="31" t="n"/>
      <c r="B10" s="80" t="inlineStr">
        <is>
          <t>Text_14</t>
        </is>
      </c>
      <c r="C10" s="66" t="n"/>
      <c r="D10" s="1695" t="n"/>
      <c r="E10" s="1695" t="n"/>
      <c r="F10" s="1695" t="n"/>
      <c r="G10" s="1695" t="n"/>
      <c r="H10" s="1696" t="n"/>
      <c r="I10" s="1697" t="n">
        <v>0</v>
      </c>
      <c r="J10" s="1697" t="n">
        <v>0</v>
      </c>
      <c r="K10" s="1697" t="n">
        <v>0</v>
      </c>
      <c r="L10" s="1697" t="n">
        <v>0</v>
      </c>
      <c r="M10" s="1697">
        <f t="array" ref="M10">AVERAGE(I10:L10)</f>
        <v/>
      </c>
      <c r="N10" s="1697" t="n">
        <v>0</v>
      </c>
      <c r="O10" s="1697" t="n">
        <v>0</v>
      </c>
      <c r="P10" s="1697" t="n">
        <v>0</v>
      </c>
      <c r="Q10" s="1697" t="n">
        <v>0</v>
      </c>
      <c r="R10" s="1697">
        <f t="array" ref="R10">AVERAGE(N10:Q10)</f>
        <v/>
      </c>
      <c r="S10" s="1697" t="n">
        <v>0</v>
      </c>
      <c r="T10" s="1697" t="n">
        <v>0</v>
      </c>
      <c r="U10" s="1697" t="n">
        <v>0</v>
      </c>
      <c r="V10" s="1697" t="n">
        <v>0</v>
      </c>
      <c r="W10" s="1697">
        <f t="array" ref="W10">AVERAGE(S10:V10)</f>
        <v/>
      </c>
      <c r="X10" s="1697" t="n">
        <v>0</v>
      </c>
      <c r="Y10" s="1697" t="n">
        <v>0</v>
      </c>
      <c r="Z10" s="1697" t="n">
        <v>0</v>
      </c>
      <c r="AA10" s="1697" t="n">
        <v>0</v>
      </c>
      <c r="AB10" s="1697">
        <f t="array" ref="AB10">AVERAGE(X10:AA10)</f>
        <v/>
      </c>
      <c r="AC10" s="1697" t="n">
        <v>0</v>
      </c>
      <c r="AD10" s="1697" t="n">
        <v>0</v>
      </c>
      <c r="AE10" s="1697" t="n">
        <v>0</v>
      </c>
      <c r="AF10" s="1697" t="n">
        <v>0</v>
      </c>
      <c r="AG10" s="1697">
        <f t="array" ref="AG10">AVERAGE(AC10:AF10)</f>
        <v/>
      </c>
      <c r="AH10" s="1697" t="n">
        <v>0</v>
      </c>
      <c r="AI10" s="1697" t="n">
        <v>0</v>
      </c>
      <c r="AJ10" s="1697" t="n">
        <v>0</v>
      </c>
      <c r="AK10" s="1697" t="n">
        <v>0</v>
      </c>
      <c r="AL10" s="1697">
        <f t="array" ref="AL10">AVERAGE(AH10:AK10)</f>
        <v/>
      </c>
      <c r="AM10" s="1697" t="n">
        <v>0</v>
      </c>
      <c r="AN10" s="1697" t="n">
        <v>0</v>
      </c>
      <c r="AO10" s="1697" t="n">
        <v>0</v>
      </c>
      <c r="AP10" s="1697" t="n">
        <v>0</v>
      </c>
      <c r="AQ10" s="1697">
        <f t="array" ref="AQ10">AVERAGE(AM10:AP10)</f>
        <v/>
      </c>
      <c r="AR10" s="1697" t="n">
        <v>0</v>
      </c>
      <c r="AS10" s="1697" t="n">
        <v>0</v>
      </c>
      <c r="AT10" s="1697" t="n">
        <v>0</v>
      </c>
      <c r="AU10" s="1697" t="n">
        <v>0</v>
      </c>
      <c r="AV10" s="1697">
        <f t="array" ref="AV10">AVERAGE(AR10:AU10)</f>
        <v/>
      </c>
      <c r="AW10" s="1698" t="n">
        <v>0</v>
      </c>
      <c r="AX10" s="1699" t="n"/>
      <c r="AY10" s="1699" t="n"/>
      <c r="AZ10" s="1700" t="n">
        <v>0</v>
      </c>
      <c r="BA10" s="1701">
        <f t="array" ref="BA10">AVERAGE(AW10:AZ10)</f>
        <v/>
      </c>
      <c r="BB10" s="1702" t="n"/>
      <c r="BC10" s="1699" t="n"/>
      <c r="BD10" s="1699" t="n"/>
      <c r="BE10" s="1699" t="n"/>
      <c r="BF10" s="1701" t="n">
        <v>0</v>
      </c>
      <c r="BG10" s="1695" t="n"/>
      <c r="BH10" s="1695" t="n"/>
      <c r="BI10" s="1695" t="n"/>
      <c r="BJ10" s="1695" t="n"/>
      <c r="BK10" s="1697" t="n"/>
      <c r="BL10" s="1695" t="n"/>
      <c r="BM10" s="1695" t="n"/>
      <c r="BN10" s="1695" t="n"/>
      <c r="BO10" s="1695" t="n"/>
      <c r="BP10" s="1697" t="n"/>
      <c r="BQ10" s="1695" t="n"/>
      <c r="BR10" s="1695" t="n"/>
      <c r="BS10" s="1695" t="n"/>
      <c r="BT10" s="1695" t="n"/>
      <c r="BU10" s="1697" t="n"/>
      <c r="BV10" s="1695" t="n"/>
      <c r="BW10" s="1695" t="n"/>
      <c r="BX10" s="1695" t="n"/>
      <c r="BY10" s="1695" t="n"/>
      <c r="BZ10" s="1697" t="n"/>
      <c r="CA10" s="1703" t="n"/>
      <c r="CB10" s="456" t="n"/>
      <c r="CC10" s="701" t="n"/>
      <c r="CD10" s="701" t="n"/>
      <c r="CE10" s="701" t="n"/>
      <c r="CF10" s="701" t="n"/>
      <c r="CG10" s="701" t="n"/>
      <c r="CH10" s="701" t="n"/>
      <c r="CI10" s="701" t="n"/>
      <c r="CJ10" s="701" t="n"/>
      <c r="CK10" s="701" t="n"/>
      <c r="CL10" s="701" t="n"/>
      <c r="CM10" s="701" t="n"/>
      <c r="CN10" s="701" t="n"/>
      <c r="CO10" s="701" t="n"/>
      <c r="CP10" s="701" t="n"/>
      <c r="CQ10" s="701" t="n"/>
      <c r="CR10" s="701" t="n"/>
      <c r="CS10" s="701" t="n"/>
      <c r="CT10" s="701" t="n"/>
      <c r="CU10" s="701" t="n"/>
      <c r="CV10" s="701" t="n"/>
      <c r="CW10" s="30" t="n"/>
    </row>
    <row r="11" hidden="1" ht="12.75" customHeight="1" s="1676">
      <c r="A11" s="31" t="n"/>
      <c r="B11" s="90" t="inlineStr">
        <is>
          <t>Text_15</t>
        </is>
      </c>
      <c r="C11" s="66" t="n"/>
      <c r="D11" s="1695" t="n"/>
      <c r="E11" s="1695" t="n"/>
      <c r="F11" s="1695" t="n"/>
      <c r="G11" s="1695" t="n"/>
      <c r="H11" s="1696" t="n"/>
      <c r="I11" s="1704" t="n"/>
      <c r="J11" s="1704" t="n"/>
      <c r="K11" s="1704" t="n"/>
      <c r="L11" s="1704" t="n"/>
      <c r="M11" s="1704" t="n"/>
      <c r="N11" s="1704">
        <f t="array" ref="N11">N10/I10-1</f>
        <v/>
      </c>
      <c r="O11" s="1704">
        <f t="array" ref="O11">O10/J10-1</f>
        <v/>
      </c>
      <c r="P11" s="1704">
        <f t="array" ref="P11">P10/K10-1</f>
        <v/>
      </c>
      <c r="Q11" s="1704">
        <f t="array" ref="Q11">Q10/L10-1</f>
        <v/>
      </c>
      <c r="R11" s="1704">
        <f t="array" ref="R11">R10/M10-1</f>
        <v/>
      </c>
      <c r="S11" s="1704">
        <f t="array" ref="S11">S10/N10-1</f>
        <v/>
      </c>
      <c r="T11" s="1704">
        <f t="array" ref="T11">T10/O10-1</f>
        <v/>
      </c>
      <c r="U11" s="1704">
        <f t="array" ref="U11">U10/P10-1</f>
        <v/>
      </c>
      <c r="V11" s="1704">
        <f t="array" ref="V11">V10/Q10-1</f>
        <v/>
      </c>
      <c r="W11" s="1704">
        <f t="array" ref="W11">W10/R10-1</f>
        <v/>
      </c>
      <c r="X11" s="1704">
        <f t="array" ref="X11">X10/S10-1</f>
        <v/>
      </c>
      <c r="Y11" s="1704">
        <f t="array" ref="Y11">Y10/T10-1</f>
        <v/>
      </c>
      <c r="Z11" s="1704">
        <f t="array" ref="Z11">Z10/U10-1</f>
        <v/>
      </c>
      <c r="AA11" s="1704">
        <f t="array" ref="AA11">AA10/V10-1</f>
        <v/>
      </c>
      <c r="AB11" s="1704">
        <f t="array" ref="AB11">AB10/W10-1</f>
        <v/>
      </c>
      <c r="AC11" s="1704">
        <f t="array" ref="AC11">AC10/X10-1</f>
        <v/>
      </c>
      <c r="AD11" s="1704">
        <f t="array" ref="AD11">AD10/Y10-1</f>
        <v/>
      </c>
      <c r="AE11" s="1704">
        <f t="array" ref="AE11">AE10/Z10-1</f>
        <v/>
      </c>
      <c r="AF11" s="1704">
        <f t="array" ref="AF11">AF10/AA10-1</f>
        <v/>
      </c>
      <c r="AG11" s="1704">
        <f t="array" ref="AG11">AG10/AB10-1</f>
        <v/>
      </c>
      <c r="AH11" s="1704">
        <f t="array" ref="AH11">AH10/AC10-1</f>
        <v/>
      </c>
      <c r="AI11" s="1704">
        <f t="array" ref="AI11">AI10/AD10-1</f>
        <v/>
      </c>
      <c r="AJ11" s="1704">
        <f t="array" ref="AJ11">AJ10/AE10-1</f>
        <v/>
      </c>
      <c r="AK11" s="1704">
        <f t="array" ref="AK11">AK10/AF10-1</f>
        <v/>
      </c>
      <c r="AL11" s="1704">
        <f t="array" ref="AL11">AL10/AG10-1</f>
        <v/>
      </c>
      <c r="AM11" s="1704">
        <f t="array" ref="AM11">AM10/AH10-1</f>
        <v/>
      </c>
      <c r="AN11" s="1704">
        <f t="array" ref="AN11">AN10/AI10-1</f>
        <v/>
      </c>
      <c r="AO11" s="1704">
        <f t="array" ref="AO11">AO10/AJ10-1</f>
        <v/>
      </c>
      <c r="AP11" s="1704">
        <f t="array" ref="AP11">AP10/AK10-1</f>
        <v/>
      </c>
      <c r="AQ11" s="1704">
        <f t="array" ref="AQ11">AQ10/AL10-1</f>
        <v/>
      </c>
      <c r="AR11" s="1704">
        <f t="array" ref="AR11">AR10/AM10-1</f>
        <v/>
      </c>
      <c r="AS11" s="1704">
        <f t="array" ref="AS11">AS10/AN10-1</f>
        <v/>
      </c>
      <c r="AT11" s="1704">
        <f t="array" ref="AT11">AT10/AO10-1</f>
        <v/>
      </c>
      <c r="AU11" s="1704">
        <f t="array" ref="AU11">AU10/AP10-1</f>
        <v/>
      </c>
      <c r="AV11" s="1704">
        <f t="array" ref="AV11">AV10/AQ10-1</f>
        <v/>
      </c>
      <c r="AW11" s="1705">
        <f t="array" ref="AW11">AW10/AR10-1</f>
        <v/>
      </c>
      <c r="AX11" s="1699" t="n"/>
      <c r="AY11" s="1699" t="n"/>
      <c r="AZ11" s="1706">
        <f t="array" ref="AZ11">AZ10/AU10-1</f>
        <v/>
      </c>
      <c r="BA11" s="1707">
        <f t="array" ref="BA11">BA10/AV10-1</f>
        <v/>
      </c>
      <c r="BB11" s="1702" t="n"/>
      <c r="BC11" s="1699" t="n"/>
      <c r="BD11" s="1699" t="n"/>
      <c r="BE11" s="1699" t="n"/>
      <c r="BF11" s="1707">
        <f t="array" ref="BF11">BF10/BA10-1</f>
        <v/>
      </c>
      <c r="BG11" s="1695" t="n"/>
      <c r="BH11" s="1695" t="n"/>
      <c r="BI11" s="1695" t="n"/>
      <c r="BJ11" s="1695" t="n"/>
      <c r="BK11" s="1704" t="n"/>
      <c r="BL11" s="1695" t="n"/>
      <c r="BM11" s="1695" t="n"/>
      <c r="BN11" s="1695" t="n"/>
      <c r="BO11" s="1695" t="n"/>
      <c r="BP11" s="1704" t="n"/>
      <c r="BQ11" s="1695" t="n"/>
      <c r="BR11" s="1695" t="n"/>
      <c r="BS11" s="1695" t="n"/>
      <c r="BT11" s="1695" t="n"/>
      <c r="BU11" s="1704" t="n"/>
      <c r="BV11" s="1695" t="n"/>
      <c r="BW11" s="1695" t="n"/>
      <c r="BX11" s="1695" t="n"/>
      <c r="BY11" s="1695" t="n"/>
      <c r="BZ11" s="1704" t="n"/>
      <c r="CA11" s="1703" t="n"/>
      <c r="CB11" s="456" t="n"/>
      <c r="CC11" s="701" t="n"/>
      <c r="CD11" s="701" t="n"/>
      <c r="CE11" s="701" t="n"/>
      <c r="CF11" s="701" t="n"/>
      <c r="CG11" s="701" t="n"/>
      <c r="CH11" s="701" t="n"/>
      <c r="CI11" s="701" t="n"/>
      <c r="CJ11" s="701" t="n"/>
      <c r="CK11" s="701" t="n"/>
      <c r="CL11" s="701" t="n"/>
      <c r="CM11" s="701" t="n"/>
      <c r="CN11" s="701" t="n"/>
      <c r="CO11" s="701" t="n"/>
      <c r="CP11" s="701" t="n"/>
      <c r="CQ11" s="701" t="n"/>
      <c r="CR11" s="701" t="n"/>
      <c r="CS11" s="701" t="n"/>
      <c r="CT11" s="701" t="n"/>
      <c r="CU11" s="701" t="n"/>
      <c r="CV11" s="701" t="n"/>
      <c r="CW11" s="30" t="n"/>
    </row>
    <row r="12" hidden="1" ht="12.75" customHeight="1" s="1676">
      <c r="A12" s="31" t="n"/>
      <c r="B12" s="80" t="inlineStr">
        <is>
          <t>Text_16</t>
        </is>
      </c>
      <c r="C12" s="66" t="n"/>
      <c r="D12" s="1695" t="n"/>
      <c r="E12" s="1695" t="n"/>
      <c r="F12" s="1695" t="n"/>
      <c r="G12" s="1695" t="n"/>
      <c r="H12" s="1696" t="n"/>
      <c r="I12" s="1697" t="n">
        <v>0</v>
      </c>
      <c r="J12" s="1697" t="n">
        <v>0</v>
      </c>
      <c r="K12" s="1697" t="n">
        <v>0</v>
      </c>
      <c r="L12" s="1697" t="n">
        <v>0</v>
      </c>
      <c r="M12" s="1697">
        <f t="array" ref="M12">AVERAGE(I12:L12)</f>
        <v/>
      </c>
      <c r="N12" s="1697" t="n">
        <v>0</v>
      </c>
      <c r="O12" s="1697" t="n">
        <v>0</v>
      </c>
      <c r="P12" s="1697" t="n">
        <v>0</v>
      </c>
      <c r="Q12" s="1697" t="n">
        <v>0</v>
      </c>
      <c r="R12" s="1697">
        <f t="array" ref="R12">AVERAGE(N12:Q12)</f>
        <v/>
      </c>
      <c r="S12" s="1697" t="n">
        <v>0</v>
      </c>
      <c r="T12" s="1697" t="n">
        <v>0</v>
      </c>
      <c r="U12" s="1697" t="n">
        <v>0</v>
      </c>
      <c r="V12" s="1697" t="n">
        <v>0</v>
      </c>
      <c r="W12" s="1697">
        <f t="array" ref="W12">AVERAGE(S12:V12)</f>
        <v/>
      </c>
      <c r="X12" s="1697" t="n">
        <v>0</v>
      </c>
      <c r="Y12" s="1697" t="n">
        <v>0</v>
      </c>
      <c r="Z12" s="1697" t="n">
        <v>0</v>
      </c>
      <c r="AA12" s="1697" t="n">
        <v>0</v>
      </c>
      <c r="AB12" s="1697">
        <f t="array" ref="AB12">AVERAGE(X12:AA12)</f>
        <v/>
      </c>
      <c r="AC12" s="1697" t="n">
        <v>0</v>
      </c>
      <c r="AD12" s="1697" t="n">
        <v>0</v>
      </c>
      <c r="AE12" s="1697" t="n">
        <v>0</v>
      </c>
      <c r="AF12" s="1697" t="n">
        <v>0</v>
      </c>
      <c r="AG12" s="1697">
        <f t="array" ref="AG12">AVERAGE(AC12:AF12)</f>
        <v/>
      </c>
      <c r="AH12" s="1697" t="n">
        <v>0</v>
      </c>
      <c r="AI12" s="1697" t="n">
        <v>0</v>
      </c>
      <c r="AJ12" s="1697" t="n">
        <v>0</v>
      </c>
      <c r="AK12" s="1697" t="n">
        <v>0</v>
      </c>
      <c r="AL12" s="1697">
        <f t="array" ref="AL12">AVERAGE(AH12:AK12)</f>
        <v/>
      </c>
      <c r="AM12" s="1697" t="n">
        <v>0</v>
      </c>
      <c r="AN12" s="1697" t="n">
        <v>0</v>
      </c>
      <c r="AO12" s="1697" t="n">
        <v>0</v>
      </c>
      <c r="AP12" s="1697" t="n">
        <v>0</v>
      </c>
      <c r="AQ12" s="1697">
        <f t="array" ref="AQ12">AVERAGE(AM12:AP12)</f>
        <v/>
      </c>
      <c r="AR12" s="1697" t="n">
        <v>0</v>
      </c>
      <c r="AS12" s="1697" t="n">
        <v>0</v>
      </c>
      <c r="AT12" s="1697" t="n">
        <v>0</v>
      </c>
      <c r="AU12" s="1697" t="n">
        <v>0</v>
      </c>
      <c r="AV12" s="1697">
        <f t="array" ref="AV12">AVERAGE(AR12:AU12)</f>
        <v/>
      </c>
      <c r="AW12" s="1698" t="n">
        <v>0</v>
      </c>
      <c r="AX12" s="1699" t="n"/>
      <c r="AY12" s="1699" t="n"/>
      <c r="AZ12" s="1700" t="n">
        <v>0</v>
      </c>
      <c r="BA12" s="1701">
        <f t="array" ref="BA12">AVERAGE(AW12:AZ12)</f>
        <v/>
      </c>
      <c r="BB12" s="1702" t="n"/>
      <c r="BC12" s="1699" t="n"/>
      <c r="BD12" s="1699" t="n"/>
      <c r="BE12" s="1699" t="n"/>
      <c r="BF12" s="1701" t="n">
        <v>0</v>
      </c>
      <c r="BG12" s="1695" t="n"/>
      <c r="BH12" s="1695" t="n"/>
      <c r="BI12" s="1695" t="n"/>
      <c r="BJ12" s="1695" t="n"/>
      <c r="BK12" s="1697" t="n"/>
      <c r="BL12" s="1695" t="n"/>
      <c r="BM12" s="1695" t="n"/>
      <c r="BN12" s="1695" t="n"/>
      <c r="BO12" s="1695" t="n"/>
      <c r="BP12" s="1697" t="n"/>
      <c r="BQ12" s="1695" t="n"/>
      <c r="BR12" s="1695" t="n"/>
      <c r="BS12" s="1695" t="n"/>
      <c r="BT12" s="1695" t="n"/>
      <c r="BU12" s="1697" t="n"/>
      <c r="BV12" s="1695" t="n"/>
      <c r="BW12" s="1695" t="n"/>
      <c r="BX12" s="1695" t="n"/>
      <c r="BY12" s="1695" t="n"/>
      <c r="BZ12" s="1697" t="n"/>
      <c r="CA12" s="1703" t="n"/>
      <c r="CB12" s="456" t="n"/>
      <c r="CC12" s="701" t="n"/>
      <c r="CD12" s="701" t="n"/>
      <c r="CE12" s="701" t="n"/>
      <c r="CF12" s="701" t="n"/>
      <c r="CG12" s="701" t="n"/>
      <c r="CH12" s="701" t="n"/>
      <c r="CI12" s="701" t="n"/>
      <c r="CJ12" s="701" t="n"/>
      <c r="CK12" s="701" t="n"/>
      <c r="CL12" s="701" t="n"/>
      <c r="CM12" s="701" t="n"/>
      <c r="CN12" s="701" t="n"/>
      <c r="CO12" s="701" t="n"/>
      <c r="CP12" s="701" t="n"/>
      <c r="CQ12" s="701" t="n"/>
      <c r="CR12" s="701" t="n"/>
      <c r="CS12" s="701" t="n"/>
      <c r="CT12" s="701" t="n"/>
      <c r="CU12" s="701" t="n"/>
      <c r="CV12" s="701" t="n"/>
      <c r="CW12" s="30" t="n"/>
    </row>
    <row r="13" hidden="1" ht="12.75" customHeight="1" s="1676">
      <c r="A13" s="31" t="n"/>
      <c r="B13" s="90" t="inlineStr">
        <is>
          <t>Text_15</t>
        </is>
      </c>
      <c r="C13" s="66" t="n"/>
      <c r="D13" s="1695" t="n"/>
      <c r="E13" s="1695" t="n"/>
      <c r="F13" s="1695" t="n"/>
      <c r="G13" s="1695" t="n"/>
      <c r="H13" s="1696" t="n"/>
      <c r="I13" s="1704" t="n"/>
      <c r="J13" s="1704" t="n"/>
      <c r="K13" s="1704" t="n"/>
      <c r="L13" s="1704" t="n"/>
      <c r="M13" s="1704" t="n"/>
      <c r="N13" s="1704">
        <f t="array" ref="N13">N12/I12-1</f>
        <v/>
      </c>
      <c r="O13" s="1704">
        <f t="array" ref="O13">O12/J12-1</f>
        <v/>
      </c>
      <c r="P13" s="1704">
        <f t="array" ref="P13">P12/K12-1</f>
        <v/>
      </c>
      <c r="Q13" s="1704">
        <f t="array" ref="Q13">Q12/L12-1</f>
        <v/>
      </c>
      <c r="R13" s="1704">
        <f t="array" ref="R13">R12/M12-1</f>
        <v/>
      </c>
      <c r="S13" s="1704">
        <f t="array" ref="S13">S12/N12-1</f>
        <v/>
      </c>
      <c r="T13" s="1704">
        <f t="array" ref="T13">T12/O12-1</f>
        <v/>
      </c>
      <c r="U13" s="1704">
        <f t="array" ref="U13">U12/P12-1</f>
        <v/>
      </c>
      <c r="V13" s="1704">
        <f t="array" ref="V13">V12/Q12-1</f>
        <v/>
      </c>
      <c r="W13" s="1704">
        <f t="array" ref="W13">W12/R12-1</f>
        <v/>
      </c>
      <c r="X13" s="1704">
        <f t="array" ref="X13">X12/S12-1</f>
        <v/>
      </c>
      <c r="Y13" s="1704">
        <f t="array" ref="Y13">Y12/T12-1</f>
        <v/>
      </c>
      <c r="Z13" s="1704">
        <f t="array" ref="Z13">Z12/U12-1</f>
        <v/>
      </c>
      <c r="AA13" s="1704">
        <f t="array" ref="AA13">AA12/V12-1</f>
        <v/>
      </c>
      <c r="AB13" s="1704">
        <f t="array" ref="AB13">AB12/W12-1</f>
        <v/>
      </c>
      <c r="AC13" s="1704">
        <f t="array" ref="AC13">AC12/X12-1</f>
        <v/>
      </c>
      <c r="AD13" s="1704">
        <f t="array" ref="AD13">AD12/Y12-1</f>
        <v/>
      </c>
      <c r="AE13" s="1704">
        <f t="array" ref="AE13">AE12/Z12-1</f>
        <v/>
      </c>
      <c r="AF13" s="1704">
        <f t="array" ref="AF13">AF12/AA12-1</f>
        <v/>
      </c>
      <c r="AG13" s="1704">
        <f t="array" ref="AG13">AG12/AB12-1</f>
        <v/>
      </c>
      <c r="AH13" s="1704">
        <f t="array" ref="AH13">AH12/AC12-1</f>
        <v/>
      </c>
      <c r="AI13" s="1704">
        <f t="array" ref="AI13">AI12/AD12-1</f>
        <v/>
      </c>
      <c r="AJ13" s="1704">
        <f t="array" ref="AJ13">AJ12/AE12-1</f>
        <v/>
      </c>
      <c r="AK13" s="1704">
        <f t="array" ref="AK13">AK12/AF12-1</f>
        <v/>
      </c>
      <c r="AL13" s="1704">
        <f t="array" ref="AL13">AL12/AG12-1</f>
        <v/>
      </c>
      <c r="AM13" s="1704">
        <f t="array" ref="AM13">AM12/AH12-1</f>
        <v/>
      </c>
      <c r="AN13" s="1704">
        <f t="array" ref="AN13">AN12/AI12-1</f>
        <v/>
      </c>
      <c r="AO13" s="1704">
        <f t="array" ref="AO13">AO12/AJ12-1</f>
        <v/>
      </c>
      <c r="AP13" s="1704">
        <f t="array" ref="AP13">AP12/AK12-1</f>
        <v/>
      </c>
      <c r="AQ13" s="1704">
        <f t="array" ref="AQ13">AQ12/AL12-1</f>
        <v/>
      </c>
      <c r="AR13" s="1704">
        <f t="array" ref="AR13">AR12/AM12-1</f>
        <v/>
      </c>
      <c r="AS13" s="1704">
        <f t="array" ref="AS13">AS12/AN12-1</f>
        <v/>
      </c>
      <c r="AT13" s="1704">
        <f t="array" ref="AT13">AT12/AO12-1</f>
        <v/>
      </c>
      <c r="AU13" s="1704">
        <f t="array" ref="AU13">AU12/AP12-1</f>
        <v/>
      </c>
      <c r="AV13" s="1704">
        <f t="array" ref="AV13">AV12/AQ12-1</f>
        <v/>
      </c>
      <c r="AW13" s="1705">
        <f t="array" ref="AW13">AW12/AR12-1</f>
        <v/>
      </c>
      <c r="AX13" s="1699" t="n"/>
      <c r="AY13" s="1699" t="n"/>
      <c r="AZ13" s="1706">
        <f t="array" ref="AZ13">AZ12/AU12-1</f>
        <v/>
      </c>
      <c r="BA13" s="1707">
        <f t="array" ref="BA13">BA12/AV12-1</f>
        <v/>
      </c>
      <c r="BB13" s="1702" t="n"/>
      <c r="BC13" s="1699" t="n"/>
      <c r="BD13" s="1699" t="n"/>
      <c r="BE13" s="1699" t="n"/>
      <c r="BF13" s="1707">
        <f t="array" ref="BF13">BF12/BA12-1</f>
        <v/>
      </c>
      <c r="BG13" s="1695" t="n"/>
      <c r="BH13" s="1695" t="n"/>
      <c r="BI13" s="1695" t="n"/>
      <c r="BJ13" s="1695" t="n"/>
      <c r="BK13" s="1704" t="n"/>
      <c r="BL13" s="1695" t="n"/>
      <c r="BM13" s="1695" t="n"/>
      <c r="BN13" s="1695" t="n"/>
      <c r="BO13" s="1695" t="n"/>
      <c r="BP13" s="1704" t="n"/>
      <c r="BQ13" s="1695" t="n"/>
      <c r="BR13" s="1695" t="n"/>
      <c r="BS13" s="1695" t="n"/>
      <c r="BT13" s="1695" t="n"/>
      <c r="BU13" s="1704" t="n"/>
      <c r="BV13" s="1695" t="n"/>
      <c r="BW13" s="1695" t="n"/>
      <c r="BX13" s="1695" t="n"/>
      <c r="BY13" s="1695" t="n"/>
      <c r="BZ13" s="1704" t="n"/>
      <c r="CA13" s="1703" t="n"/>
      <c r="CB13" s="456" t="n"/>
      <c r="CC13" s="701" t="n"/>
      <c r="CD13" s="701" t="n"/>
      <c r="CE13" s="701" t="n"/>
      <c r="CF13" s="701" t="n"/>
      <c r="CG13" s="701" t="n"/>
      <c r="CH13" s="701" t="n"/>
      <c r="CI13" s="701" t="n"/>
      <c r="CJ13" s="701" t="n"/>
      <c r="CK13" s="701" t="n"/>
      <c r="CL13" s="701" t="n"/>
      <c r="CM13" s="701" t="n"/>
      <c r="CN13" s="701" t="n"/>
      <c r="CO13" s="701" t="n"/>
      <c r="CP13" s="701" t="n"/>
      <c r="CQ13" s="701" t="n"/>
      <c r="CR13" s="701" t="n"/>
      <c r="CS13" s="701" t="n"/>
      <c r="CT13" s="701" t="n"/>
      <c r="CU13" s="701" t="n"/>
      <c r="CV13" s="701" t="n"/>
      <c r="CW13" s="30" t="n"/>
    </row>
    <row r="14" hidden="1" ht="12.75" customHeight="1" s="1676">
      <c r="A14" s="31" t="n"/>
      <c r="B14" s="80" t="inlineStr">
        <is>
          <t>Text_17</t>
        </is>
      </c>
      <c r="C14" s="66" t="n"/>
      <c r="D14" s="1695" t="n"/>
      <c r="E14" s="1695" t="n"/>
      <c r="F14" s="1695" t="n"/>
      <c r="G14" s="1695" t="n"/>
      <c r="H14" s="1696" t="n"/>
      <c r="I14" s="1697" t="n">
        <v>0</v>
      </c>
      <c r="J14" s="1697" t="n">
        <v>0</v>
      </c>
      <c r="K14" s="1697" t="n">
        <v>0</v>
      </c>
      <c r="L14" s="1697" t="n">
        <v>0</v>
      </c>
      <c r="M14" s="1697">
        <f t="array" ref="M14">AVERAGE(I14:L14)</f>
        <v/>
      </c>
      <c r="N14" s="1697" t="n">
        <v>0</v>
      </c>
      <c r="O14" s="1697" t="n">
        <v>0</v>
      </c>
      <c r="P14" s="1697" t="n">
        <v>0</v>
      </c>
      <c r="Q14" s="1697" t="n">
        <v>0</v>
      </c>
      <c r="R14" s="1697">
        <f t="array" ref="R14">AVERAGE(N14:Q14)</f>
        <v/>
      </c>
      <c r="S14" s="1697" t="n">
        <v>0</v>
      </c>
      <c r="T14" s="1697" t="n">
        <v>0</v>
      </c>
      <c r="U14" s="1697" t="n">
        <v>0</v>
      </c>
      <c r="V14" s="1697" t="n">
        <v>0</v>
      </c>
      <c r="W14" s="1697">
        <f t="array" ref="W14">AVERAGE(S14:V14)</f>
        <v/>
      </c>
      <c r="X14" s="1697" t="n">
        <v>0</v>
      </c>
      <c r="Y14" s="1697" t="n">
        <v>0</v>
      </c>
      <c r="Z14" s="1697" t="n">
        <v>0</v>
      </c>
      <c r="AA14" s="1697" t="n">
        <v>0</v>
      </c>
      <c r="AB14" s="1697">
        <f t="array" ref="AB14">AVERAGE(X14:AA14)</f>
        <v/>
      </c>
      <c r="AC14" s="1697" t="n">
        <v>0</v>
      </c>
      <c r="AD14" s="1697" t="n">
        <v>0</v>
      </c>
      <c r="AE14" s="1697" t="n">
        <v>0</v>
      </c>
      <c r="AF14" s="1697" t="n">
        <v>0</v>
      </c>
      <c r="AG14" s="1697">
        <f t="array" ref="AG14">AVERAGE(AC14:AF14)</f>
        <v/>
      </c>
      <c r="AH14" s="1697" t="n">
        <v>0</v>
      </c>
      <c r="AI14" s="1697" t="n">
        <v>0</v>
      </c>
      <c r="AJ14" s="1697" t="n">
        <v>0</v>
      </c>
      <c r="AK14" s="1697" t="n">
        <v>0</v>
      </c>
      <c r="AL14" s="1697">
        <f t="array" ref="AL14">AVERAGE(AH14:AK14)</f>
        <v/>
      </c>
      <c r="AM14" s="1697" t="n">
        <v>0</v>
      </c>
      <c r="AN14" s="1697" t="n">
        <v>0</v>
      </c>
      <c r="AO14" s="1697" t="n">
        <v>0</v>
      </c>
      <c r="AP14" s="1697" t="n">
        <v>0</v>
      </c>
      <c r="AQ14" s="1697">
        <f t="array" ref="AQ14">AVERAGE(AM14:AP14)</f>
        <v/>
      </c>
      <c r="AR14" s="1697" t="n">
        <v>0</v>
      </c>
      <c r="AS14" s="1697" t="n">
        <v>0</v>
      </c>
      <c r="AT14" s="1697" t="n">
        <v>0</v>
      </c>
      <c r="AU14" s="1697" t="n">
        <v>0</v>
      </c>
      <c r="AV14" s="1697">
        <f t="array" ref="AV14">AVERAGE(AR14:AU14)</f>
        <v/>
      </c>
      <c r="AW14" s="1698" t="n">
        <v>0</v>
      </c>
      <c r="AX14" s="1699" t="n"/>
      <c r="AY14" s="1699" t="n"/>
      <c r="AZ14" s="1700" t="n">
        <v>0</v>
      </c>
      <c r="BA14" s="1701">
        <f t="array" ref="BA14">AVERAGE(AW14:AZ14)</f>
        <v/>
      </c>
      <c r="BB14" s="1702" t="n"/>
      <c r="BC14" s="1699" t="n"/>
      <c r="BD14" s="1699" t="n"/>
      <c r="BE14" s="1699" t="n"/>
      <c r="BF14" s="1701" t="n">
        <v>0</v>
      </c>
      <c r="BG14" s="1695" t="n"/>
      <c r="BH14" s="1695" t="n"/>
      <c r="BI14" s="1695" t="n"/>
      <c r="BJ14" s="1695" t="n"/>
      <c r="BK14" s="1697" t="n"/>
      <c r="BL14" s="1695" t="n"/>
      <c r="BM14" s="1695" t="n"/>
      <c r="BN14" s="1695" t="n"/>
      <c r="BO14" s="1695" t="n"/>
      <c r="BP14" s="1697" t="n"/>
      <c r="BQ14" s="1695" t="n"/>
      <c r="BR14" s="1695" t="n"/>
      <c r="BS14" s="1695" t="n"/>
      <c r="BT14" s="1695" t="n"/>
      <c r="BU14" s="1697" t="n"/>
      <c r="BV14" s="1695" t="n"/>
      <c r="BW14" s="1695" t="n"/>
      <c r="BX14" s="1695" t="n"/>
      <c r="BY14" s="1695" t="n"/>
      <c r="BZ14" s="1697" t="n"/>
      <c r="CA14" s="1703" t="n"/>
      <c r="CB14" s="456" t="n"/>
      <c r="CC14" s="701" t="n"/>
      <c r="CD14" s="701" t="n"/>
      <c r="CE14" s="701" t="n"/>
      <c r="CF14" s="701" t="n"/>
      <c r="CG14" s="701" t="n"/>
      <c r="CH14" s="701" t="n"/>
      <c r="CI14" s="701" t="n"/>
      <c r="CJ14" s="701" t="n"/>
      <c r="CK14" s="701" t="n"/>
      <c r="CL14" s="701" t="n"/>
      <c r="CM14" s="701" t="n"/>
      <c r="CN14" s="701" t="n"/>
      <c r="CO14" s="701" t="n"/>
      <c r="CP14" s="701" t="n"/>
      <c r="CQ14" s="701" t="n"/>
      <c r="CR14" s="701" t="n"/>
      <c r="CS14" s="701" t="n"/>
      <c r="CT14" s="701" t="n"/>
      <c r="CU14" s="701" t="n"/>
      <c r="CV14" s="701" t="n"/>
      <c r="CW14" s="30" t="n"/>
    </row>
    <row r="15" hidden="1" ht="12.75" customHeight="1" s="1676">
      <c r="A15" s="31" t="n"/>
      <c r="B15" s="90" t="inlineStr">
        <is>
          <t>Text_15</t>
        </is>
      </c>
      <c r="C15" s="66" t="n"/>
      <c r="D15" s="1695" t="n"/>
      <c r="E15" s="1695" t="n"/>
      <c r="F15" s="1695" t="n"/>
      <c r="G15" s="1695" t="n"/>
      <c r="H15" s="1696" t="n"/>
      <c r="I15" s="1704" t="n"/>
      <c r="J15" s="1704" t="n"/>
      <c r="K15" s="1704" t="n"/>
      <c r="L15" s="1704" t="n"/>
      <c r="M15" s="1704" t="n"/>
      <c r="N15" s="1704">
        <f t="array" ref="N15">N14/I14-1</f>
        <v/>
      </c>
      <c r="O15" s="1704">
        <f t="array" ref="O15">O14/J14-1</f>
        <v/>
      </c>
      <c r="P15" s="1704">
        <f t="array" ref="P15">P14/K14-1</f>
        <v/>
      </c>
      <c r="Q15" s="1704">
        <f t="array" ref="Q15">Q14/L14-1</f>
        <v/>
      </c>
      <c r="R15" s="1704">
        <f t="array" ref="R15">R14/M14-1</f>
        <v/>
      </c>
      <c r="S15" s="1704">
        <f t="array" ref="S15">S14/N14-1</f>
        <v/>
      </c>
      <c r="T15" s="1704">
        <f t="array" ref="T15">T14/O14-1</f>
        <v/>
      </c>
      <c r="U15" s="1704">
        <f t="array" ref="U15">U14/P14-1</f>
        <v/>
      </c>
      <c r="V15" s="1704">
        <f t="array" ref="V15">V14/Q14-1</f>
        <v/>
      </c>
      <c r="W15" s="1704">
        <f t="array" ref="W15">W14/R14-1</f>
        <v/>
      </c>
      <c r="X15" s="1704">
        <f t="array" ref="X15">X14/S14-1</f>
        <v/>
      </c>
      <c r="Y15" s="1704">
        <f t="array" ref="Y15">Y14/T14-1</f>
        <v/>
      </c>
      <c r="Z15" s="1704">
        <f t="array" ref="Z15">Z14/U14-1</f>
        <v/>
      </c>
      <c r="AA15" s="1704">
        <f t="array" ref="AA15">AA14/V14-1</f>
        <v/>
      </c>
      <c r="AB15" s="1704">
        <f t="array" ref="AB15">AB14/W14-1</f>
        <v/>
      </c>
      <c r="AC15" s="1704">
        <f t="array" ref="AC15">AC14/X14-1</f>
        <v/>
      </c>
      <c r="AD15" s="1704">
        <f t="array" ref="AD15">AD14/Y14-1</f>
        <v/>
      </c>
      <c r="AE15" s="1704">
        <f t="array" ref="AE15">AE14/Z14-1</f>
        <v/>
      </c>
      <c r="AF15" s="1704">
        <f t="array" ref="AF15">AF14/AA14-1</f>
        <v/>
      </c>
      <c r="AG15" s="1704">
        <f t="array" ref="AG15">AG14/AB14-1</f>
        <v/>
      </c>
      <c r="AH15" s="1704">
        <f t="array" ref="AH15">AH14/AC14-1</f>
        <v/>
      </c>
      <c r="AI15" s="1704">
        <f t="array" ref="AI15">AI14/AD14-1</f>
        <v/>
      </c>
      <c r="AJ15" s="1704">
        <f t="array" ref="AJ15">AJ14/AE14-1</f>
        <v/>
      </c>
      <c r="AK15" s="1704">
        <f t="array" ref="AK15">AK14/AF14-1</f>
        <v/>
      </c>
      <c r="AL15" s="1704">
        <f t="array" ref="AL15">AL14/AG14-1</f>
        <v/>
      </c>
      <c r="AM15" s="1704">
        <f t="array" ref="AM15">AM14/AH14-1</f>
        <v/>
      </c>
      <c r="AN15" s="1704">
        <f t="array" ref="AN15">AN14/AI14-1</f>
        <v/>
      </c>
      <c r="AO15" s="1704">
        <f t="array" ref="AO15">AO14/AJ14-1</f>
        <v/>
      </c>
      <c r="AP15" s="1704">
        <f t="array" ref="AP15">AP14/AK14-1</f>
        <v/>
      </c>
      <c r="AQ15" s="1704">
        <f t="array" ref="AQ15">AQ14/AL14-1</f>
        <v/>
      </c>
      <c r="AR15" s="1704">
        <f t="array" ref="AR15">AR14/AM14-1</f>
        <v/>
      </c>
      <c r="AS15" s="1704">
        <f t="array" ref="AS15">AS14/AN14-1</f>
        <v/>
      </c>
      <c r="AT15" s="1704">
        <f t="array" ref="AT15">AT14/AO14-1</f>
        <v/>
      </c>
      <c r="AU15" s="1704">
        <f t="array" ref="AU15">AU14/AP14-1</f>
        <v/>
      </c>
      <c r="AV15" s="1704">
        <f t="array" ref="AV15">AV14/AQ14-1</f>
        <v/>
      </c>
      <c r="AW15" s="1705">
        <f t="array" ref="AW15">AW14/AR14-1</f>
        <v/>
      </c>
      <c r="AX15" s="1699" t="n"/>
      <c r="AY15" s="1699" t="n"/>
      <c r="AZ15" s="1706">
        <f t="array" ref="AZ15">AZ14/AU14-1</f>
        <v/>
      </c>
      <c r="BA15" s="1707">
        <f t="array" ref="BA15">BA14/AV14-1</f>
        <v/>
      </c>
      <c r="BB15" s="1702" t="n"/>
      <c r="BC15" s="1699" t="n"/>
      <c r="BD15" s="1699" t="n"/>
      <c r="BE15" s="1699" t="n"/>
      <c r="BF15" s="1707">
        <f t="array" ref="BF15">BF14/BA14-1</f>
        <v/>
      </c>
      <c r="BG15" s="1695" t="n"/>
      <c r="BH15" s="1695" t="n"/>
      <c r="BI15" s="1695" t="n"/>
      <c r="BJ15" s="1695" t="n"/>
      <c r="BK15" s="1704" t="n"/>
      <c r="BL15" s="1695" t="n"/>
      <c r="BM15" s="1695" t="n"/>
      <c r="BN15" s="1695" t="n"/>
      <c r="BO15" s="1695" t="n"/>
      <c r="BP15" s="1704" t="n"/>
      <c r="BQ15" s="1695" t="n"/>
      <c r="BR15" s="1695" t="n"/>
      <c r="BS15" s="1695" t="n"/>
      <c r="BT15" s="1695" t="n"/>
      <c r="BU15" s="1704" t="n"/>
      <c r="BV15" s="1695" t="n"/>
      <c r="BW15" s="1695" t="n"/>
      <c r="BX15" s="1695" t="n"/>
      <c r="BY15" s="1695" t="n"/>
      <c r="BZ15" s="1704" t="n"/>
      <c r="CA15" s="1703" t="n"/>
      <c r="CB15" s="456" t="n"/>
      <c r="CC15" s="701" t="n"/>
      <c r="CD15" s="701" t="n"/>
      <c r="CE15" s="701" t="n"/>
      <c r="CF15" s="701" t="n"/>
      <c r="CG15" s="701" t="n"/>
      <c r="CH15" s="701" t="n"/>
      <c r="CI15" s="701" t="n"/>
      <c r="CJ15" s="701" t="n"/>
      <c r="CK15" s="701" t="n"/>
      <c r="CL15" s="701" t="n"/>
      <c r="CM15" s="701" t="n"/>
      <c r="CN15" s="701" t="n"/>
      <c r="CO15" s="701" t="n"/>
      <c r="CP15" s="701" t="n"/>
      <c r="CQ15" s="701" t="n"/>
      <c r="CR15" s="701" t="n"/>
      <c r="CS15" s="701" t="n"/>
      <c r="CT15" s="701" t="n"/>
      <c r="CU15" s="701" t="n"/>
      <c r="CV15" s="701" t="n"/>
      <c r="CW15" s="30" t="n"/>
    </row>
    <row r="16" hidden="1" ht="12.75" customHeight="1" s="1676">
      <c r="A16" s="31" t="n"/>
      <c r="B16" s="80" t="inlineStr">
        <is>
          <t>Text_18</t>
        </is>
      </c>
      <c r="C16" s="66" t="n"/>
      <c r="D16" s="1695" t="n"/>
      <c r="E16" s="1695" t="n"/>
      <c r="F16" s="1695" t="n"/>
      <c r="G16" s="1695" t="n"/>
      <c r="H16" s="1696" t="n"/>
      <c r="I16" s="1697" t="n">
        <v>0</v>
      </c>
      <c r="J16" s="1697" t="n">
        <v>0</v>
      </c>
      <c r="K16" s="1697" t="n">
        <v>0</v>
      </c>
      <c r="L16" s="1697" t="n">
        <v>0</v>
      </c>
      <c r="M16" s="1697">
        <f t="array" ref="M16">AVERAGE(I16:L16)</f>
        <v/>
      </c>
      <c r="N16" s="1697" t="n">
        <v>0</v>
      </c>
      <c r="O16" s="1697" t="n">
        <v>0</v>
      </c>
      <c r="P16" s="1697" t="n">
        <v>0</v>
      </c>
      <c r="Q16" s="1697" t="n">
        <v>0</v>
      </c>
      <c r="R16" s="1697">
        <f t="array" ref="R16">AVERAGE(N16:Q16)</f>
        <v/>
      </c>
      <c r="S16" s="1697" t="n">
        <v>0</v>
      </c>
      <c r="T16" s="1697" t="n">
        <v>0</v>
      </c>
      <c r="U16" s="1697" t="n">
        <v>0</v>
      </c>
      <c r="V16" s="1697" t="n">
        <v>0</v>
      </c>
      <c r="W16" s="1697">
        <f t="array" ref="W16">AVERAGE(S16:V16)</f>
        <v/>
      </c>
      <c r="X16" s="1697" t="n">
        <v>0</v>
      </c>
      <c r="Y16" s="1697" t="n">
        <v>0</v>
      </c>
      <c r="Z16" s="1697" t="n">
        <v>0</v>
      </c>
      <c r="AA16" s="1697" t="n">
        <v>0</v>
      </c>
      <c r="AB16" s="1697">
        <f t="array" ref="AB16">AVERAGE(X16:AA16)</f>
        <v/>
      </c>
      <c r="AC16" s="1697" t="n">
        <v>0</v>
      </c>
      <c r="AD16" s="1697" t="n">
        <v>0</v>
      </c>
      <c r="AE16" s="1697" t="n">
        <v>0</v>
      </c>
      <c r="AF16" s="1697" t="n">
        <v>0</v>
      </c>
      <c r="AG16" s="1697">
        <f t="array" ref="AG16">AVERAGE(AC16:AF16)</f>
        <v/>
      </c>
      <c r="AH16" s="1697" t="n">
        <v>0</v>
      </c>
      <c r="AI16" s="1697" t="n">
        <v>0</v>
      </c>
      <c r="AJ16" s="1697" t="n">
        <v>0</v>
      </c>
      <c r="AK16" s="1697" t="n">
        <v>0</v>
      </c>
      <c r="AL16" s="1697">
        <f t="array" ref="AL16">AVERAGE(AH16:AK16)</f>
        <v/>
      </c>
      <c r="AM16" s="1697" t="n">
        <v>0</v>
      </c>
      <c r="AN16" s="1697" t="n">
        <v>0</v>
      </c>
      <c r="AO16" s="1697" t="n">
        <v>0</v>
      </c>
      <c r="AP16" s="1697" t="n">
        <v>0</v>
      </c>
      <c r="AQ16" s="1697">
        <f t="array" ref="AQ16">AVERAGE(AM16:AP16)</f>
        <v/>
      </c>
      <c r="AR16" s="1697" t="n">
        <v>0</v>
      </c>
      <c r="AS16" s="1697" t="n">
        <v>0</v>
      </c>
      <c r="AT16" s="1697" t="n">
        <v>0</v>
      </c>
      <c r="AU16" s="1697" t="n">
        <v>0</v>
      </c>
      <c r="AV16" s="1697">
        <f t="array" ref="AV16">AVERAGE(AR16:AU16)</f>
        <v/>
      </c>
      <c r="AW16" s="1698" t="n">
        <v>0</v>
      </c>
      <c r="AX16" s="1699" t="n"/>
      <c r="AY16" s="1699" t="n"/>
      <c r="AZ16" s="1700" t="n">
        <v>0</v>
      </c>
      <c r="BA16" s="1701">
        <f t="array" ref="BA16">AVERAGE(AW16:AZ16)</f>
        <v/>
      </c>
      <c r="BB16" s="1702" t="n"/>
      <c r="BC16" s="1699" t="n"/>
      <c r="BD16" s="1699" t="n"/>
      <c r="BE16" s="1699" t="n"/>
      <c r="BF16" s="1701" t="n">
        <v>0</v>
      </c>
      <c r="BG16" s="1695" t="n"/>
      <c r="BH16" s="1695" t="n"/>
      <c r="BI16" s="1695" t="n"/>
      <c r="BJ16" s="1695" t="n"/>
      <c r="BK16" s="1697" t="n"/>
      <c r="BL16" s="1695" t="n"/>
      <c r="BM16" s="1695" t="n"/>
      <c r="BN16" s="1695" t="n"/>
      <c r="BO16" s="1695" t="n"/>
      <c r="BP16" s="1697" t="n"/>
      <c r="BQ16" s="1695" t="n"/>
      <c r="BR16" s="1695" t="n"/>
      <c r="BS16" s="1695" t="n"/>
      <c r="BT16" s="1695" t="n"/>
      <c r="BU16" s="1697" t="n"/>
      <c r="BV16" s="1695" t="n"/>
      <c r="BW16" s="1695" t="n"/>
      <c r="BX16" s="1695" t="n"/>
      <c r="BY16" s="1695" t="n"/>
      <c r="BZ16" s="1697" t="n"/>
      <c r="CA16" s="1703" t="n"/>
      <c r="CB16" s="456" t="n"/>
      <c r="CC16" s="701" t="n"/>
      <c r="CD16" s="701" t="n"/>
      <c r="CE16" s="701" t="n"/>
      <c r="CF16" s="701" t="n"/>
      <c r="CG16" s="701" t="n"/>
      <c r="CH16" s="701" t="n"/>
      <c r="CI16" s="701" t="n"/>
      <c r="CJ16" s="701" t="n"/>
      <c r="CK16" s="701" t="n"/>
      <c r="CL16" s="701" t="n"/>
      <c r="CM16" s="701" t="n"/>
      <c r="CN16" s="701" t="n"/>
      <c r="CO16" s="701" t="n"/>
      <c r="CP16" s="701" t="n"/>
      <c r="CQ16" s="701" t="n"/>
      <c r="CR16" s="701" t="n"/>
      <c r="CS16" s="701" t="n"/>
      <c r="CT16" s="701" t="n"/>
      <c r="CU16" s="701" t="n"/>
      <c r="CV16" s="701" t="n"/>
      <c r="CW16" s="30" t="n"/>
    </row>
    <row r="17" hidden="1" ht="12.75" customHeight="1" s="1676">
      <c r="A17" s="31" t="n"/>
      <c r="B17" s="90" t="inlineStr">
        <is>
          <t>Text_15</t>
        </is>
      </c>
      <c r="C17" s="66" t="n"/>
      <c r="D17" s="1695" t="n"/>
      <c r="E17" s="1695" t="n"/>
      <c r="F17" s="1695" t="n"/>
      <c r="G17" s="1695" t="n"/>
      <c r="H17" s="1696" t="n"/>
      <c r="I17" s="1704" t="n"/>
      <c r="J17" s="1704" t="n"/>
      <c r="K17" s="1704" t="n"/>
      <c r="L17" s="1704" t="n"/>
      <c r="M17" s="1704" t="n"/>
      <c r="N17" s="1704">
        <f t="array" ref="N17">N16/I16-1</f>
        <v/>
      </c>
      <c r="O17" s="1704">
        <f t="array" ref="O17">O16/J16-1</f>
        <v/>
      </c>
      <c r="P17" s="1704">
        <f t="array" ref="P17">P16/K16-1</f>
        <v/>
      </c>
      <c r="Q17" s="1704">
        <f t="array" ref="Q17">Q16/L16-1</f>
        <v/>
      </c>
      <c r="R17" s="1704">
        <f t="array" ref="R17">R16/M16-1</f>
        <v/>
      </c>
      <c r="S17" s="1704">
        <f t="array" ref="S17">S16/N16-1</f>
        <v/>
      </c>
      <c r="T17" s="1704">
        <f t="array" ref="T17">T16/O16-1</f>
        <v/>
      </c>
      <c r="U17" s="1704">
        <f t="array" ref="U17">U16/P16-1</f>
        <v/>
      </c>
      <c r="V17" s="1704">
        <f t="array" ref="V17">V16/Q16-1</f>
        <v/>
      </c>
      <c r="W17" s="1704">
        <f t="array" ref="W17">W16/R16-1</f>
        <v/>
      </c>
      <c r="X17" s="1704">
        <f t="array" ref="X17">X16/S16-1</f>
        <v/>
      </c>
      <c r="Y17" s="1704">
        <f t="array" ref="Y17">Y16/T16-1</f>
        <v/>
      </c>
      <c r="Z17" s="1704">
        <f t="array" ref="Z17">Z16/U16-1</f>
        <v/>
      </c>
      <c r="AA17" s="1704">
        <f t="array" ref="AA17">AA16/V16-1</f>
        <v/>
      </c>
      <c r="AB17" s="1704">
        <f t="array" ref="AB17">AB16/W16-1</f>
        <v/>
      </c>
      <c r="AC17" s="1704">
        <f t="array" ref="AC17">AC16/X16-1</f>
        <v/>
      </c>
      <c r="AD17" s="1704">
        <f t="array" ref="AD17">AD16/Y16-1</f>
        <v/>
      </c>
      <c r="AE17" s="1704">
        <f t="array" ref="AE17">AE16/Z16-1</f>
        <v/>
      </c>
      <c r="AF17" s="1704">
        <f t="array" ref="AF17">AF16/AA16-1</f>
        <v/>
      </c>
      <c r="AG17" s="1704">
        <f t="array" ref="AG17">AG16/AB16-1</f>
        <v/>
      </c>
      <c r="AH17" s="1704">
        <f t="array" ref="AH17">AH16/AC16-1</f>
        <v/>
      </c>
      <c r="AI17" s="1704">
        <f t="array" ref="AI17">AI16/AD16-1</f>
        <v/>
      </c>
      <c r="AJ17" s="1704">
        <f t="array" ref="AJ17">AJ16/AE16-1</f>
        <v/>
      </c>
      <c r="AK17" s="1704">
        <f t="array" ref="AK17">AK16/AF16-1</f>
        <v/>
      </c>
      <c r="AL17" s="1704">
        <f t="array" ref="AL17">AL16/AG16-1</f>
        <v/>
      </c>
      <c r="AM17" s="1704">
        <f t="array" ref="AM17">AM16/AH16-1</f>
        <v/>
      </c>
      <c r="AN17" s="1704">
        <f t="array" ref="AN17">AN16/AI16-1</f>
        <v/>
      </c>
      <c r="AO17" s="1704">
        <f t="array" ref="AO17">AO16/AJ16-1</f>
        <v/>
      </c>
      <c r="AP17" s="1704">
        <f t="array" ref="AP17">AP16/AK16-1</f>
        <v/>
      </c>
      <c r="AQ17" s="1704">
        <f t="array" ref="AQ17">AQ16/AL16-1</f>
        <v/>
      </c>
      <c r="AR17" s="1704">
        <f t="array" ref="AR17">AR16/AM16-1</f>
        <v/>
      </c>
      <c r="AS17" s="1704">
        <f t="array" ref="AS17">AS16/AN16-1</f>
        <v/>
      </c>
      <c r="AT17" s="1704">
        <f t="array" ref="AT17">AT16/AO16-1</f>
        <v/>
      </c>
      <c r="AU17" s="1704">
        <f t="array" ref="AU17">AU16/AP16-1</f>
        <v/>
      </c>
      <c r="AV17" s="1704">
        <f t="array" ref="AV17">AV16/AQ16-1</f>
        <v/>
      </c>
      <c r="AW17" s="1705">
        <f t="array" ref="AW17">AW16/AR16-1</f>
        <v/>
      </c>
      <c r="AX17" s="1699" t="n"/>
      <c r="AY17" s="1699" t="n"/>
      <c r="AZ17" s="1706">
        <f t="array" ref="AZ17">AZ16/AU16-1</f>
        <v/>
      </c>
      <c r="BA17" s="1707">
        <f t="array" ref="BA17">BA16/AV16-1</f>
        <v/>
      </c>
      <c r="BB17" s="1702" t="n"/>
      <c r="BC17" s="1699" t="n"/>
      <c r="BD17" s="1699" t="n"/>
      <c r="BE17" s="1699" t="n"/>
      <c r="BF17" s="1707">
        <f t="array" ref="BF17">BF16/BA16-1</f>
        <v/>
      </c>
      <c r="BG17" s="1695" t="n"/>
      <c r="BH17" s="1695" t="n"/>
      <c r="BI17" s="1695" t="n"/>
      <c r="BJ17" s="1695" t="n"/>
      <c r="BK17" s="1704" t="n"/>
      <c r="BL17" s="1695" t="n"/>
      <c r="BM17" s="1695" t="n"/>
      <c r="BN17" s="1695" t="n"/>
      <c r="BO17" s="1695" t="n"/>
      <c r="BP17" s="1704" t="n"/>
      <c r="BQ17" s="1695" t="n"/>
      <c r="BR17" s="1695" t="n"/>
      <c r="BS17" s="1695" t="n"/>
      <c r="BT17" s="1695" t="n"/>
      <c r="BU17" s="1704" t="n"/>
      <c r="BV17" s="1695" t="n"/>
      <c r="BW17" s="1695" t="n"/>
      <c r="BX17" s="1695" t="n"/>
      <c r="BY17" s="1695" t="n"/>
      <c r="BZ17" s="1704" t="n"/>
      <c r="CA17" s="1703" t="n"/>
      <c r="CB17" s="456" t="n"/>
      <c r="CC17" s="701" t="n"/>
      <c r="CD17" s="701" t="n"/>
      <c r="CE17" s="701" t="n"/>
      <c r="CF17" s="701" t="n"/>
      <c r="CG17" s="701" t="n"/>
      <c r="CH17" s="701" t="n"/>
      <c r="CI17" s="701" t="n"/>
      <c r="CJ17" s="701" t="n"/>
      <c r="CK17" s="701" t="n"/>
      <c r="CL17" s="701" t="n"/>
      <c r="CM17" s="701" t="n"/>
      <c r="CN17" s="701" t="n"/>
      <c r="CO17" s="701" t="n"/>
      <c r="CP17" s="701" t="n"/>
      <c r="CQ17" s="701" t="n"/>
      <c r="CR17" s="701" t="n"/>
      <c r="CS17" s="701" t="n"/>
      <c r="CT17" s="701" t="n"/>
      <c r="CU17" s="701" t="n"/>
      <c r="CV17" s="701" t="n"/>
      <c r="CW17" s="30" t="n"/>
    </row>
    <row r="18" hidden="1" ht="12.75" customHeight="1" s="1676">
      <c r="A18" s="31" t="n"/>
      <c r="B18" s="80" t="inlineStr">
        <is>
          <t>Text_19</t>
        </is>
      </c>
      <c r="C18" s="66" t="n"/>
      <c r="D18" s="1695" t="n"/>
      <c r="E18" s="1695" t="n"/>
      <c r="F18" s="1695" t="n"/>
      <c r="G18" s="1695" t="n"/>
      <c r="H18" s="1696" t="n"/>
      <c r="I18" s="1697" t="n">
        <v>0</v>
      </c>
      <c r="J18" s="1697" t="n">
        <v>0</v>
      </c>
      <c r="K18" s="1697" t="n">
        <v>0</v>
      </c>
      <c r="L18" s="1697" t="n">
        <v>0</v>
      </c>
      <c r="M18" s="1697">
        <f t="array" ref="M18">AVERAGE(I18:L18)</f>
        <v/>
      </c>
      <c r="N18" s="1697" t="n">
        <v>0</v>
      </c>
      <c r="O18" s="1697" t="n">
        <v>0</v>
      </c>
      <c r="P18" s="1697" t="n">
        <v>0</v>
      </c>
      <c r="Q18" s="1697" t="n">
        <v>0</v>
      </c>
      <c r="R18" s="1697">
        <f t="array" ref="R18">AVERAGE(N18:Q18)</f>
        <v/>
      </c>
      <c r="S18" s="1697" t="n">
        <v>0</v>
      </c>
      <c r="T18" s="1697" t="n">
        <v>0</v>
      </c>
      <c r="U18" s="1697" t="n">
        <v>0</v>
      </c>
      <c r="V18" s="1697" t="n">
        <v>0</v>
      </c>
      <c r="W18" s="1697">
        <f t="array" ref="W18">AVERAGE(S18:V18)</f>
        <v/>
      </c>
      <c r="X18" s="1697" t="n">
        <v>0</v>
      </c>
      <c r="Y18" s="1697" t="n">
        <v>0</v>
      </c>
      <c r="Z18" s="1697" t="n">
        <v>0</v>
      </c>
      <c r="AA18" s="1697" t="n">
        <v>0</v>
      </c>
      <c r="AB18" s="1697">
        <f t="array" ref="AB18">AVERAGE(X18:AA18)</f>
        <v/>
      </c>
      <c r="AC18" s="1697" t="n">
        <v>0</v>
      </c>
      <c r="AD18" s="1697" t="n">
        <v>0</v>
      </c>
      <c r="AE18" s="1697" t="n">
        <v>0</v>
      </c>
      <c r="AF18" s="1697" t="n">
        <v>0</v>
      </c>
      <c r="AG18" s="1697">
        <f t="array" ref="AG18">AVERAGE(AC18:AF18)</f>
        <v/>
      </c>
      <c r="AH18" s="1697" t="n">
        <v>0</v>
      </c>
      <c r="AI18" s="1697" t="n">
        <v>0</v>
      </c>
      <c r="AJ18" s="1697" t="n">
        <v>0</v>
      </c>
      <c r="AK18" s="1697" t="n">
        <v>0</v>
      </c>
      <c r="AL18" s="1697">
        <f t="array" ref="AL18">AVERAGE(AH18:AK18)</f>
        <v/>
      </c>
      <c r="AM18" s="1697" t="n">
        <v>0</v>
      </c>
      <c r="AN18" s="1697" t="n">
        <v>0</v>
      </c>
      <c r="AO18" s="1697" t="n">
        <v>0</v>
      </c>
      <c r="AP18" s="1697" t="n">
        <v>0</v>
      </c>
      <c r="AQ18" s="1697">
        <f t="array" ref="AQ18">AVERAGE(AM18:AP18)</f>
        <v/>
      </c>
      <c r="AR18" s="1697" t="n">
        <v>0</v>
      </c>
      <c r="AS18" s="1697" t="n">
        <v>0</v>
      </c>
      <c r="AT18" s="1697" t="n">
        <v>0</v>
      </c>
      <c r="AU18" s="1697" t="n">
        <v>0</v>
      </c>
      <c r="AV18" s="1697">
        <f t="array" ref="AV18">AVERAGE(AR18:AU18)</f>
        <v/>
      </c>
      <c r="AW18" s="1698" t="n">
        <v>0</v>
      </c>
      <c r="AX18" s="1699" t="n"/>
      <c r="AY18" s="1699" t="n"/>
      <c r="AZ18" s="1700" t="n">
        <v>0</v>
      </c>
      <c r="BA18" s="1701">
        <f t="array" ref="BA18">AVERAGE(AW18:AZ18)</f>
        <v/>
      </c>
      <c r="BB18" s="1702" t="n"/>
      <c r="BC18" s="1699" t="n"/>
      <c r="BD18" s="1699" t="n"/>
      <c r="BE18" s="1699" t="n"/>
      <c r="BF18" s="1701" t="n">
        <v>0</v>
      </c>
      <c r="BG18" s="1695" t="n"/>
      <c r="BH18" s="1695" t="n"/>
      <c r="BI18" s="1695" t="n"/>
      <c r="BJ18" s="1695" t="n"/>
      <c r="BK18" s="1697" t="n"/>
      <c r="BL18" s="1695" t="n"/>
      <c r="BM18" s="1695" t="n"/>
      <c r="BN18" s="1695" t="n"/>
      <c r="BO18" s="1695" t="n"/>
      <c r="BP18" s="1697" t="n"/>
      <c r="BQ18" s="1695" t="n"/>
      <c r="BR18" s="1695" t="n"/>
      <c r="BS18" s="1695" t="n"/>
      <c r="BT18" s="1695" t="n"/>
      <c r="BU18" s="1697" t="n"/>
      <c r="BV18" s="1695" t="n"/>
      <c r="BW18" s="1695" t="n"/>
      <c r="BX18" s="1695" t="n"/>
      <c r="BY18" s="1695" t="n"/>
      <c r="BZ18" s="1697" t="n"/>
      <c r="CA18" s="1703" t="n"/>
      <c r="CB18" s="456" t="n"/>
      <c r="CC18" s="701" t="n"/>
      <c r="CD18" s="701" t="n"/>
      <c r="CE18" s="701" t="n"/>
      <c r="CF18" s="701" t="n"/>
      <c r="CG18" s="701" t="n"/>
      <c r="CH18" s="701" t="n"/>
      <c r="CI18" s="701" t="n"/>
      <c r="CJ18" s="701" t="n"/>
      <c r="CK18" s="701" t="n"/>
      <c r="CL18" s="701" t="n"/>
      <c r="CM18" s="701" t="n"/>
      <c r="CN18" s="701" t="n"/>
      <c r="CO18" s="701" t="n"/>
      <c r="CP18" s="701" t="n"/>
      <c r="CQ18" s="701" t="n"/>
      <c r="CR18" s="701" t="n"/>
      <c r="CS18" s="701" t="n"/>
      <c r="CT18" s="701" t="n"/>
      <c r="CU18" s="701" t="n"/>
      <c r="CV18" s="701" t="n"/>
      <c r="CW18" s="30" t="n"/>
    </row>
    <row r="19" hidden="1" ht="12.75" customHeight="1" s="1676">
      <c r="A19" s="31" t="n"/>
      <c r="B19" s="90" t="inlineStr">
        <is>
          <t>Text_15</t>
        </is>
      </c>
      <c r="C19" s="66" t="n"/>
      <c r="D19" s="1695" t="n"/>
      <c r="E19" s="1695" t="n"/>
      <c r="F19" s="1695" t="n"/>
      <c r="G19" s="1695" t="n"/>
      <c r="H19" s="1696" t="n"/>
      <c r="I19" s="1704" t="n"/>
      <c r="J19" s="1704" t="n"/>
      <c r="K19" s="1704" t="n"/>
      <c r="L19" s="1704" t="n"/>
      <c r="M19" s="1704" t="n"/>
      <c r="N19" s="1704">
        <f t="array" ref="N19">N18/I18-1</f>
        <v/>
      </c>
      <c r="O19" s="1704">
        <f t="array" ref="O19">O18/J18-1</f>
        <v/>
      </c>
      <c r="P19" s="1704">
        <f t="array" ref="P19">P18/K18-1</f>
        <v/>
      </c>
      <c r="Q19" s="1704">
        <f t="array" ref="Q19">Q18/L18-1</f>
        <v/>
      </c>
      <c r="R19" s="1704">
        <f t="array" ref="R19">R18/M18-1</f>
        <v/>
      </c>
      <c r="S19" s="1704">
        <f t="array" ref="S19">S18/N18-1</f>
        <v/>
      </c>
      <c r="T19" s="1704">
        <f t="array" ref="T19">T18/O18-1</f>
        <v/>
      </c>
      <c r="U19" s="1704">
        <f t="array" ref="U19">U18/P18-1</f>
        <v/>
      </c>
      <c r="V19" s="1704">
        <f t="array" ref="V19">V18/Q18-1</f>
        <v/>
      </c>
      <c r="W19" s="1704">
        <f t="array" ref="W19">W18/R18-1</f>
        <v/>
      </c>
      <c r="X19" s="1704">
        <f t="array" ref="X19">X18/S18-1</f>
        <v/>
      </c>
      <c r="Y19" s="1704">
        <f t="array" ref="Y19">Y18/T18-1</f>
        <v/>
      </c>
      <c r="Z19" s="1704">
        <f t="array" ref="Z19">Z18/U18-1</f>
        <v/>
      </c>
      <c r="AA19" s="1704">
        <f t="array" ref="AA19">AA18/V18-1</f>
        <v/>
      </c>
      <c r="AB19" s="1704">
        <f t="array" ref="AB19">AB18/W18-1</f>
        <v/>
      </c>
      <c r="AC19" s="1704">
        <f t="array" ref="AC19">AC18/X18-1</f>
        <v/>
      </c>
      <c r="AD19" s="1704">
        <f t="array" ref="AD19">AD18/Y18-1</f>
        <v/>
      </c>
      <c r="AE19" s="1704">
        <f t="array" ref="AE19">AE18/Z18-1</f>
        <v/>
      </c>
      <c r="AF19" s="1704">
        <f t="array" ref="AF19">AF18/AA18-1</f>
        <v/>
      </c>
      <c r="AG19" s="1704">
        <f t="array" ref="AG19">AG18/AB18-1</f>
        <v/>
      </c>
      <c r="AH19" s="1704">
        <f t="array" ref="AH19">AH18/AC18-1</f>
        <v/>
      </c>
      <c r="AI19" s="1704">
        <f t="array" ref="AI19">AI18/AD18-1</f>
        <v/>
      </c>
      <c r="AJ19" s="1704">
        <f t="array" ref="AJ19">AJ18/AE18-1</f>
        <v/>
      </c>
      <c r="AK19" s="1704">
        <f t="array" ref="AK19">AK18/AF18-1</f>
        <v/>
      </c>
      <c r="AL19" s="1704">
        <f t="array" ref="AL19">AL18/AG18-1</f>
        <v/>
      </c>
      <c r="AM19" s="1704">
        <f t="array" ref="AM19">AM18/AH18-1</f>
        <v/>
      </c>
      <c r="AN19" s="1704">
        <f t="array" ref="AN19">AN18/AI18-1</f>
        <v/>
      </c>
      <c r="AO19" s="1704">
        <f t="array" ref="AO19">AO18/AJ18-1</f>
        <v/>
      </c>
      <c r="AP19" s="1704">
        <f t="array" ref="AP19">AP18/AK18-1</f>
        <v/>
      </c>
      <c r="AQ19" s="1704">
        <f t="array" ref="AQ19">AQ18/AL18-1</f>
        <v/>
      </c>
      <c r="AR19" s="1704">
        <f t="array" ref="AR19">AR18/AM18-1</f>
        <v/>
      </c>
      <c r="AS19" s="1704">
        <f t="array" ref="AS19">AS18/AN18-1</f>
        <v/>
      </c>
      <c r="AT19" s="1704">
        <f t="array" ref="AT19">AT18/AO18-1</f>
        <v/>
      </c>
      <c r="AU19" s="1704">
        <f t="array" ref="AU19">AU18/AP18-1</f>
        <v/>
      </c>
      <c r="AV19" s="1704">
        <f t="array" ref="AV19">AV18/AQ18-1</f>
        <v/>
      </c>
      <c r="AW19" s="1705">
        <f t="array" ref="AW19">AW18/AR18-1</f>
        <v/>
      </c>
      <c r="AX19" s="1699" t="n"/>
      <c r="AY19" s="1699" t="n"/>
      <c r="AZ19" s="1706">
        <f t="array" ref="AZ19">AZ18/AU18-1</f>
        <v/>
      </c>
      <c r="BA19" s="1707">
        <f t="array" ref="BA19">BA18/AV18-1</f>
        <v/>
      </c>
      <c r="BB19" s="1702" t="n"/>
      <c r="BC19" s="1699" t="n"/>
      <c r="BD19" s="1699" t="n"/>
      <c r="BE19" s="1699" t="n"/>
      <c r="BF19" s="1707">
        <f t="array" ref="BF19">BF18/BA18-1</f>
        <v/>
      </c>
      <c r="BG19" s="1695" t="n"/>
      <c r="BH19" s="1695" t="n"/>
      <c r="BI19" s="1695" t="n"/>
      <c r="BJ19" s="1695" t="n"/>
      <c r="BK19" s="1704" t="n"/>
      <c r="BL19" s="1695" t="n"/>
      <c r="BM19" s="1695" t="n"/>
      <c r="BN19" s="1695" t="n"/>
      <c r="BO19" s="1695" t="n"/>
      <c r="BP19" s="1704" t="n"/>
      <c r="BQ19" s="1695" t="n"/>
      <c r="BR19" s="1695" t="n"/>
      <c r="BS19" s="1695" t="n"/>
      <c r="BT19" s="1695" t="n"/>
      <c r="BU19" s="1704" t="n"/>
      <c r="BV19" s="1695" t="n"/>
      <c r="BW19" s="1695" t="n"/>
      <c r="BX19" s="1695" t="n"/>
      <c r="BY19" s="1695" t="n"/>
      <c r="BZ19" s="1704" t="n"/>
      <c r="CA19" s="1703" t="n"/>
      <c r="CB19" s="456" t="n"/>
      <c r="CC19" s="701" t="n"/>
      <c r="CD19" s="701" t="n"/>
      <c r="CE19" s="701" t="n"/>
      <c r="CF19" s="701" t="n"/>
      <c r="CG19" s="701" t="n"/>
      <c r="CH19" s="701" t="n"/>
      <c r="CI19" s="701" t="n"/>
      <c r="CJ19" s="701" t="n"/>
      <c r="CK19" s="701" t="n"/>
      <c r="CL19" s="701" t="n"/>
      <c r="CM19" s="701" t="n"/>
      <c r="CN19" s="701" t="n"/>
      <c r="CO19" s="701" t="n"/>
      <c r="CP19" s="701" t="n"/>
      <c r="CQ19" s="701" t="n"/>
      <c r="CR19" s="701" t="n"/>
      <c r="CS19" s="701" t="n"/>
      <c r="CT19" s="701" t="n"/>
      <c r="CU19" s="701" t="n"/>
      <c r="CV19" s="701" t="n"/>
      <c r="CW19" s="30" t="n"/>
    </row>
    <row r="20" hidden="1" ht="12.75" customHeight="1" s="1676">
      <c r="A20" s="31" t="n"/>
      <c r="B20" s="95" t="inlineStr">
        <is>
          <t>Text_20</t>
        </is>
      </c>
      <c r="C20" s="66" t="n"/>
      <c r="D20" s="1703" t="n"/>
      <c r="E20" s="1703" t="n"/>
      <c r="F20" s="1703" t="n"/>
      <c r="G20" s="1703" t="n"/>
      <c r="H20" s="1708" t="n"/>
      <c r="I20" s="1704">
        <f t="array" ref="I20">(I24*I11)+(I27*I13)+(I30*I17)+(I36*I19)+(I39*I15)</f>
        <v/>
      </c>
      <c r="J20" s="1704">
        <f t="array" ref="J20">(J24*J11)+(J27*J13)+(J30*J17)+(J36*J19)+(J39*J15)</f>
        <v/>
      </c>
      <c r="K20" s="1704">
        <f t="array" ref="K20">(K24*K11)+(K27*K13)+(K30*K17)+(K36*K19)+(K39*K15)</f>
        <v/>
      </c>
      <c r="L20" s="1704">
        <f t="array" ref="L20">(L24*L11)+(L27*L13)+(L30*L17)+(L36*L19)+(L39*L15)</f>
        <v/>
      </c>
      <c r="M20" s="1704">
        <f t="array" ref="M20">(M24*M11)+(M27*M13)+(M30*M17)+(M36*M19)+(M39*M15)</f>
        <v/>
      </c>
      <c r="N20" s="1704">
        <f t="array" ref="N20">(N24*N11)+(N27*N13)+(N30*N17)+(N36*N19)+(N39*N15)</f>
        <v/>
      </c>
      <c r="O20" s="1704">
        <f t="array" ref="O20">(O24*O11)+(O27*O13)+(O30*O17)+(O36*O19)+(O39*O15)</f>
        <v/>
      </c>
      <c r="P20" s="1704">
        <f t="array" ref="P20">(P24*P11)+(P27*P13)+(P30*P17)+(P36*P19)+(P39*P15)</f>
        <v/>
      </c>
      <c r="Q20" s="1704">
        <f t="array" ref="Q20">(Q24*Q11)+(Q27*Q13)+(Q30*Q17)+(Q36*Q19)+(Q39*Q15)</f>
        <v/>
      </c>
      <c r="R20" s="1704">
        <f t="array" ref="R20">(R24*R11)+(R27*R13)+(R30*R17)+(R36*R19)+(R39*R15)</f>
        <v/>
      </c>
      <c r="S20" s="1704">
        <f t="array" ref="S20">(S24*S11)+(S27*S13)+(S30*S17)+(S36*S19)+(S39*S15)</f>
        <v/>
      </c>
      <c r="T20" s="1704">
        <f t="array" ref="T20">(T24*T11)+(T27*T13)+(T30*T17)+(T36*T19)+(T39*T15)</f>
        <v/>
      </c>
      <c r="U20" s="1704">
        <f t="array" ref="U20">(U24*U11)+(U27*U13)+(U30*U17)+(U36*U19)+(U39*U15)</f>
        <v/>
      </c>
      <c r="V20" s="1704">
        <f t="array" ref="V20">(V24*V11)+(V27*V13)+(V30*V17)+(V36*V19)+(V39*V15)</f>
        <v/>
      </c>
      <c r="W20" s="1704">
        <f t="array" ref="W20">(W24*W11)+(W27*W13)+(W30*W17)+(W36*W19)+(W39*W15)</f>
        <v/>
      </c>
      <c r="X20" s="1704">
        <f t="array" ref="X20">(X24*X11)+(X27*X13)+(X30*X17)+(X36*X19)+(X39*X15)</f>
        <v/>
      </c>
      <c r="Y20" s="1704">
        <f t="array" ref="Y20">(Y24*Y11)+(Y27*Y13)+(Y30*Y17)+(Y36*Y19)+(Y39*Y15)</f>
        <v/>
      </c>
      <c r="Z20" s="1704">
        <f t="array" ref="Z20">(Z24*Z11)+(Z27*Z13)+(Z30*Z17)+(Z36*Z19)+(Z39*Z15)</f>
        <v/>
      </c>
      <c r="AA20" s="1704">
        <f t="array" ref="AA20">(AA24*AA11)+(AA27*AA13)+(AA30*AA17)+(AA36*AA19)+(AA39*AA15)</f>
        <v/>
      </c>
      <c r="AB20" s="1704">
        <f t="array" ref="AB20">(AB24*AB11)+(AB27*AB13)+(AB30*AB17)+(AB36*AB19)+(AB39*AB15)</f>
        <v/>
      </c>
      <c r="AC20" s="1704">
        <f t="array" ref="AC20">(AC24*AC11)+(AC27*AC13)+(AC30*AC17)+(AC36*AC19)+(AC39*AC15)</f>
        <v/>
      </c>
      <c r="AD20" s="1704">
        <f t="array" ref="AD20">(AD24*AD11)+(AD27*AD13)+(AD30*AD17)+(AD36*AD19)+(AD39*AD15)</f>
        <v/>
      </c>
      <c r="AE20" s="1704">
        <f t="array" ref="AE20">(AE24*AE11)+(AE27*AE13)+(AE30*AE17)+(AE36*AE19)+(AE39*AE15)</f>
        <v/>
      </c>
      <c r="AF20" s="1704">
        <f t="array" ref="AF20">(AF24*AF11)+(AF27*AF13)+(AF30*AF17)+(AF36*AF19)+(AF39*AF15)</f>
        <v/>
      </c>
      <c r="AG20" s="1704">
        <f t="array" ref="AG20">(AG24*AG11)+(AG27*AG13)+(AG30*AG17)+(AG36*AG19)+(AG39*AG15)</f>
        <v/>
      </c>
      <c r="AH20" s="1704">
        <f t="array" ref="AH20">(AH24*AH11)+(AH27*AH13)+(AH30*AH17)+(AH36*AH19)+(AH39*AH15)</f>
        <v/>
      </c>
      <c r="AI20" s="1704">
        <f t="array" ref="AI20">(AI24*AI11)+(AI27*AI13)+(AI30*AI17)+(AI36*AI19)+(AI39*AI15)</f>
        <v/>
      </c>
      <c r="AJ20" s="1704">
        <f t="array" ref="AJ20">(AJ24*AJ11)+(AJ27*AJ13)+(AJ30*AJ17)+(AJ36*AJ19)+(AJ39*AJ15)</f>
        <v/>
      </c>
      <c r="AK20" s="1704">
        <f t="array" ref="AK20">(AK24*AK11)+(AK27*AK13)+(AK30*AK17)+(AK36*AK19)+(AK39*AK15)</f>
        <v/>
      </c>
      <c r="AL20" s="1704">
        <f t="array" ref="AL20">(AL24*AL11)+(AL27*AL13)+(AL30*AL17)+(AL36*AL19)+(AL39*AL15)</f>
        <v/>
      </c>
      <c r="AM20" s="1704">
        <f t="array" ref="AM20">(AM24*AM11)+(AM27*AM13)+(AM30*AM17)+(AM36*AM19)+(AM39*AM15)</f>
        <v/>
      </c>
      <c r="AN20" s="1704">
        <f t="array" ref="AN20">(AN24*AN11)+(AN27*AN13)+(AN30*AN17)+(AN36*AN19)+(AN39*AN15)</f>
        <v/>
      </c>
      <c r="AO20" s="1704">
        <f t="array" ref="AO20">(AO24*AO11)+(AO27*AO13)+(AO30*AO17)+(AO36*AO19)+(AO39*AO15)</f>
        <v/>
      </c>
      <c r="AP20" s="1704">
        <f t="array" ref="AP20">(AP24*AP11)+(AP27*AP13)+(AP30*AP17)+(AP36*AP19)+(AP39*AP15)</f>
        <v/>
      </c>
      <c r="AQ20" s="1704">
        <f t="array" ref="AQ20">(AQ24*AQ11)+(AQ27*AQ13)+(AQ30*AQ17)+(AQ36*AQ19)+(AQ39*AQ15)</f>
        <v/>
      </c>
      <c r="AR20" s="1704">
        <f t="array" ref="AR20">(AR24*AR11)+(AR27*AR13)+(AR30*AR17)+(AR36*AR19)+(AR39*AR15)</f>
        <v/>
      </c>
      <c r="AS20" s="1704">
        <f t="array" ref="AS20">(AS24*AS11)+(AS27*AS13)+(AS30*AS17)+(AS36*AS19)+(AS39*AS15)</f>
        <v/>
      </c>
      <c r="AT20" s="1704">
        <f t="array" ref="AT20">(AT24*AT11)+(AT27*AT13)+(AT30*AT17)+(AT36*AT19)+(AT39*AT15)</f>
        <v/>
      </c>
      <c r="AU20" s="1704">
        <f t="array" ref="AU20">(AU24*AU11)+(AU27*AU13)+(AU30*AU17)+(AU36*AU19)+(AU39*AU15)</f>
        <v/>
      </c>
      <c r="AV20" s="1704">
        <f t="array" ref="AV20">(AV24*AV11)+(AV27*AV13)+(AV30*AV17)+(AV36*AV19)+(AV39*AV15)</f>
        <v/>
      </c>
      <c r="AW20" s="1705">
        <f t="array" ref="AW20">(AW24*AW11)+(AW27*AW13)+(AW30*AW17)+(AW36*AW19)+(AW39*AW15)</f>
        <v/>
      </c>
      <c r="AX20" s="1706" t="n"/>
      <c r="AY20" s="1706" t="n"/>
      <c r="AZ20" s="1706">
        <f t="array" ref="AZ20">(AZ24*AZ11)+(AZ27*AZ13)+(AZ30*AZ17)+(AZ36*AZ19)+(AZ39*AZ15)</f>
        <v/>
      </c>
      <c r="BA20" s="1707">
        <f t="array" ref="BA20">(BA24*BA11)+(BA27*BA13)+(BA30*BA17)+(BA36*BA19)+(BA39*BA15)</f>
        <v/>
      </c>
      <c r="BB20" s="1705" t="n"/>
      <c r="BC20" s="1706" t="n"/>
      <c r="BD20" s="1706" t="n"/>
      <c r="BE20" s="1706" t="n"/>
      <c r="BF20" s="1707">
        <f t="array" ref="BF20">($AV$24*BF11)+($AV$27*BF13)+($AV$30*BF17)+($AV$36*BF19)+($AV$39*BF15)</f>
        <v/>
      </c>
      <c r="BG20" s="1704" t="n"/>
      <c r="BH20" s="1704" t="n"/>
      <c r="BI20" s="1704" t="n"/>
      <c r="BJ20" s="1704" t="n"/>
      <c r="BK20" s="1704" t="n"/>
      <c r="BL20" s="1704" t="n"/>
      <c r="BM20" s="1704" t="n"/>
      <c r="BN20" s="1704" t="n"/>
      <c r="BO20" s="1704" t="n"/>
      <c r="BP20" s="1704" t="n"/>
      <c r="BQ20" s="1704" t="n"/>
      <c r="BR20" s="1704" t="n"/>
      <c r="BS20" s="1704" t="n"/>
      <c r="BT20" s="1704" t="n"/>
      <c r="BU20" s="1704" t="n"/>
      <c r="BV20" s="1704" t="n"/>
      <c r="BW20" s="1704" t="n"/>
      <c r="BX20" s="1704" t="n"/>
      <c r="BY20" s="1704" t="n"/>
      <c r="BZ20" s="1704" t="n"/>
      <c r="CA20" s="1709" t="n"/>
      <c r="CB20" s="98" t="n"/>
      <c r="CC20" s="701" t="n"/>
      <c r="CD20" s="701" t="n"/>
      <c r="CE20" s="701" t="n"/>
      <c r="CF20" s="701" t="n"/>
      <c r="CG20" s="701" t="n"/>
      <c r="CH20" s="701" t="n"/>
      <c r="CI20" s="701" t="n"/>
      <c r="CJ20" s="701" t="n"/>
      <c r="CK20" s="701" t="n"/>
      <c r="CL20" s="701" t="n"/>
      <c r="CM20" s="701" t="n"/>
      <c r="CN20" s="701" t="n"/>
      <c r="CO20" s="701" t="n"/>
      <c r="CP20" s="701" t="n"/>
      <c r="CQ20" s="701" t="n"/>
      <c r="CR20" s="701" t="n"/>
      <c r="CS20" s="701" t="n"/>
      <c r="CT20" s="701" t="n"/>
      <c r="CU20" s="701" t="n"/>
      <c r="CV20" s="701" t="n"/>
      <c r="CW20" s="30" t="n"/>
    </row>
    <row r="21" ht="12.75" customHeight="1" s="1676">
      <c r="A21" s="31" t="n"/>
      <c r="B21" s="99" t="inlineStr">
        <is>
          <t>Text_21</t>
        </is>
      </c>
      <c r="C21" s="33" t="n"/>
      <c r="D21" s="1710" t="n"/>
      <c r="E21" s="1710" t="n"/>
      <c r="F21" s="1710" t="n"/>
      <c r="G21" s="1710" t="n"/>
      <c r="H21" s="1710" t="n"/>
      <c r="I21" s="1710" t="n"/>
      <c r="J21" s="1710" t="n"/>
      <c r="K21" s="1710" t="n"/>
      <c r="L21" s="1710" t="n"/>
      <c r="M21" s="1710" t="n"/>
      <c r="N21" s="1710" t="n"/>
      <c r="O21" s="1710" t="n"/>
      <c r="P21" s="1710" t="n"/>
      <c r="Q21" s="1710" t="n"/>
      <c r="R21" s="1710" t="n"/>
      <c r="S21" s="1710" t="n"/>
      <c r="T21" s="1710" t="n"/>
      <c r="U21" s="1710" t="n"/>
      <c r="V21" s="1710" t="n"/>
      <c r="W21" s="1710" t="n"/>
      <c r="X21" s="1710" t="n"/>
      <c r="Y21" s="1710" t="n"/>
      <c r="Z21" s="1710" t="n"/>
      <c r="AA21" s="1710" t="n"/>
      <c r="AB21" s="1710" t="n"/>
      <c r="AC21" s="1710" t="n"/>
      <c r="AD21" s="1710" t="n"/>
      <c r="AE21" s="1710" t="n"/>
      <c r="AF21" s="1710" t="n"/>
      <c r="AG21" s="1710" t="n"/>
      <c r="AH21" s="1710" t="n"/>
      <c r="AI21" s="1710" t="n"/>
      <c r="AJ21" s="1710" t="n"/>
      <c r="AK21" s="1710" t="n"/>
      <c r="AL21" s="1710" t="n"/>
      <c r="AM21" s="1710" t="n"/>
      <c r="AN21" s="1710" t="n"/>
      <c r="AO21" s="1710" t="n"/>
      <c r="AP21" s="1710" t="n"/>
      <c r="AQ21" s="1710" t="n"/>
      <c r="AR21" s="1710" t="n"/>
      <c r="AS21" s="1710" t="n"/>
      <c r="AT21" s="1710" t="n"/>
      <c r="AU21" s="1710" t="n"/>
      <c r="AV21" s="1710" t="n"/>
      <c r="AW21" s="1710" t="n"/>
      <c r="AX21" s="1710" t="n"/>
      <c r="AY21" s="1710" t="n"/>
      <c r="AZ21" s="1711" t="n"/>
      <c r="BA21" s="1712" t="n"/>
      <c r="BB21" s="1710" t="n"/>
      <c r="BC21" s="1710" t="n"/>
      <c r="BD21" s="1710" t="n"/>
      <c r="BE21" s="1710" t="n"/>
      <c r="BF21" s="1710" t="n"/>
      <c r="BG21" s="1710" t="n"/>
      <c r="BH21" s="1710" t="n"/>
      <c r="BI21" s="1710" t="n"/>
      <c r="BJ21" s="1710" t="n"/>
      <c r="BK21" s="1710" t="n"/>
      <c r="BL21" s="1710" t="n"/>
      <c r="BM21" s="1710" t="n"/>
      <c r="BN21" s="1710" t="n"/>
      <c r="BO21" s="1710" t="n"/>
      <c r="BP21" s="1710" t="n"/>
      <c r="BQ21" s="1710" t="n"/>
      <c r="BR21" s="1710" t="n"/>
      <c r="BS21" s="1710" t="n"/>
      <c r="BT21" s="1710" t="n"/>
      <c r="BU21" s="1710" t="n"/>
      <c r="BV21" s="1710" t="n"/>
      <c r="BW21" s="1710" t="n"/>
      <c r="BX21" s="1710" t="n"/>
      <c r="BY21" s="1710" t="n"/>
      <c r="BZ21" s="1710" t="n"/>
      <c r="CA21" s="1710" t="n"/>
      <c r="CB21" s="456" t="n"/>
      <c r="CC21" s="701" t="n"/>
      <c r="CD21" s="701" t="n"/>
      <c r="CE21" s="701" t="n"/>
      <c r="CF21" s="701" t="n"/>
      <c r="CG21" s="701" t="n"/>
      <c r="CH21" s="701" t="n"/>
      <c r="CI21" s="701" t="n"/>
      <c r="CJ21" s="701" t="n"/>
      <c r="CK21" s="701" t="n"/>
      <c r="CL21" s="701" t="n"/>
      <c r="CM21" s="701" t="n"/>
      <c r="CN21" s="701" t="n"/>
      <c r="CO21" s="701" t="n"/>
      <c r="CP21" s="701" t="n"/>
      <c r="CQ21" s="701" t="n"/>
      <c r="CR21" s="701" t="n"/>
      <c r="CS21" s="701" t="n"/>
      <c r="CT21" s="701" t="n"/>
      <c r="CU21" s="701" t="n"/>
      <c r="CV21" s="701" t="n"/>
      <c r="CW21" s="30" t="n"/>
    </row>
    <row r="22" ht="12.75" customHeight="1" s="1676">
      <c r="A22" s="31" t="n"/>
      <c r="B22" s="103" t="inlineStr">
        <is>
          <t>Text_22</t>
        </is>
      </c>
      <c r="C22" s="699" t="n"/>
      <c r="D22" s="1713" t="n"/>
      <c r="E22" s="1713" t="n"/>
      <c r="F22" s="1713" t="n"/>
      <c r="G22" s="1713" t="n"/>
      <c r="H22" s="1714" t="n"/>
      <c r="I22" s="1715" t="n">
        <v>65.4213335072339</v>
      </c>
      <c r="J22" s="1715" t="n">
        <v>75.5081984871882</v>
      </c>
      <c r="K22" s="1715" t="n">
        <v>85.3183359180284</v>
      </c>
      <c r="L22" s="1715" t="n">
        <v>226.549376017819</v>
      </c>
      <c r="M22" s="1715" t="n">
        <v>483.127472437536</v>
      </c>
      <c r="N22" s="1715" t="n">
        <v>78.9920197066788</v>
      </c>
      <c r="O22" s="1715" t="n">
        <v>61.379564193518</v>
      </c>
      <c r="P22" s="1715" t="n">
        <v>124.398095380679</v>
      </c>
      <c r="Q22" s="1715" t="n">
        <v>134.107852872936</v>
      </c>
      <c r="R22" s="1715" t="n">
        <v>349.795085001226</v>
      </c>
      <c r="S22" s="1715" t="n">
        <v>168.014234348488</v>
      </c>
      <c r="T22" s="1715" t="n">
        <v>54.082184445327</v>
      </c>
      <c r="U22" s="1715" t="n">
        <v>167.298724129299</v>
      </c>
      <c r="V22" s="1715" t="n">
        <v>238.954527229481</v>
      </c>
      <c r="W22" s="1715" t="n">
        <v>684.835876829998</v>
      </c>
      <c r="X22" s="1715" t="n">
        <v>314.516614061838</v>
      </c>
      <c r="Y22" s="1715" t="n">
        <v>272.04436696777</v>
      </c>
      <c r="Z22" s="1715" t="n">
        <v>210.015991212211</v>
      </c>
      <c r="AA22" s="1715" t="n">
        <v>349.254228366449</v>
      </c>
      <c r="AB22" s="1715" t="n">
        <v>1444.17671101142</v>
      </c>
      <c r="AC22" s="1715" t="n">
        <v>376.55151210222</v>
      </c>
      <c r="AD22" s="1715" t="n">
        <v>443.703549584089</v>
      </c>
      <c r="AE22" s="1715" t="n">
        <v>412.212993322436</v>
      </c>
      <c r="AF22" s="1715" t="n">
        <v>394.355168872372</v>
      </c>
      <c r="AG22" s="1715" t="n">
        <v>1697.10378524318</v>
      </c>
      <c r="AH22" s="1715" t="n">
        <v>411.314730688912</v>
      </c>
      <c r="AI22" s="1715" t="n">
        <v>333.525964983534</v>
      </c>
      <c r="AJ22" s="1715" t="n">
        <v>295.130061008002</v>
      </c>
      <c r="AK22" s="1715" t="n">
        <v>573.101583015049</v>
      </c>
      <c r="AL22" s="1715" t="n">
        <v>1766.6311545166</v>
      </c>
      <c r="AM22" s="1715" t="n">
        <v>624.772291924922</v>
      </c>
      <c r="AN22" s="1715" t="n">
        <v>612.2574908063619</v>
      </c>
      <c r="AO22" s="1715" t="n">
        <v>668.836752313748</v>
      </c>
      <c r="AP22" s="1715" t="n">
        <v>657.962300995517</v>
      </c>
      <c r="AQ22" s="1715" t="n">
        <v>2705.87411283415</v>
      </c>
      <c r="AR22" s="1715" t="n">
        <v>723.2653822471279</v>
      </c>
      <c r="AS22" s="1715" t="n">
        <v>764.104193590804</v>
      </c>
      <c r="AT22" s="1715" t="n">
        <v>524.8431231909379</v>
      </c>
      <c r="AU22" s="1715" t="n">
        <v>849.545914319989</v>
      </c>
      <c r="AV22" s="1715" t="n">
        <v>3179.70154320253</v>
      </c>
      <c r="AW22" s="1716" t="n">
        <v>906.4786561653571</v>
      </c>
      <c r="AX22" s="1717">
        <f t="array" ref="AX22">AX24*AX$43</f>
        <v/>
      </c>
      <c r="AY22" s="1717">
        <f t="array" ref="AY22">AY24*AY$43</f>
        <v/>
      </c>
      <c r="AZ22" s="1717">
        <f t="array" ref="AZ22">AZ24*AZ$43</f>
        <v/>
      </c>
      <c r="BA22" s="1718">
        <f t="array" ref="BA22">AZ22+AY22+AX22+AW22</f>
        <v/>
      </c>
      <c r="BB22" s="1716">
        <f t="array" ref="BB22">BB24*BB$43</f>
        <v/>
      </c>
      <c r="BC22" s="1717">
        <f t="array" ref="BC22">BC24*BC212</f>
        <v/>
      </c>
      <c r="BD22" s="1717">
        <f t="array" ref="BD22">BD24*BD43</f>
        <v/>
      </c>
      <c r="BE22" s="1717">
        <f t="array" ref="BE22">BE24*BE43</f>
        <v/>
      </c>
      <c r="BF22" s="1718">
        <f t="array" ref="BF22">BE22+BD22+BC22+BB22</f>
        <v/>
      </c>
      <c r="BG22" s="1715">
        <f t="array" ref="BG22">BG24*BG43</f>
        <v/>
      </c>
      <c r="BH22" s="1715">
        <f t="array" ref="BH22">BH24*BH43</f>
        <v/>
      </c>
      <c r="BI22" s="1715">
        <f t="array" ref="BI22">BI24*BI43</f>
        <v/>
      </c>
      <c r="BJ22" s="1715">
        <f t="array" ref="BJ22">BJ24*BJ43</f>
        <v/>
      </c>
      <c r="BK22" s="1715">
        <f t="array" ref="BK22">BJ22+BI22+BH22+BG22</f>
        <v/>
      </c>
      <c r="BL22" s="1715">
        <f t="array" ref="BL22">BL24*BL43</f>
        <v/>
      </c>
      <c r="BM22" s="1715">
        <f t="array" ref="BM22">BM24*BM43</f>
        <v/>
      </c>
      <c r="BN22" s="1715">
        <f t="array" ref="BN22">BN24*BN43</f>
        <v/>
      </c>
      <c r="BO22" s="1715">
        <f t="array" ref="BO22">BO24*BO43</f>
        <v/>
      </c>
      <c r="BP22" s="1715">
        <f t="array" ref="BP22">BO22+BN22+BM22+BL22</f>
        <v/>
      </c>
      <c r="BQ22" s="1715">
        <f t="array" ref="BQ22">BQ24*BQ43</f>
        <v/>
      </c>
      <c r="BR22" s="1715">
        <f t="array" ref="BR22">BR24*BR43</f>
        <v/>
      </c>
      <c r="BS22" s="1715">
        <f t="array" ref="BS22">BS24*BS43</f>
        <v/>
      </c>
      <c r="BT22" s="1715">
        <f t="array" ref="BT22">BT24*BT43</f>
        <v/>
      </c>
      <c r="BU22" s="1715">
        <f t="array" ref="BU22">BT22+BS22+BR22+BQ22</f>
        <v/>
      </c>
      <c r="BV22" s="1715">
        <f t="array" ref="BV22">BV24*BV43</f>
        <v/>
      </c>
      <c r="BW22" s="1715">
        <f t="array" ref="BW22">BW24*BW43</f>
        <v/>
      </c>
      <c r="BX22" s="1715">
        <f t="array" ref="BX22">BX24*BX43</f>
        <v/>
      </c>
      <c r="BY22" s="1715">
        <f t="array" ref="BY22">BY24*BY43</f>
        <v/>
      </c>
      <c r="BZ22" s="1715">
        <f t="array" ref="BZ22">BY22+BX22+BW22+BV22</f>
        <v/>
      </c>
      <c r="CA22" s="110" t="inlineStr">
        <is>
          <t>Text_23</t>
        </is>
      </c>
      <c r="CB22" s="98" t="n"/>
      <c r="CC22" s="701" t="n"/>
      <c r="CD22" s="701" t="n"/>
      <c r="CE22" s="701" t="n"/>
      <c r="CF22" s="701" t="n"/>
      <c r="CG22" s="701" t="n"/>
      <c r="CH22" s="701" t="n"/>
      <c r="CI22" s="701" t="n"/>
      <c r="CJ22" s="701" t="n"/>
      <c r="CK22" s="701" t="n"/>
      <c r="CL22" s="701" t="n"/>
      <c r="CM22" s="701" t="n"/>
      <c r="CN22" s="701" t="n"/>
      <c r="CO22" s="701" t="n"/>
      <c r="CP22" s="701" t="n"/>
      <c r="CQ22" s="701" t="n"/>
      <c r="CR22" s="701" t="n"/>
      <c r="CS22" s="701" t="n"/>
      <c r="CT22" s="701" t="n"/>
      <c r="CU22" s="701" t="n"/>
      <c r="CV22" s="701" t="n"/>
      <c r="CW22" s="30" t="n"/>
    </row>
    <row r="23" ht="12.75" customHeight="1" s="1676">
      <c r="A23" s="31" t="n"/>
      <c r="B23" s="103" t="inlineStr">
        <is>
          <t>Text_24</t>
        </is>
      </c>
      <c r="C23" s="699" t="n"/>
      <c r="D23" s="1713" t="n"/>
      <c r="E23" s="1713" t="n"/>
      <c r="F23" s="1713" t="n"/>
      <c r="G23" s="1713" t="n"/>
      <c r="H23" s="1714" t="n"/>
      <c r="I23" s="1719" t="n"/>
      <c r="J23" s="1719" t="n"/>
      <c r="K23" s="1719" t="n"/>
      <c r="L23" s="1719" t="n"/>
      <c r="M23" s="1720" t="n"/>
      <c r="N23" s="1720">
        <f t="array" ref="N23">N22/I22-1</f>
        <v/>
      </c>
      <c r="O23" s="1720">
        <f t="array" ref="O23">O22/J22-1</f>
        <v/>
      </c>
      <c r="P23" s="1720">
        <f t="array" ref="P23">P22/K22-1</f>
        <v/>
      </c>
      <c r="Q23" s="1720">
        <f t="array" ref="Q23">Q22/L22-1</f>
        <v/>
      </c>
      <c r="R23" s="1720">
        <f t="array" ref="R23">R22/M22-1</f>
        <v/>
      </c>
      <c r="S23" s="1720">
        <f t="array" ref="S23">S22/N22-1</f>
        <v/>
      </c>
      <c r="T23" s="1720">
        <f t="array" ref="T23">T22/O22-1</f>
        <v/>
      </c>
      <c r="U23" s="1720">
        <f t="array" ref="U23">U22/P22-1</f>
        <v/>
      </c>
      <c r="V23" s="1720">
        <f t="array" ref="V23">V22/Q22-1</f>
        <v/>
      </c>
      <c r="W23" s="1720">
        <f t="array" ref="W23">W22/R22-1</f>
        <v/>
      </c>
      <c r="X23" s="1720">
        <f t="array" ref="X23">X22/S22-1</f>
        <v/>
      </c>
      <c r="Y23" s="1720">
        <f t="array" ref="Y23">Y22/T22-1</f>
        <v/>
      </c>
      <c r="Z23" s="1720">
        <f t="array" ref="Z23">Z22/U22-1</f>
        <v/>
      </c>
      <c r="AA23" s="1720">
        <f t="array" ref="AA23">AA22/V22-1</f>
        <v/>
      </c>
      <c r="AB23" s="1720">
        <f t="array" ref="AB23">AB22/W22-1</f>
        <v/>
      </c>
      <c r="AC23" s="1720">
        <f t="array" ref="AC23">AC22/X22-1</f>
        <v/>
      </c>
      <c r="AD23" s="1720">
        <f t="array" ref="AD23">AD22/Y22-1</f>
        <v/>
      </c>
      <c r="AE23" s="1720">
        <f t="array" ref="AE23">AE22/Z22-1</f>
        <v/>
      </c>
      <c r="AF23" s="1720">
        <f t="array" ref="AF23">AF22/AA22-1</f>
        <v/>
      </c>
      <c r="AG23" s="1720">
        <f t="array" ref="AG23">AG22/AB22-1</f>
        <v/>
      </c>
      <c r="AH23" s="1720">
        <f t="array" ref="AH23">AH22/AC22-1</f>
        <v/>
      </c>
      <c r="AI23" s="1720">
        <f t="array" ref="AI23">AI22/AD22-1</f>
        <v/>
      </c>
      <c r="AJ23" s="1720">
        <f t="array" ref="AJ23">AJ22/AE22-1</f>
        <v/>
      </c>
      <c r="AK23" s="1720">
        <f t="array" ref="AK23">AK22/AF22-1</f>
        <v/>
      </c>
      <c r="AL23" s="1720">
        <f t="array" ref="AL23">AL22/AG22-1</f>
        <v/>
      </c>
      <c r="AM23" s="1720">
        <f t="array" ref="AM23">AM22/AH22-1</f>
        <v/>
      </c>
      <c r="AN23" s="1720">
        <f t="array" ref="AN23">AN22/AI22-1</f>
        <v/>
      </c>
      <c r="AO23" s="1720">
        <f t="array" ref="AO23">AO22/AJ22-1</f>
        <v/>
      </c>
      <c r="AP23" s="1720">
        <f t="array" ref="AP23">AP22/AK22-1</f>
        <v/>
      </c>
      <c r="AQ23" s="1720">
        <f t="array" ref="AQ23">AQ22/AL22-1</f>
        <v/>
      </c>
      <c r="AR23" s="1720">
        <f t="array" ref="AR23">AR22/AM22-1</f>
        <v/>
      </c>
      <c r="AS23" s="1720">
        <f t="array" ref="AS23">AS22/AN22-1</f>
        <v/>
      </c>
      <c r="AT23" s="1720">
        <f t="array" ref="AT23">AT22/AO22-1</f>
        <v/>
      </c>
      <c r="AU23" s="1720">
        <f t="array" ref="AU23">AU22/AP22-1</f>
        <v/>
      </c>
      <c r="AV23" s="1720">
        <f t="array" ref="AV23">AV22/AQ22-1</f>
        <v/>
      </c>
      <c r="AW23" s="1721">
        <f t="array" ref="AW23">AW22/AR22-1</f>
        <v/>
      </c>
      <c r="AX23" s="1722">
        <f t="array" ref="AX23">AX22/AS22-1</f>
        <v/>
      </c>
      <c r="AY23" s="1722">
        <f t="array" ref="AY23">AY22/AT22-1</f>
        <v/>
      </c>
      <c r="AZ23" s="1722">
        <f t="array" ref="AZ23">AZ22/AU22-1</f>
        <v/>
      </c>
      <c r="BA23" s="1723">
        <f t="array" ref="BA23">BA22/AV22-1</f>
        <v/>
      </c>
      <c r="BB23" s="1721">
        <f t="array" ref="BB23">BB22/AW22-1</f>
        <v/>
      </c>
      <c r="BC23" s="1722">
        <f t="array" ref="BC23">BC22/AX22-1</f>
        <v/>
      </c>
      <c r="BD23" s="1722">
        <f t="array" ref="BD23">BD22/AY22-1</f>
        <v/>
      </c>
      <c r="BE23" s="1722">
        <f t="array" ref="BE23">BE22/AZ22-1</f>
        <v/>
      </c>
      <c r="BF23" s="1723">
        <f t="array" ref="BF23">BF22/BA22-1</f>
        <v/>
      </c>
      <c r="BG23" s="1720">
        <f t="array" ref="BG23">BG22/BB22-1</f>
        <v/>
      </c>
      <c r="BH23" s="1720">
        <f t="array" ref="BH23">BH22/BC22-1</f>
        <v/>
      </c>
      <c r="BI23" s="1720">
        <f t="array" ref="BI23">BI22/BD22-1</f>
        <v/>
      </c>
      <c r="BJ23" s="1720">
        <f t="array" ref="BJ23">BJ22/BE22-1</f>
        <v/>
      </c>
      <c r="BK23" s="1720">
        <f t="array" ref="BK23">BK22/BF22-1</f>
        <v/>
      </c>
      <c r="BL23" s="1720">
        <f t="array" ref="BL23">BL22/BG22-1</f>
        <v/>
      </c>
      <c r="BM23" s="1720">
        <f t="array" ref="BM23">BM22/BH22-1</f>
        <v/>
      </c>
      <c r="BN23" s="1720">
        <f t="array" ref="BN23">BN22/BI22-1</f>
        <v/>
      </c>
      <c r="BO23" s="1720">
        <f t="array" ref="BO23">BO22/BJ22-1</f>
        <v/>
      </c>
      <c r="BP23" s="1720">
        <f t="array" ref="BP23">BP22/BK22-1</f>
        <v/>
      </c>
      <c r="BQ23" s="1720">
        <f t="array" ref="BQ23">BQ22/BL22-1</f>
        <v/>
      </c>
      <c r="BR23" s="1720">
        <f t="array" ref="BR23">BR22/BM22-1</f>
        <v/>
      </c>
      <c r="BS23" s="1720">
        <f t="array" ref="BS23">BS22/BN22-1</f>
        <v/>
      </c>
      <c r="BT23" s="1720">
        <f t="array" ref="BT23">BT22/BO22-1</f>
        <v/>
      </c>
      <c r="BU23" s="1720">
        <f t="array" ref="BU23">BU22/BP22-1</f>
        <v/>
      </c>
      <c r="BV23" s="1720">
        <f t="array" ref="BV23">BV22/BQ22-1</f>
        <v/>
      </c>
      <c r="BW23" s="1720">
        <f t="array" ref="BW23">BW22/BR22-1</f>
        <v/>
      </c>
      <c r="BX23" s="1720">
        <f t="array" ref="BX23">BX22/BS22-1</f>
        <v/>
      </c>
      <c r="BY23" s="1720">
        <f t="array" ref="BY23">BY22/BT22-1</f>
        <v/>
      </c>
      <c r="BZ23" s="1720">
        <f t="array" ref="BZ23">BZ22/BU22-1</f>
        <v/>
      </c>
      <c r="CA23" s="1686" t="n"/>
      <c r="CB23" s="98" t="n"/>
      <c r="CC23" s="701" t="n"/>
      <c r="CD23" s="701" t="n"/>
      <c r="CE23" s="701" t="n"/>
      <c r="CF23" s="701" t="n"/>
      <c r="CG23" s="701" t="n"/>
      <c r="CH23" s="701" t="n"/>
      <c r="CI23" s="701" t="n"/>
      <c r="CJ23" s="701" t="n"/>
      <c r="CK23" s="701" t="n"/>
      <c r="CL23" s="701" t="n"/>
      <c r="CM23" s="701" t="n"/>
      <c r="CN23" s="701" t="n"/>
      <c r="CO23" s="701" t="n"/>
      <c r="CP23" s="701" t="n"/>
      <c r="CQ23" s="701" t="n"/>
      <c r="CR23" s="701" t="n"/>
      <c r="CS23" s="701" t="n"/>
      <c r="CT23" s="701" t="n"/>
      <c r="CU23" s="701" t="n"/>
      <c r="CV23" s="701" t="n"/>
      <c r="CW23" s="30" t="n"/>
    </row>
    <row r="24" ht="12.75" customHeight="1" s="1676">
      <c r="A24" s="31" t="n"/>
      <c r="B24" s="116" t="inlineStr">
        <is>
          <t>Text_25</t>
        </is>
      </c>
      <c r="C24" s="699" t="n"/>
      <c r="D24" s="1713" t="n"/>
      <c r="E24" s="1713" t="n"/>
      <c r="F24" s="1713" t="n"/>
      <c r="G24" s="1713" t="n"/>
      <c r="H24" s="1714" t="n"/>
      <c r="I24" s="117">
        <f t="array" ref="I24">I22/I$43</f>
        <v/>
      </c>
      <c r="J24" s="117">
        <f t="array" ref="J24">J22/J$43</f>
        <v/>
      </c>
      <c r="K24" s="117">
        <f t="array" ref="K24">K22/K$43</f>
        <v/>
      </c>
      <c r="L24" s="117">
        <f t="array" ref="L24">L22/L$43</f>
        <v/>
      </c>
      <c r="M24" s="117">
        <f t="array" ref="M24">M22/M$43</f>
        <v/>
      </c>
      <c r="N24" s="117">
        <f t="array" ref="N24">N22/N$43</f>
        <v/>
      </c>
      <c r="O24" s="117">
        <f t="array" ref="O24">O22/O$43</f>
        <v/>
      </c>
      <c r="P24" s="117">
        <f t="array" ref="P24">P22/P$43</f>
        <v/>
      </c>
      <c r="Q24" s="117">
        <f t="array" ref="Q24">Q22/Q$43</f>
        <v/>
      </c>
      <c r="R24" s="117">
        <f t="array" ref="R24">R22/R$43</f>
        <v/>
      </c>
      <c r="S24" s="117">
        <f t="array" ref="S24">S22/S$43</f>
        <v/>
      </c>
      <c r="T24" s="117">
        <f t="array" ref="T24">T22/T$43</f>
        <v/>
      </c>
      <c r="U24" s="117">
        <f t="array" ref="U24">U22/U$43</f>
        <v/>
      </c>
      <c r="V24" s="117">
        <f t="array" ref="V24">V22/V$43</f>
        <v/>
      </c>
      <c r="W24" s="117">
        <f t="array" ref="W24">W22/W$43</f>
        <v/>
      </c>
      <c r="X24" s="117">
        <f t="array" ref="X24">X22/X$43</f>
        <v/>
      </c>
      <c r="Y24" s="117">
        <f t="array" ref="Y24">Y22/Y$43</f>
        <v/>
      </c>
      <c r="Z24" s="117">
        <f t="array" ref="Z24">Z22/Z$43</f>
        <v/>
      </c>
      <c r="AA24" s="117">
        <f t="array" ref="AA24">AA22/AA$43</f>
        <v/>
      </c>
      <c r="AB24" s="118">
        <f t="array" ref="AB24">AB22/AB$43</f>
        <v/>
      </c>
      <c r="AC24" s="117">
        <f t="array" ref="AC24">AC22/AC$43</f>
        <v/>
      </c>
      <c r="AD24" s="117">
        <f t="array" ref="AD24">AD22/AD$43</f>
        <v/>
      </c>
      <c r="AE24" s="117">
        <f t="array" ref="AE24">AE22/AE$43</f>
        <v/>
      </c>
      <c r="AF24" s="117">
        <f t="array" ref="AF24">AF22/AF$43</f>
        <v/>
      </c>
      <c r="AG24" s="117">
        <f t="array" ref="AG24">AG22/AG$43</f>
        <v/>
      </c>
      <c r="AH24" s="117">
        <f t="array" ref="AH24">AH22/AH$43</f>
        <v/>
      </c>
      <c r="AI24" s="117">
        <f t="array" ref="AI24">AI22/AI$43</f>
        <v/>
      </c>
      <c r="AJ24" s="117">
        <f t="array" ref="AJ24">AJ22/AJ$43</f>
        <v/>
      </c>
      <c r="AK24" s="117">
        <f t="array" ref="AK24">AK22/AK$43</f>
        <v/>
      </c>
      <c r="AL24" s="117">
        <f t="array" ref="AL24">AL22/AL$43</f>
        <v/>
      </c>
      <c r="AM24" s="117">
        <f t="array" ref="AM24">AM22/AM$43</f>
        <v/>
      </c>
      <c r="AN24" s="117">
        <f t="array" ref="AN24">AN22/AN$43</f>
        <v/>
      </c>
      <c r="AO24" s="117">
        <f t="array" ref="AO24">AO22/AO$43</f>
        <v/>
      </c>
      <c r="AP24" s="117">
        <f t="array" ref="AP24">AP22/AP$43</f>
        <v/>
      </c>
      <c r="AQ24" s="117">
        <f t="array" ref="AQ24">AQ22/AQ$43</f>
        <v/>
      </c>
      <c r="AR24" s="117">
        <f t="array" ref="AR24">AR22/AR$43</f>
        <v/>
      </c>
      <c r="AS24" s="117">
        <f t="array" ref="AS24">AS22/AS$43</f>
        <v/>
      </c>
      <c r="AT24" s="117">
        <f t="array" ref="AT24">AT22/AT$43</f>
        <v/>
      </c>
      <c r="AU24" s="117">
        <f t="array" ref="AU24">AU22/AU$43</f>
        <v/>
      </c>
      <c r="AV24" s="118">
        <f t="array" ref="AV24">AV22/AV$43</f>
        <v/>
      </c>
      <c r="AW24" s="119">
        <f t="array" ref="AW24">AW22/AW$43</f>
        <v/>
      </c>
      <c r="AX24" s="120" t="n">
        <v>0.382968542402757</v>
      </c>
      <c r="AY24" s="120" t="n">
        <v>0.437665839993471</v>
      </c>
      <c r="AZ24" s="120" t="n">
        <v>0.45213563083906</v>
      </c>
      <c r="BA24" s="121">
        <f t="array" ref="BA24">BA22/$BA$43</f>
        <v/>
      </c>
      <c r="BB24" s="119" t="n">
        <v>0.432824401410295</v>
      </c>
      <c r="BC24" s="120" t="n">
        <v>0.373020976640925</v>
      </c>
      <c r="BD24" s="122" t="n">
        <v>0.282961786069364</v>
      </c>
      <c r="BE24" s="122" t="n">
        <v>0.284527341503712</v>
      </c>
      <c r="BF24" s="121">
        <f t="array" ref="BF24">BF22/BF43</f>
        <v/>
      </c>
      <c r="BG24" s="117" t="n">
        <v>0.275146936968305</v>
      </c>
      <c r="BH24" s="117" t="n">
        <v>0.293555861232689</v>
      </c>
      <c r="BI24" s="117" t="n">
        <v>0.274438732565792</v>
      </c>
      <c r="BJ24" s="117" t="n">
        <v>0.254137798194892</v>
      </c>
      <c r="BK24" s="118">
        <f t="array" ref="BK24">BK22/BK43</f>
        <v/>
      </c>
      <c r="BL24" s="117" t="n">
        <v>0.235451945009534</v>
      </c>
      <c r="BM24" s="117" t="n">
        <v>0.243699410723855</v>
      </c>
      <c r="BN24" s="117" t="n">
        <v>0.244172777400892</v>
      </c>
      <c r="BO24" s="117" t="n">
        <v>0.257653539277935</v>
      </c>
      <c r="BP24" s="118">
        <f t="array" ref="BP24">BP22/BP43</f>
        <v/>
      </c>
      <c r="BQ24" s="117" t="n">
        <v>0.23421842912156</v>
      </c>
      <c r="BR24" s="117" t="n">
        <v>0.241874524105674</v>
      </c>
      <c r="BS24" s="117" t="n">
        <v>0.229147924371633</v>
      </c>
      <c r="BT24" s="117" t="n">
        <v>0.218334223542108</v>
      </c>
      <c r="BU24" s="118">
        <f t="array" ref="BU24">BU22/BU43</f>
        <v/>
      </c>
      <c r="BV24" s="117" t="n">
        <v>0.226255180425208</v>
      </c>
      <c r="BW24" s="117" t="n">
        <v>0.227649694759429</v>
      </c>
      <c r="BX24" s="117" t="n">
        <v>0.221797464462039</v>
      </c>
      <c r="BY24" s="117" t="n">
        <v>0.227948370612</v>
      </c>
      <c r="BZ24" s="118">
        <f t="array" ref="BZ24">BZ22/BZ43</f>
        <v/>
      </c>
      <c r="CA24" s="1686" t="n"/>
      <c r="CB24" s="456" t="n"/>
      <c r="CC24" s="701" t="n"/>
      <c r="CD24" s="701" t="n"/>
      <c r="CE24" s="701" t="n"/>
      <c r="CF24" s="701" t="n"/>
      <c r="CG24" s="701" t="n"/>
      <c r="CH24" s="701" t="n"/>
      <c r="CI24" s="701" t="n"/>
      <c r="CJ24" s="701" t="n"/>
      <c r="CK24" s="701" t="n"/>
      <c r="CL24" s="701" t="n"/>
      <c r="CM24" s="701" t="n"/>
      <c r="CN24" s="701" t="n"/>
      <c r="CO24" s="701" t="n"/>
      <c r="CP24" s="701" t="n"/>
      <c r="CQ24" s="701" t="n"/>
      <c r="CR24" s="701" t="n"/>
      <c r="CS24" s="701" t="n"/>
      <c r="CT24" s="701" t="n"/>
      <c r="CU24" s="701" t="n"/>
      <c r="CV24" s="701" t="n"/>
      <c r="CW24" s="30" t="n"/>
    </row>
    <row r="25" ht="12.75" customHeight="1" s="1676">
      <c r="A25" s="31" t="n"/>
      <c r="B25" s="103" t="inlineStr">
        <is>
          <t>Text_26</t>
        </is>
      </c>
      <c r="C25" s="699" t="n"/>
      <c r="D25" s="1713" t="n"/>
      <c r="E25" s="1713" t="n"/>
      <c r="F25" s="1713" t="n"/>
      <c r="G25" s="1713" t="n"/>
      <c r="H25" s="1714" t="n"/>
      <c r="I25" s="1715" t="n">
        <v>253.416515947834</v>
      </c>
      <c r="J25" s="1715" t="n">
        <v>253.64968596991</v>
      </c>
      <c r="K25" s="1715" t="n">
        <v>143.295804280891</v>
      </c>
      <c r="L25" s="1715" t="n">
        <v>195.71462988198</v>
      </c>
      <c r="M25" s="1715" t="n">
        <v>754.25161250274</v>
      </c>
      <c r="N25" s="1715" t="n">
        <v>222.39436667559</v>
      </c>
      <c r="O25" s="1715" t="n">
        <v>354.394723995393</v>
      </c>
      <c r="P25" s="1715" t="n">
        <v>287.764245459853</v>
      </c>
      <c r="Q25" s="1715" t="n">
        <v>184.339808669547</v>
      </c>
      <c r="R25" s="1715" t="n">
        <v>1284.33840404876</v>
      </c>
      <c r="S25" s="1715" t="n">
        <v>124.663872791456</v>
      </c>
      <c r="T25" s="1715" t="n">
        <v>209.019729707127</v>
      </c>
      <c r="U25" s="1715" t="n">
        <v>172.418141400005</v>
      </c>
      <c r="V25" s="1715" t="n">
        <v>111.06992777911</v>
      </c>
      <c r="W25" s="1715" t="n">
        <v>528.685266543352</v>
      </c>
      <c r="X25" s="1715" t="n">
        <v>233.038996170008</v>
      </c>
      <c r="Y25" s="1715" t="n">
        <v>230.415581830784</v>
      </c>
      <c r="Z25" s="1715" t="n">
        <v>322.860884441578</v>
      </c>
      <c r="AA25" s="1715" t="n">
        <v>347.362244455815</v>
      </c>
      <c r="AB25" s="1715" t="n">
        <v>1164.7292008285</v>
      </c>
      <c r="AC25" s="1715" t="n">
        <v>438.324760650915</v>
      </c>
      <c r="AD25" s="1715" t="n">
        <v>507.841347298992</v>
      </c>
      <c r="AE25" s="1715" t="n">
        <v>298.905316543833</v>
      </c>
      <c r="AF25" s="1715" t="n">
        <v>439.08372209343</v>
      </c>
      <c r="AG25" s="1715" t="n">
        <v>1580.18516097208</v>
      </c>
      <c r="AH25" s="1715" t="n">
        <v>414.680022867699</v>
      </c>
      <c r="AI25" s="1715" t="n">
        <v>439.858462476032</v>
      </c>
      <c r="AJ25" s="1715" t="n">
        <v>367.941383221317</v>
      </c>
      <c r="AK25" s="1715" t="n">
        <v>455.03850438729</v>
      </c>
      <c r="AL25" s="1715" t="n">
        <v>1501.56666595493</v>
      </c>
      <c r="AM25" s="1715" t="n">
        <v>606.923932804243</v>
      </c>
      <c r="AN25" s="1715" t="n">
        <v>875.1264823952951</v>
      </c>
      <c r="AO25" s="1715" t="n">
        <v>602.350259409561</v>
      </c>
      <c r="AP25" s="1715" t="n">
        <v>499.0766134125</v>
      </c>
      <c r="AQ25" s="1715" t="n">
        <v>2560.56005704021</v>
      </c>
      <c r="AR25" s="1715" t="n">
        <v>711.293675923002</v>
      </c>
      <c r="AS25" s="1715" t="n">
        <v>683.519473657673</v>
      </c>
      <c r="AT25" s="1715" t="n">
        <v>412.544116119908</v>
      </c>
      <c r="AU25" s="1715" t="n">
        <v>464.896489874136</v>
      </c>
      <c r="AV25" s="1715" t="n">
        <v>2935.11570185268</v>
      </c>
      <c r="AW25" s="1716" t="n">
        <v>378.665834084483</v>
      </c>
      <c r="AX25" s="1717">
        <f t="array" ref="AX25">AX27*AX$43</f>
        <v/>
      </c>
      <c r="AY25" s="1717">
        <f t="array" ref="AY25">AY27*AY$43</f>
        <v/>
      </c>
      <c r="AZ25" s="1717">
        <f t="array" ref="AZ25">AZ27*AZ$43</f>
        <v/>
      </c>
      <c r="BA25" s="1718">
        <f t="array" ref="BA25">AZ25+AY25+AX25+AW25</f>
        <v/>
      </c>
      <c r="BB25" s="1716">
        <f t="array" ref="BB25">BB27*BB$43</f>
        <v/>
      </c>
      <c r="BC25" s="1717">
        <f t="array" ref="BC25">BC27*BC$43</f>
        <v/>
      </c>
      <c r="BD25" s="1724" t="n"/>
      <c r="BE25" s="1724" t="n"/>
      <c r="BF25" s="1718" t="n"/>
      <c r="BG25" s="1713" t="n"/>
      <c r="BH25" s="1713" t="n"/>
      <c r="BI25" s="1713" t="n"/>
      <c r="BJ25" s="1713" t="n"/>
      <c r="BK25" s="1715" t="n"/>
      <c r="BL25" s="1713" t="n"/>
      <c r="BM25" s="1713" t="n"/>
      <c r="BN25" s="1713" t="n"/>
      <c r="BO25" s="1713" t="n"/>
      <c r="BP25" s="1715" t="n"/>
      <c r="BQ25" s="1713" t="n"/>
      <c r="BR25" s="1713" t="n"/>
      <c r="BS25" s="1713" t="n"/>
      <c r="BT25" s="1713" t="n"/>
      <c r="BU25" s="1715" t="n"/>
      <c r="BV25" s="1713" t="n"/>
      <c r="BW25" s="1713" t="n"/>
      <c r="BX25" s="1713" t="n"/>
      <c r="BY25" s="1713" t="n"/>
      <c r="BZ25" s="1715" t="n"/>
      <c r="CA25" s="1686" t="n"/>
      <c r="CB25" s="98" t="n"/>
      <c r="CC25" s="701" t="n"/>
      <c r="CD25" s="701" t="n"/>
      <c r="CE25" s="701" t="n"/>
      <c r="CF25" s="701" t="n"/>
      <c r="CG25" s="701" t="n"/>
      <c r="CH25" s="701" t="n"/>
      <c r="CI25" s="701" t="n"/>
      <c r="CJ25" s="701" t="n"/>
      <c r="CK25" s="701" t="n"/>
      <c r="CL25" s="701" t="n"/>
      <c r="CM25" s="701" t="n"/>
      <c r="CN25" s="701" t="n"/>
      <c r="CO25" s="701" t="n"/>
      <c r="CP25" s="701" t="n"/>
      <c r="CQ25" s="701" t="n"/>
      <c r="CR25" s="701" t="n"/>
      <c r="CS25" s="701" t="n"/>
      <c r="CT25" s="701" t="n"/>
      <c r="CU25" s="701" t="n"/>
      <c r="CV25" s="701" t="n"/>
      <c r="CW25" s="30" t="n"/>
    </row>
    <row r="26" ht="12.75" customHeight="1" s="1676">
      <c r="A26" s="31" t="n"/>
      <c r="B26" s="103" t="inlineStr">
        <is>
          <t>Text_24</t>
        </is>
      </c>
      <c r="C26" s="699" t="n"/>
      <c r="D26" s="1713" t="n"/>
      <c r="E26" s="1713" t="n"/>
      <c r="F26" s="1713" t="n"/>
      <c r="G26" s="1713" t="n"/>
      <c r="H26" s="1714" t="n"/>
      <c r="I26" s="1719" t="n"/>
      <c r="J26" s="1719" t="n"/>
      <c r="K26" s="1719" t="n"/>
      <c r="L26" s="1719" t="n"/>
      <c r="M26" s="1720" t="n"/>
      <c r="N26" s="1720">
        <f t="array" ref="N26">N25/I25-1</f>
        <v/>
      </c>
      <c r="O26" s="1720">
        <f t="array" ref="O26">O25/J25-1</f>
        <v/>
      </c>
      <c r="P26" s="1720">
        <f t="array" ref="P26">P25/K25-1</f>
        <v/>
      </c>
      <c r="Q26" s="1720">
        <f t="array" ref="Q26">Q25/L25-1</f>
        <v/>
      </c>
      <c r="R26" s="1720">
        <f t="array" ref="R26">R25/M25-1</f>
        <v/>
      </c>
      <c r="S26" s="1720">
        <f t="array" ref="S26">S25/N25-1</f>
        <v/>
      </c>
      <c r="T26" s="1720">
        <f t="array" ref="T26">T25/O25-1</f>
        <v/>
      </c>
      <c r="U26" s="1720">
        <f t="array" ref="U26">U25/P25-1</f>
        <v/>
      </c>
      <c r="V26" s="1720">
        <f t="array" ref="V26">V25/Q25-1</f>
        <v/>
      </c>
      <c r="W26" s="1720">
        <f t="array" ref="W26">W25/R25-1</f>
        <v/>
      </c>
      <c r="X26" s="1720">
        <f t="array" ref="X26">X25/S25-1</f>
        <v/>
      </c>
      <c r="Y26" s="1720">
        <f t="array" ref="Y26">Y25/T25-1</f>
        <v/>
      </c>
      <c r="Z26" s="1720">
        <f t="array" ref="Z26">Z25/U25-1</f>
        <v/>
      </c>
      <c r="AA26" s="1720">
        <f t="array" ref="AA26">AA25/V25-1</f>
        <v/>
      </c>
      <c r="AB26" s="1720">
        <f t="array" ref="AB26">AB25/W25-1</f>
        <v/>
      </c>
      <c r="AC26" s="1720">
        <f t="array" ref="AC26">AC25/X25-1</f>
        <v/>
      </c>
      <c r="AD26" s="1720">
        <f t="array" ref="AD26">AD25/Y25-1</f>
        <v/>
      </c>
      <c r="AE26" s="1720">
        <f t="array" ref="AE26">AE25/Z25-1</f>
        <v/>
      </c>
      <c r="AF26" s="1720">
        <f t="array" ref="AF26">AF25/AA25-1</f>
        <v/>
      </c>
      <c r="AG26" s="1720">
        <f t="array" ref="AG26">AG25/AB25-1</f>
        <v/>
      </c>
      <c r="AH26" s="1720">
        <f t="array" ref="AH26">AH25/AC25-1</f>
        <v/>
      </c>
      <c r="AI26" s="1720">
        <f t="array" ref="AI26">AI25/AD25-1</f>
        <v/>
      </c>
      <c r="AJ26" s="1720">
        <f t="array" ref="AJ26">AJ25/AE25-1</f>
        <v/>
      </c>
      <c r="AK26" s="1720">
        <f t="array" ref="AK26">AK25/AF25-1</f>
        <v/>
      </c>
      <c r="AL26" s="1720">
        <f t="array" ref="AL26">AL25/AG25-1</f>
        <v/>
      </c>
      <c r="AM26" s="1720">
        <f t="array" ref="AM26">AM25/AH25-1</f>
        <v/>
      </c>
      <c r="AN26" s="1720">
        <f t="array" ref="AN26">AN25/AI25-1</f>
        <v/>
      </c>
      <c r="AO26" s="1720">
        <f t="array" ref="AO26">AO25/AJ25-1</f>
        <v/>
      </c>
      <c r="AP26" s="1720">
        <f t="array" ref="AP26">AP25/AK25-1</f>
        <v/>
      </c>
      <c r="AQ26" s="1720">
        <f t="array" ref="AQ26">AQ25/AL25-1</f>
        <v/>
      </c>
      <c r="AR26" s="1720">
        <f t="array" ref="AR26">AR25/AM25-1</f>
        <v/>
      </c>
      <c r="AS26" s="1720">
        <f t="array" ref="AS26">AS25/AN25-1</f>
        <v/>
      </c>
      <c r="AT26" s="1720">
        <f t="array" ref="AT26">AT25/AO25-1</f>
        <v/>
      </c>
      <c r="AU26" s="1720">
        <f t="array" ref="AU26">AU25/AP25-1</f>
        <v/>
      </c>
      <c r="AV26" s="1720">
        <f t="array" ref="AV26">AV25/AQ25-1</f>
        <v/>
      </c>
      <c r="AW26" s="1721">
        <f t="array" ref="AW26">AW25/AR25-1</f>
        <v/>
      </c>
      <c r="AX26" s="1722">
        <f t="array" ref="AX26">AX25/AS25-1</f>
        <v/>
      </c>
      <c r="AY26" s="1722">
        <f t="array" ref="AY26">AY25/AT25-1</f>
        <v/>
      </c>
      <c r="AZ26" s="1722">
        <f t="array" ref="AZ26">AZ25/AU25-1</f>
        <v/>
      </c>
      <c r="BA26" s="1723">
        <f t="array" ref="BA26">BA25/AV25-1</f>
        <v/>
      </c>
      <c r="BB26" s="1721">
        <f t="array" ref="BB26">BB25/AW25-1</f>
        <v/>
      </c>
      <c r="BC26" s="1722">
        <f t="array" ref="BC26">BC25/AX25-1</f>
        <v/>
      </c>
      <c r="BD26" s="1724" t="n"/>
      <c r="BE26" s="1724" t="n"/>
      <c r="BF26" s="1723" t="n"/>
      <c r="BG26" s="1713" t="n"/>
      <c r="BH26" s="1713" t="n"/>
      <c r="BI26" s="1713" t="n"/>
      <c r="BJ26" s="1713" t="n"/>
      <c r="BK26" s="1720" t="n"/>
      <c r="BL26" s="1713" t="n"/>
      <c r="BM26" s="1713" t="n"/>
      <c r="BN26" s="1713" t="n"/>
      <c r="BO26" s="1713" t="n"/>
      <c r="BP26" s="1720" t="n"/>
      <c r="BQ26" s="1713" t="n"/>
      <c r="BR26" s="1713" t="n"/>
      <c r="BS26" s="1713" t="n"/>
      <c r="BT26" s="1713" t="n"/>
      <c r="BU26" s="1720" t="n"/>
      <c r="BV26" s="1713" t="n"/>
      <c r="BW26" s="1713" t="n"/>
      <c r="BX26" s="1713" t="n"/>
      <c r="BY26" s="1713" t="n"/>
      <c r="BZ26" s="1720" t="n"/>
      <c r="CA26" s="1686" t="n"/>
      <c r="CB26" s="98" t="n"/>
      <c r="CC26" s="701" t="n"/>
      <c r="CD26" s="701" t="n"/>
      <c r="CE26" s="701" t="n"/>
      <c r="CF26" s="701" t="n"/>
      <c r="CG26" s="701" t="n"/>
      <c r="CH26" s="701" t="n"/>
      <c r="CI26" s="701" t="n"/>
      <c r="CJ26" s="701" t="n"/>
      <c r="CK26" s="701" t="n"/>
      <c r="CL26" s="701" t="n"/>
      <c r="CM26" s="701" t="n"/>
      <c r="CN26" s="701" t="n"/>
      <c r="CO26" s="701" t="n"/>
      <c r="CP26" s="701" t="n"/>
      <c r="CQ26" s="701" t="n"/>
      <c r="CR26" s="701" t="n"/>
      <c r="CS26" s="701" t="n"/>
      <c r="CT26" s="701" t="n"/>
      <c r="CU26" s="701" t="n"/>
      <c r="CV26" s="701" t="n"/>
      <c r="CW26" s="30" t="n"/>
    </row>
    <row r="27" ht="12.75" customHeight="1" s="1676">
      <c r="A27" s="31" t="n"/>
      <c r="B27" s="116" t="inlineStr">
        <is>
          <t>Text_25</t>
        </is>
      </c>
      <c r="C27" s="699" t="n"/>
      <c r="D27" s="1713" t="n"/>
      <c r="E27" s="1713" t="n"/>
      <c r="F27" s="1713" t="n"/>
      <c r="G27" s="1713" t="n"/>
      <c r="H27" s="1714" t="n"/>
      <c r="I27" s="117">
        <f t="array" ref="I27">I25/I$43</f>
        <v/>
      </c>
      <c r="J27" s="117">
        <f t="array" ref="J27">J25/J$43</f>
        <v/>
      </c>
      <c r="K27" s="117">
        <f t="array" ref="K27">K25/K$43</f>
        <v/>
      </c>
      <c r="L27" s="117">
        <f t="array" ref="L27">L25/L$43</f>
        <v/>
      </c>
      <c r="M27" s="117">
        <f t="array" ref="M27">M25/M$43</f>
        <v/>
      </c>
      <c r="N27" s="117">
        <f t="array" ref="N27">N25/N$43</f>
        <v/>
      </c>
      <c r="O27" s="117">
        <f t="array" ref="O27">O25/O$43</f>
        <v/>
      </c>
      <c r="P27" s="117">
        <f t="array" ref="P27">P25/P$43</f>
        <v/>
      </c>
      <c r="Q27" s="117">
        <f t="array" ref="Q27">Q25/Q$43</f>
        <v/>
      </c>
      <c r="R27" s="117">
        <f t="array" ref="R27">R25/R$43</f>
        <v/>
      </c>
      <c r="S27" s="117">
        <f t="array" ref="S27">S25/S$43</f>
        <v/>
      </c>
      <c r="T27" s="117">
        <f t="array" ref="T27">T25/T$43</f>
        <v/>
      </c>
      <c r="U27" s="117">
        <f t="array" ref="U27">U25/U$43</f>
        <v/>
      </c>
      <c r="V27" s="117">
        <f t="array" ref="V27">V25/V$43</f>
        <v/>
      </c>
      <c r="W27" s="117">
        <f t="array" ref="W27">W25/W$43</f>
        <v/>
      </c>
      <c r="X27" s="117">
        <f t="array" ref="X27">X25/X$43</f>
        <v/>
      </c>
      <c r="Y27" s="117">
        <f t="array" ref="Y27">Y25/Y$43</f>
        <v/>
      </c>
      <c r="Z27" s="117">
        <f t="array" ref="Z27">Z25/Z$43</f>
        <v/>
      </c>
      <c r="AA27" s="117">
        <f t="array" ref="AA27">AA25/AA$43</f>
        <v/>
      </c>
      <c r="AB27" s="118">
        <f t="array" ref="AB27">AB25/AB$43</f>
        <v/>
      </c>
      <c r="AC27" s="117">
        <f t="array" ref="AC27">AC25/AC$43</f>
        <v/>
      </c>
      <c r="AD27" s="117">
        <f t="array" ref="AD27">AD25/AD$43</f>
        <v/>
      </c>
      <c r="AE27" s="117">
        <f t="array" ref="AE27">AE25/AE$43</f>
        <v/>
      </c>
      <c r="AF27" s="117">
        <f t="array" ref="AF27">AF25/AF$43</f>
        <v/>
      </c>
      <c r="AG27" s="117">
        <f t="array" ref="AG27">AG25/AG$43</f>
        <v/>
      </c>
      <c r="AH27" s="117">
        <f t="array" ref="AH27">AH25/AH$43</f>
        <v/>
      </c>
      <c r="AI27" s="117">
        <f t="array" ref="AI27">AI25/AI$43</f>
        <v/>
      </c>
      <c r="AJ27" s="117">
        <f t="array" ref="AJ27">AJ25/AJ$43</f>
        <v/>
      </c>
      <c r="AK27" s="117">
        <f t="array" ref="AK27">AK25/AK$43</f>
        <v/>
      </c>
      <c r="AL27" s="117">
        <f t="array" ref="AL27">AL25/AL$43</f>
        <v/>
      </c>
      <c r="AM27" s="117">
        <f t="array" ref="AM27">AM25/AM$43</f>
        <v/>
      </c>
      <c r="AN27" s="117">
        <f t="array" ref="AN27">AN25/AN$43</f>
        <v/>
      </c>
      <c r="AO27" s="117">
        <f t="array" ref="AO27">AO25/AO$43</f>
        <v/>
      </c>
      <c r="AP27" s="117">
        <f t="array" ref="AP27">AP25/AP$43</f>
        <v/>
      </c>
      <c r="AQ27" s="117">
        <f t="array" ref="AQ27">AQ25/AQ$43</f>
        <v/>
      </c>
      <c r="AR27" s="117">
        <f t="array" ref="AR27">AR25/AR$43</f>
        <v/>
      </c>
      <c r="AS27" s="117">
        <f t="array" ref="AS27">AS25/AS$43</f>
        <v/>
      </c>
      <c r="AT27" s="117">
        <f t="array" ref="AT27">AT25/AT$43</f>
        <v/>
      </c>
      <c r="AU27" s="117">
        <f t="array" ref="AU27">AU25/AU$43</f>
        <v/>
      </c>
      <c r="AV27" s="118">
        <f t="array" ref="AV27">AV25/AV$43</f>
        <v/>
      </c>
      <c r="AW27" s="119">
        <f t="array" ref="AW27">AW25/AW$43</f>
        <v/>
      </c>
      <c r="AX27" s="120" t="n">
        <v>0.150375812434867</v>
      </c>
      <c r="AY27" s="120" t="n">
        <v>0.184872455013484</v>
      </c>
      <c r="AZ27" s="120" t="n">
        <v>0.196363456063448</v>
      </c>
      <c r="BA27" s="121">
        <f t="array" ref="BA27">BA25/$BA$43</f>
        <v/>
      </c>
      <c r="BB27" s="119" t="n">
        <v>0.170064684431381</v>
      </c>
      <c r="BC27" s="120" t="n">
        <v>0.307881295404428</v>
      </c>
      <c r="BD27" s="1724" t="n"/>
      <c r="BE27" s="1724" t="n"/>
      <c r="BF27" s="124" t="n"/>
      <c r="BG27" s="1713" t="n"/>
      <c r="BH27" s="1713" t="n"/>
      <c r="BI27" s="1713" t="n"/>
      <c r="BJ27" s="1713" t="n"/>
      <c r="BK27" s="117" t="n"/>
      <c r="BL27" s="1713" t="n"/>
      <c r="BM27" s="1713" t="n"/>
      <c r="BN27" s="1713" t="n"/>
      <c r="BO27" s="1713" t="n"/>
      <c r="BP27" s="117" t="n"/>
      <c r="BQ27" s="1713" t="n"/>
      <c r="BR27" s="1713" t="n"/>
      <c r="BS27" s="1713" t="n"/>
      <c r="BT27" s="1713" t="n"/>
      <c r="BU27" s="117" t="n"/>
      <c r="BV27" s="1713" t="n"/>
      <c r="BW27" s="1713" t="n"/>
      <c r="BX27" s="1713" t="n"/>
      <c r="BY27" s="1713" t="n"/>
      <c r="BZ27" s="117" t="n"/>
      <c r="CA27" s="1686" t="n"/>
      <c r="CB27" s="456" t="n"/>
      <c r="CC27" s="701" t="n"/>
      <c r="CD27" s="701" t="n"/>
      <c r="CE27" s="701" t="n"/>
      <c r="CF27" s="701" t="n"/>
      <c r="CG27" s="701" t="n"/>
      <c r="CH27" s="701" t="n"/>
      <c r="CI27" s="701" t="n"/>
      <c r="CJ27" s="701" t="n"/>
      <c r="CK27" s="701" t="n"/>
      <c r="CL27" s="701" t="n"/>
      <c r="CM27" s="701" t="n"/>
      <c r="CN27" s="701" t="n"/>
      <c r="CO27" s="701" t="n"/>
      <c r="CP27" s="701" t="n"/>
      <c r="CQ27" s="701" t="n"/>
      <c r="CR27" s="701" t="n"/>
      <c r="CS27" s="701" t="n"/>
      <c r="CT27" s="701" t="n"/>
      <c r="CU27" s="701" t="n"/>
      <c r="CV27" s="701" t="n"/>
      <c r="CW27" s="30" t="n"/>
    </row>
    <row r="28" ht="12.75" customHeight="1" s="1676">
      <c r="A28" s="31" t="n"/>
      <c r="B28" s="103" t="inlineStr">
        <is>
          <t>Text_27</t>
        </is>
      </c>
      <c r="C28" s="699" t="n"/>
      <c r="D28" s="1713" t="n"/>
      <c r="E28" s="1713" t="n"/>
      <c r="F28" s="1713" t="n"/>
      <c r="G28" s="1713" t="n"/>
      <c r="H28" s="1714" t="n"/>
      <c r="I28" s="1715" t="n">
        <v>66.1420517317376</v>
      </c>
      <c r="J28" s="1715" t="n">
        <v>79.7890875620664</v>
      </c>
      <c r="K28" s="1715" t="n">
        <v>77.6242713626264</v>
      </c>
      <c r="L28" s="1715" t="n">
        <v>119.042931565659</v>
      </c>
      <c r="M28" s="1715" t="n">
        <v>299.752356946588</v>
      </c>
      <c r="N28" s="1715" t="n">
        <v>141.009374525204</v>
      </c>
      <c r="O28" s="1715" t="n">
        <v>96.9497810734489</v>
      </c>
      <c r="P28" s="1715" t="n">
        <v>131.654879748719</v>
      </c>
      <c r="Q28" s="1715" t="n">
        <v>269.53653296162</v>
      </c>
      <c r="R28" s="1715" t="n">
        <v>800.464122615336</v>
      </c>
      <c r="S28" s="1715" t="n">
        <v>246.063352401849</v>
      </c>
      <c r="T28" s="1715" t="n">
        <v>231.806510448438</v>
      </c>
      <c r="U28" s="1715" t="n">
        <v>312.737005119317</v>
      </c>
      <c r="V28" s="1715" t="n">
        <v>381.777512087486</v>
      </c>
      <c r="W28" s="1715" t="n">
        <v>1056.99543402349</v>
      </c>
      <c r="X28" s="1715" t="n">
        <v>164.07019146494</v>
      </c>
      <c r="Y28" s="1715" t="n">
        <v>140.254927727623</v>
      </c>
      <c r="Z28" s="1715" t="n">
        <v>175.869360407627</v>
      </c>
      <c r="AA28" s="1715" t="n">
        <v>116.911709543794</v>
      </c>
      <c r="AB28" s="1715" t="n">
        <v>553.200327109249</v>
      </c>
      <c r="AC28" s="1715" t="n">
        <v>208.350123141585</v>
      </c>
      <c r="AD28" s="1715" t="n">
        <v>190.809087479864</v>
      </c>
      <c r="AE28" s="1715" t="n">
        <v>303.311556427642</v>
      </c>
      <c r="AF28" s="1715" t="n">
        <v>256.281674572814</v>
      </c>
      <c r="AG28" s="1715" t="n">
        <v>1116.60936479703</v>
      </c>
      <c r="AH28" s="1715" t="n">
        <v>171.398333931207</v>
      </c>
      <c r="AI28" s="1715" t="n">
        <v>303.21125631416</v>
      </c>
      <c r="AJ28" s="1715" t="n">
        <v>456.45579232655</v>
      </c>
      <c r="AK28" s="1715" t="n">
        <v>259.413290663156</v>
      </c>
      <c r="AL28" s="1715" t="n">
        <v>1436.02913365073</v>
      </c>
      <c r="AM28" s="1715" t="n">
        <v>201.707632716354</v>
      </c>
      <c r="AN28" s="1715" t="n">
        <v>330.961427537812</v>
      </c>
      <c r="AO28" s="1715" t="n">
        <v>428.041105362941</v>
      </c>
      <c r="AP28" s="1715" t="n">
        <v>420.9826777376</v>
      </c>
      <c r="AQ28" s="1715" t="n">
        <v>1268.02871459926</v>
      </c>
      <c r="AR28" s="1715" t="n">
        <v>439.875321371524</v>
      </c>
      <c r="AS28" s="1715" t="n">
        <v>564.163135440582</v>
      </c>
      <c r="AT28" s="1715" t="n">
        <v>542.9373776975081</v>
      </c>
      <c r="AU28" s="1715" t="n">
        <v>366.872124735931</v>
      </c>
      <c r="AV28" s="1715" t="n">
        <v>1775.19315693979</v>
      </c>
      <c r="AW28" s="1716" t="n">
        <v>182.372509352835</v>
      </c>
      <c r="AX28" s="1717">
        <f t="array" ref="AX28">AX30*AX$43</f>
        <v/>
      </c>
      <c r="AY28" s="1717">
        <f t="array" ref="AY28">AY30*AY$43</f>
        <v/>
      </c>
      <c r="AZ28" s="1717">
        <f t="array" ref="AZ28">AZ30*AZ$43</f>
        <v/>
      </c>
      <c r="BA28" s="1718">
        <f t="array" ref="BA28">AZ28+AY28+AX28+AW28</f>
        <v/>
      </c>
      <c r="BB28" s="1716">
        <f t="array" ref="BB28">BB30*BB$43</f>
        <v/>
      </c>
      <c r="BC28" s="1717">
        <f t="array" ref="BC28">BC30*BC$43</f>
        <v/>
      </c>
      <c r="BD28" s="1724" t="n"/>
      <c r="BE28" s="1724" t="n"/>
      <c r="BF28" s="1718" t="n"/>
      <c r="BG28" s="1713" t="n"/>
      <c r="BH28" s="1713" t="n"/>
      <c r="BI28" s="1713" t="n"/>
      <c r="BJ28" s="1713" t="n"/>
      <c r="BK28" s="1715" t="n"/>
      <c r="BL28" s="1713" t="n"/>
      <c r="BM28" s="1713" t="n"/>
      <c r="BN28" s="1713" t="n"/>
      <c r="BO28" s="1713" t="n"/>
      <c r="BP28" s="1715" t="n"/>
      <c r="BQ28" s="1713" t="n"/>
      <c r="BR28" s="1713" t="n"/>
      <c r="BS28" s="1713" t="n"/>
      <c r="BT28" s="1713" t="n"/>
      <c r="BU28" s="1715" t="n"/>
      <c r="BV28" s="1713" t="n"/>
      <c r="BW28" s="1713" t="n"/>
      <c r="BX28" s="1713" t="n"/>
      <c r="BY28" s="1713" t="n"/>
      <c r="BZ28" s="1715" t="n"/>
      <c r="CA28" s="1686" t="n"/>
      <c r="CB28" s="98" t="n"/>
      <c r="CC28" s="701" t="n"/>
      <c r="CD28" s="701" t="n"/>
      <c r="CE28" s="701" t="n"/>
      <c r="CF28" s="701" t="n"/>
      <c r="CG28" s="701" t="n"/>
      <c r="CH28" s="701" t="n"/>
      <c r="CI28" s="701" t="n"/>
      <c r="CJ28" s="701" t="n"/>
      <c r="CK28" s="701" t="n"/>
      <c r="CL28" s="701" t="n"/>
      <c r="CM28" s="701" t="n"/>
      <c r="CN28" s="701" t="n"/>
      <c r="CO28" s="701" t="n"/>
      <c r="CP28" s="701" t="n"/>
      <c r="CQ28" s="701" t="n"/>
      <c r="CR28" s="701" t="n"/>
      <c r="CS28" s="701" t="n"/>
      <c r="CT28" s="701" t="n"/>
      <c r="CU28" s="701" t="n"/>
      <c r="CV28" s="701" t="n"/>
      <c r="CW28" s="30" t="n"/>
    </row>
    <row r="29" ht="12.75" customHeight="1" s="1676">
      <c r="A29" s="31" t="n"/>
      <c r="B29" s="103" t="inlineStr">
        <is>
          <t>Text_24</t>
        </is>
      </c>
      <c r="C29" s="699" t="n"/>
      <c r="D29" s="1713" t="n"/>
      <c r="E29" s="1713" t="n"/>
      <c r="F29" s="1713" t="n"/>
      <c r="G29" s="1713" t="n"/>
      <c r="H29" s="1714" t="n"/>
      <c r="I29" s="1719" t="n"/>
      <c r="J29" s="1719" t="n"/>
      <c r="K29" s="1719" t="n"/>
      <c r="L29" s="1719" t="n"/>
      <c r="M29" s="1720" t="n"/>
      <c r="N29" s="1720">
        <f t="array" ref="N29">N28/I28-1</f>
        <v/>
      </c>
      <c r="O29" s="1720">
        <f t="array" ref="O29">O28/J28-1</f>
        <v/>
      </c>
      <c r="P29" s="1720">
        <f t="array" ref="P29">P28/K28-1</f>
        <v/>
      </c>
      <c r="Q29" s="1720">
        <f t="array" ref="Q29">Q28/L28-1</f>
        <v/>
      </c>
      <c r="R29" s="1720">
        <f t="array" ref="R29">R28/M28-1</f>
        <v/>
      </c>
      <c r="S29" s="1720">
        <f t="array" ref="S29">S28/N28-1</f>
        <v/>
      </c>
      <c r="T29" s="1720">
        <f t="array" ref="T29">T28/O28-1</f>
        <v/>
      </c>
      <c r="U29" s="1720">
        <f t="array" ref="U29">U28/P28-1</f>
        <v/>
      </c>
      <c r="V29" s="1720">
        <f t="array" ref="V29">V28/Q28-1</f>
        <v/>
      </c>
      <c r="W29" s="1720">
        <f t="array" ref="W29">W28/R28-1</f>
        <v/>
      </c>
      <c r="X29" s="1720">
        <f t="array" ref="X29">X28/S28-1</f>
        <v/>
      </c>
      <c r="Y29" s="1720">
        <f t="array" ref="Y29">Y28/T28-1</f>
        <v/>
      </c>
      <c r="Z29" s="1720">
        <f t="array" ref="Z29">Z28/U28-1</f>
        <v/>
      </c>
      <c r="AA29" s="1720">
        <f t="array" ref="AA29">AA28/V28-1</f>
        <v/>
      </c>
      <c r="AB29" s="1720">
        <f t="array" ref="AB29">AB28/W28-1</f>
        <v/>
      </c>
      <c r="AC29" s="1720">
        <f t="array" ref="AC29">AC28/X28-1</f>
        <v/>
      </c>
      <c r="AD29" s="1720">
        <f t="array" ref="AD29">AD28/Y28-1</f>
        <v/>
      </c>
      <c r="AE29" s="1720">
        <f t="array" ref="AE29">AE28/Z28-1</f>
        <v/>
      </c>
      <c r="AF29" s="1720">
        <f t="array" ref="AF29">AF28/AA28-1</f>
        <v/>
      </c>
      <c r="AG29" s="1720">
        <f t="array" ref="AG29">AG28/AB28-1</f>
        <v/>
      </c>
      <c r="AH29" s="1720">
        <f t="array" ref="AH29">AH28/AC28-1</f>
        <v/>
      </c>
      <c r="AI29" s="1720">
        <f t="array" ref="AI29">AI28/AD28-1</f>
        <v/>
      </c>
      <c r="AJ29" s="1720">
        <f t="array" ref="AJ29">AJ28/AE28-1</f>
        <v/>
      </c>
      <c r="AK29" s="1720">
        <f t="array" ref="AK29">AK28/AF28-1</f>
        <v/>
      </c>
      <c r="AL29" s="1720">
        <f t="array" ref="AL29">AL28/AG28-1</f>
        <v/>
      </c>
      <c r="AM29" s="1720">
        <f t="array" ref="AM29">AM28/AH28-1</f>
        <v/>
      </c>
      <c r="AN29" s="1720">
        <f t="array" ref="AN29">AN28/AI28-1</f>
        <v/>
      </c>
      <c r="AO29" s="1720">
        <f t="array" ref="AO29">AO28/AJ28-1</f>
        <v/>
      </c>
      <c r="AP29" s="1720">
        <f t="array" ref="AP29">AP28/AK28-1</f>
        <v/>
      </c>
      <c r="AQ29" s="1720">
        <f t="array" ref="AQ29">AQ28/AL28-1</f>
        <v/>
      </c>
      <c r="AR29" s="1720">
        <f t="array" ref="AR29">AR28/AM28-1</f>
        <v/>
      </c>
      <c r="AS29" s="1720">
        <f t="array" ref="AS29">AS28/AN28-1</f>
        <v/>
      </c>
      <c r="AT29" s="1720">
        <f t="array" ref="AT29">AT28/AO28-1</f>
        <v/>
      </c>
      <c r="AU29" s="1720">
        <f t="array" ref="AU29">AU28/AP28-1</f>
        <v/>
      </c>
      <c r="AV29" s="1720">
        <f t="array" ref="AV29">AV28/AQ28-1</f>
        <v/>
      </c>
      <c r="AW29" s="1721">
        <f t="array" ref="AW29">AW28/AR28-1</f>
        <v/>
      </c>
      <c r="AX29" s="1722">
        <f t="array" ref="AX29">AX28/AS28-1</f>
        <v/>
      </c>
      <c r="AY29" s="1722">
        <f t="array" ref="AY29">AY28/AT28-1</f>
        <v/>
      </c>
      <c r="AZ29" s="1722">
        <f t="array" ref="AZ29">AZ28/AU28-1</f>
        <v/>
      </c>
      <c r="BA29" s="1723">
        <f t="array" ref="BA29">BA28/AV28-1</f>
        <v/>
      </c>
      <c r="BB29" s="1721">
        <f t="array" ref="BB29">BB28/AW28-1</f>
        <v/>
      </c>
      <c r="BC29" s="1722">
        <f t="array" ref="BC29">BC28/AX28-1</f>
        <v/>
      </c>
      <c r="BD29" s="1724" t="n"/>
      <c r="BE29" s="1724" t="n"/>
      <c r="BF29" s="1723" t="n"/>
      <c r="BG29" s="1713" t="n"/>
      <c r="BH29" s="1713" t="n"/>
      <c r="BI29" s="1713" t="n"/>
      <c r="BJ29" s="1713" t="n"/>
      <c r="BK29" s="1720" t="n"/>
      <c r="BL29" s="1713" t="n"/>
      <c r="BM29" s="1713" t="n"/>
      <c r="BN29" s="1713" t="n"/>
      <c r="BO29" s="1713" t="n"/>
      <c r="BP29" s="1720" t="n"/>
      <c r="BQ29" s="1713" t="n"/>
      <c r="BR29" s="1713" t="n"/>
      <c r="BS29" s="1713" t="n"/>
      <c r="BT29" s="1713" t="n"/>
      <c r="BU29" s="1720" t="n"/>
      <c r="BV29" s="1713" t="n"/>
      <c r="BW29" s="1713" t="n"/>
      <c r="BX29" s="1713" t="n"/>
      <c r="BY29" s="1713" t="n"/>
      <c r="BZ29" s="1720" t="n"/>
      <c r="CA29" s="1686" t="n"/>
      <c r="CB29" s="98" t="n"/>
      <c r="CC29" s="701" t="n"/>
      <c r="CD29" s="701" t="n"/>
      <c r="CE29" s="701" t="n"/>
      <c r="CF29" s="701" t="n"/>
      <c r="CG29" s="701" t="n"/>
      <c r="CH29" s="701" t="n"/>
      <c r="CI29" s="701" t="n"/>
      <c r="CJ29" s="701" t="n"/>
      <c r="CK29" s="701" t="n"/>
      <c r="CL29" s="701" t="n"/>
      <c r="CM29" s="701" t="n"/>
      <c r="CN29" s="701" t="n"/>
      <c r="CO29" s="701" t="n"/>
      <c r="CP29" s="701" t="n"/>
      <c r="CQ29" s="701" t="n"/>
      <c r="CR29" s="701" t="n"/>
      <c r="CS29" s="701" t="n"/>
      <c r="CT29" s="701" t="n"/>
      <c r="CU29" s="701" t="n"/>
      <c r="CV29" s="701" t="n"/>
      <c r="CW29" s="30" t="n"/>
    </row>
    <row r="30" ht="12.75" customHeight="1" s="1676">
      <c r="A30" s="31" t="n"/>
      <c r="B30" s="116" t="inlineStr">
        <is>
          <t>Text_25</t>
        </is>
      </c>
      <c r="C30" s="699" t="n"/>
      <c r="D30" s="1713" t="n"/>
      <c r="E30" s="1713" t="n"/>
      <c r="F30" s="1713" t="n"/>
      <c r="G30" s="1713" t="n"/>
      <c r="H30" s="1714" t="n"/>
      <c r="I30" s="117">
        <f t="array" ref="I30">I28/I$43</f>
        <v/>
      </c>
      <c r="J30" s="117">
        <f t="array" ref="J30">J28/J$43</f>
        <v/>
      </c>
      <c r="K30" s="117">
        <f t="array" ref="K30">K28/K$43</f>
        <v/>
      </c>
      <c r="L30" s="117">
        <f t="array" ref="L30">L28/L$43</f>
        <v/>
      </c>
      <c r="M30" s="117">
        <f t="array" ref="M30">M28/M$43</f>
        <v/>
      </c>
      <c r="N30" s="117">
        <f t="array" ref="N30">N28/N$43</f>
        <v/>
      </c>
      <c r="O30" s="117">
        <f t="array" ref="O30">O28/O$43</f>
        <v/>
      </c>
      <c r="P30" s="117">
        <f t="array" ref="P30">P28/P$43</f>
        <v/>
      </c>
      <c r="Q30" s="117">
        <f t="array" ref="Q30">Q28/Q$43</f>
        <v/>
      </c>
      <c r="R30" s="117">
        <f t="array" ref="R30">R28/R$43</f>
        <v/>
      </c>
      <c r="S30" s="117">
        <f t="array" ref="S30">S28/S$43</f>
        <v/>
      </c>
      <c r="T30" s="117">
        <f t="array" ref="T30">T28/T$43</f>
        <v/>
      </c>
      <c r="U30" s="117">
        <f t="array" ref="U30">U28/U$43</f>
        <v/>
      </c>
      <c r="V30" s="117">
        <f t="array" ref="V30">V28/V$43</f>
        <v/>
      </c>
      <c r="W30" s="117">
        <f t="array" ref="W30">W28/W$43</f>
        <v/>
      </c>
      <c r="X30" s="117">
        <f t="array" ref="X30">X28/X$43</f>
        <v/>
      </c>
      <c r="Y30" s="117">
        <f t="array" ref="Y30">Y28/Y$43</f>
        <v/>
      </c>
      <c r="Z30" s="117">
        <f t="array" ref="Z30">Z28/Z$43</f>
        <v/>
      </c>
      <c r="AA30" s="117">
        <f t="array" ref="AA30">AA28/AA$43</f>
        <v/>
      </c>
      <c r="AB30" s="117">
        <f t="array" ref="AB30">AB28/AB$43</f>
        <v/>
      </c>
      <c r="AC30" s="117">
        <f t="array" ref="AC30">AC28/AC$43</f>
        <v/>
      </c>
      <c r="AD30" s="117">
        <f t="array" ref="AD30">AD28/AD$43</f>
        <v/>
      </c>
      <c r="AE30" s="117">
        <f t="array" ref="AE30">AE28/AE$43</f>
        <v/>
      </c>
      <c r="AF30" s="117">
        <f t="array" ref="AF30">AF28/AF$43</f>
        <v/>
      </c>
      <c r="AG30" s="117">
        <f t="array" ref="AG30">AG28/AG$43</f>
        <v/>
      </c>
      <c r="AH30" s="117">
        <f t="array" ref="AH30">AH28/AH$43</f>
        <v/>
      </c>
      <c r="AI30" s="117">
        <f t="array" ref="AI30">AI28/AI$43</f>
        <v/>
      </c>
      <c r="AJ30" s="117">
        <f t="array" ref="AJ30">AJ28/AJ$43</f>
        <v/>
      </c>
      <c r="AK30" s="117">
        <f t="array" ref="AK30">AK28/AK$43</f>
        <v/>
      </c>
      <c r="AL30" s="117">
        <f t="array" ref="AL30">AL28/AL$43</f>
        <v/>
      </c>
      <c r="AM30" s="117">
        <f t="array" ref="AM30">AM28/AM$43</f>
        <v/>
      </c>
      <c r="AN30" s="117">
        <f t="array" ref="AN30">AN28/AN$43</f>
        <v/>
      </c>
      <c r="AO30" s="117">
        <f t="array" ref="AO30">AO28/AO$43</f>
        <v/>
      </c>
      <c r="AP30" s="117">
        <f t="array" ref="AP30">AP28/AP$43</f>
        <v/>
      </c>
      <c r="AQ30" s="117">
        <f t="array" ref="AQ30">AQ28/AQ$43</f>
        <v/>
      </c>
      <c r="AR30" s="117">
        <f t="array" ref="AR30">AR28/AR$43</f>
        <v/>
      </c>
      <c r="AS30" s="117">
        <f t="array" ref="AS30">AS28/AS$43</f>
        <v/>
      </c>
      <c r="AT30" s="117">
        <f t="array" ref="AT30">AT28/AT$43</f>
        <v/>
      </c>
      <c r="AU30" s="117">
        <f t="array" ref="AU30">AU28/AU$43</f>
        <v/>
      </c>
      <c r="AV30" s="117">
        <f t="array" ref="AV30">AV28/AV$43</f>
        <v/>
      </c>
      <c r="AW30" s="125">
        <f t="array" ref="AW30">AW28/AW$43</f>
        <v/>
      </c>
      <c r="AX30" s="122" t="n">
        <v>0.126795097892457</v>
      </c>
      <c r="AY30" s="122" t="n">
        <v>0.0945280722405718</v>
      </c>
      <c r="AZ30" s="122" t="n">
        <v>0.0677407885253415</v>
      </c>
      <c r="BA30" s="124">
        <f t="array" ref="BA30">BA28/$BA$43</f>
        <v/>
      </c>
      <c r="BB30" s="125" t="n">
        <v>0.08170649649103121</v>
      </c>
      <c r="BC30" s="122" t="n">
        <v>0.125075555203219</v>
      </c>
      <c r="BD30" s="1724" t="n"/>
      <c r="BE30" s="1724" t="n"/>
      <c r="BF30" s="124" t="n"/>
      <c r="BG30" s="1713" t="n"/>
      <c r="BH30" s="1713" t="n"/>
      <c r="BI30" s="1713" t="n"/>
      <c r="BJ30" s="1713" t="n"/>
      <c r="BK30" s="117" t="n"/>
      <c r="BL30" s="1713" t="n"/>
      <c r="BM30" s="1713" t="n"/>
      <c r="BN30" s="1713" t="n"/>
      <c r="BO30" s="1713" t="n"/>
      <c r="BP30" s="117" t="n"/>
      <c r="BQ30" s="1713" t="n"/>
      <c r="BR30" s="1713" t="n"/>
      <c r="BS30" s="1713" t="n"/>
      <c r="BT30" s="1713" t="n"/>
      <c r="BU30" s="117" t="n"/>
      <c r="BV30" s="1713" t="n"/>
      <c r="BW30" s="1713" t="n"/>
      <c r="BX30" s="1713" t="n"/>
      <c r="BY30" s="1713" t="n"/>
      <c r="BZ30" s="117" t="n"/>
      <c r="CA30" s="1686" t="n"/>
      <c r="CB30" s="456" t="n"/>
      <c r="CC30" s="701" t="n"/>
      <c r="CD30" s="701" t="n"/>
      <c r="CE30" s="701" t="n"/>
      <c r="CF30" s="701" t="n"/>
      <c r="CG30" s="701" t="n"/>
      <c r="CH30" s="701" t="n"/>
      <c r="CI30" s="701" t="n"/>
      <c r="CJ30" s="701" t="n"/>
      <c r="CK30" s="701" t="n"/>
      <c r="CL30" s="701" t="n"/>
      <c r="CM30" s="701" t="n"/>
      <c r="CN30" s="701" t="n"/>
      <c r="CO30" s="701" t="n"/>
      <c r="CP30" s="701" t="n"/>
      <c r="CQ30" s="701" t="n"/>
      <c r="CR30" s="701" t="n"/>
      <c r="CS30" s="701" t="n"/>
      <c r="CT30" s="701" t="n"/>
      <c r="CU30" s="701" t="n"/>
      <c r="CV30" s="701" t="n"/>
      <c r="CW30" s="30" t="n"/>
    </row>
    <row r="31" ht="12.75" customHeight="1" s="1676">
      <c r="A31" s="31" t="n"/>
      <c r="B31" s="103" t="inlineStr">
        <is>
          <t>Text_28</t>
        </is>
      </c>
      <c r="C31" s="699" t="n"/>
      <c r="D31" s="1713" t="n"/>
      <c r="E31" s="1713" t="n"/>
      <c r="F31" s="1713" t="n"/>
      <c r="G31" s="1713" t="n"/>
      <c r="H31" s="1714" t="n"/>
      <c r="I31" s="1715" t="n">
        <v>111.619348093262</v>
      </c>
      <c r="J31" s="1715" t="n">
        <v>118.113432944367</v>
      </c>
      <c r="K31" s="1715" t="n">
        <v>146.941760036612</v>
      </c>
      <c r="L31" s="1715" t="n">
        <v>110.127346266447</v>
      </c>
      <c r="M31" s="1715" t="n">
        <v>604.167990869039</v>
      </c>
      <c r="N31" s="1715" t="n">
        <v>101.243152870566</v>
      </c>
      <c r="O31" s="1715" t="n">
        <v>161.316434159555</v>
      </c>
      <c r="P31" s="1715" t="n">
        <v>110.405012973248</v>
      </c>
      <c r="Q31" s="1715" t="n">
        <v>154.665380605689</v>
      </c>
      <c r="R31" s="1715" t="n">
        <v>570.296097194171</v>
      </c>
      <c r="S31" s="1715" t="n">
        <v>149.780600439548</v>
      </c>
      <c r="T31" s="1715" t="n">
        <v>172.118853938129</v>
      </c>
      <c r="U31" s="1715" t="n">
        <v>126.180774926914</v>
      </c>
      <c r="V31" s="1715" t="n">
        <v>108.387763064492</v>
      </c>
      <c r="W31" s="1715" t="n">
        <v>412.101163558401</v>
      </c>
      <c r="X31" s="1715" t="n">
        <v>88.3059915767075</v>
      </c>
      <c r="Y31" s="1715" t="n">
        <v>174.044265960946</v>
      </c>
      <c r="Z31" s="1715" t="n">
        <v>163.500252340822</v>
      </c>
      <c r="AA31" s="1715" t="n">
        <v>150.598159485693</v>
      </c>
      <c r="AB31" s="1715" t="n">
        <v>501.370761874212</v>
      </c>
      <c r="AC31" s="1715" t="n">
        <v>195.760795853069</v>
      </c>
      <c r="AD31" s="1715" t="n">
        <v>133.168033808543</v>
      </c>
      <c r="AE31" s="1715" t="n">
        <v>135.384166549661</v>
      </c>
      <c r="AF31" s="1715" t="n">
        <v>163.693090292854</v>
      </c>
      <c r="AG31" s="1715" t="n">
        <v>718.1706336517871</v>
      </c>
      <c r="AH31" s="1715" t="n">
        <v>179.535867856219</v>
      </c>
      <c r="AI31" s="1715" t="n">
        <v>190.942932695276</v>
      </c>
      <c r="AJ31" s="1715" t="n">
        <v>195.686226025108</v>
      </c>
      <c r="AK31" s="1715" t="n">
        <v>189.541362461068</v>
      </c>
      <c r="AL31" s="1715" t="n">
        <v>721.841654069358</v>
      </c>
      <c r="AM31" s="1715" t="n">
        <v>206.0367536397</v>
      </c>
      <c r="AN31" s="1715" t="n">
        <v>299.213080669702</v>
      </c>
      <c r="AO31" s="1715" t="n">
        <v>260.837969529447</v>
      </c>
      <c r="AP31" s="1715" t="n">
        <v>264.351585047442</v>
      </c>
      <c r="AQ31" s="1715" t="n">
        <v>973.288817175082</v>
      </c>
      <c r="AR31" s="1715" t="n">
        <v>205.34608028395</v>
      </c>
      <c r="AS31" s="1715" t="n">
        <v>347.240675899806</v>
      </c>
      <c r="AT31" s="1715" t="n">
        <v>308.579566469524</v>
      </c>
      <c r="AU31" s="1715" t="n">
        <v>281.113558584671</v>
      </c>
      <c r="AV31" s="1715" t="n">
        <v>1492.39897349996</v>
      </c>
      <c r="AW31" s="1716" t="n">
        <v>229.445997989054</v>
      </c>
      <c r="AX31" s="1717">
        <f t="array" ref="AX31">AX33*AX$43</f>
        <v/>
      </c>
      <c r="AY31" s="1717">
        <f t="array" ref="AY31">AY33*AY$43</f>
        <v/>
      </c>
      <c r="AZ31" s="1717">
        <f t="array" ref="AZ31">AZ33*AZ$43</f>
        <v/>
      </c>
      <c r="BA31" s="1718">
        <f t="array" ref="BA31">AZ31+AY31+AX31+AW31</f>
        <v/>
      </c>
      <c r="BB31" s="1716">
        <f t="array" ref="BB31">BB33*BB$43</f>
        <v/>
      </c>
      <c r="BC31" s="1717">
        <f t="array" ref="BC31">BC33*BC$43</f>
        <v/>
      </c>
      <c r="BD31" s="1724" t="n"/>
      <c r="BE31" s="1724" t="n"/>
      <c r="BF31" s="1718" t="n"/>
      <c r="BG31" s="1713" t="n"/>
      <c r="BH31" s="1713" t="n"/>
      <c r="BI31" s="1713" t="n"/>
      <c r="BJ31" s="1713" t="n"/>
      <c r="BK31" s="1715" t="n"/>
      <c r="BL31" s="1713" t="n"/>
      <c r="BM31" s="1713" t="n"/>
      <c r="BN31" s="1713" t="n"/>
      <c r="BO31" s="1713" t="n"/>
      <c r="BP31" s="1715" t="n"/>
      <c r="BQ31" s="1713" t="n"/>
      <c r="BR31" s="1713" t="n"/>
      <c r="BS31" s="1713" t="n"/>
      <c r="BT31" s="1713" t="n"/>
      <c r="BU31" s="1715" t="n"/>
      <c r="BV31" s="1713" t="n"/>
      <c r="BW31" s="1713" t="n"/>
      <c r="BX31" s="1713" t="n"/>
      <c r="BY31" s="1713" t="n"/>
      <c r="BZ31" s="1715" t="n"/>
      <c r="CA31" s="126" t="inlineStr">
        <is>
          <t>Text_29</t>
        </is>
      </c>
      <c r="CB31" s="98" t="n"/>
      <c r="CC31" s="701" t="n"/>
      <c r="CD31" s="701" t="n"/>
      <c r="CE31" s="701" t="n"/>
      <c r="CF31" s="701" t="n"/>
      <c r="CG31" s="701" t="n"/>
      <c r="CH31" s="701" t="n"/>
      <c r="CI31" s="701" t="n"/>
      <c r="CJ31" s="701" t="n"/>
      <c r="CK31" s="701" t="n"/>
      <c r="CL31" s="701" t="n"/>
      <c r="CM31" s="701" t="n"/>
      <c r="CN31" s="701" t="n"/>
      <c r="CO31" s="701" t="n"/>
      <c r="CP31" s="701" t="n"/>
      <c r="CQ31" s="701" t="n"/>
      <c r="CR31" s="701" t="n"/>
      <c r="CS31" s="701" t="n"/>
      <c r="CT31" s="701" t="n"/>
      <c r="CU31" s="701" t="n"/>
      <c r="CV31" s="701" t="n"/>
      <c r="CW31" s="30" t="n"/>
    </row>
    <row r="32" ht="12.75" customHeight="1" s="1676">
      <c r="A32" s="31" t="n"/>
      <c r="B32" s="103" t="inlineStr">
        <is>
          <t>Text_24</t>
        </is>
      </c>
      <c r="C32" s="699" t="n"/>
      <c r="D32" s="1713" t="n"/>
      <c r="E32" s="1713" t="n"/>
      <c r="F32" s="1713" t="n"/>
      <c r="G32" s="1713" t="n"/>
      <c r="H32" s="1714" t="n"/>
      <c r="I32" s="1719" t="n"/>
      <c r="J32" s="1719" t="n"/>
      <c r="K32" s="1719" t="n"/>
      <c r="L32" s="1719" t="n"/>
      <c r="M32" s="1720" t="n"/>
      <c r="N32" s="1720">
        <f t="array" ref="N32">N31/I31-1</f>
        <v/>
      </c>
      <c r="O32" s="1720">
        <f t="array" ref="O32">O31/J31-1</f>
        <v/>
      </c>
      <c r="P32" s="1720">
        <f t="array" ref="P32">P31/K31-1</f>
        <v/>
      </c>
      <c r="Q32" s="1720">
        <f t="array" ref="Q32">Q31/L31-1</f>
        <v/>
      </c>
      <c r="R32" s="1720">
        <f t="array" ref="R32">R31/M31-1</f>
        <v/>
      </c>
      <c r="S32" s="1720">
        <f t="array" ref="S32">S31/N31-1</f>
        <v/>
      </c>
      <c r="T32" s="1720">
        <f t="array" ref="T32">T31/O31-1</f>
        <v/>
      </c>
      <c r="U32" s="1720">
        <f t="array" ref="U32">U31/P31-1</f>
        <v/>
      </c>
      <c r="V32" s="1720">
        <f t="array" ref="V32">V31/Q31-1</f>
        <v/>
      </c>
      <c r="W32" s="1720">
        <f t="array" ref="W32">W31/R31-1</f>
        <v/>
      </c>
      <c r="X32" s="1720">
        <f t="array" ref="X32">X31/S31-1</f>
        <v/>
      </c>
      <c r="Y32" s="1720">
        <f t="array" ref="Y32">Y31/T31-1</f>
        <v/>
      </c>
      <c r="Z32" s="1720">
        <f t="array" ref="Z32">Z31/U31-1</f>
        <v/>
      </c>
      <c r="AA32" s="1720">
        <f t="array" ref="AA32">AA31/V31-1</f>
        <v/>
      </c>
      <c r="AB32" s="1720">
        <f t="array" ref="AB32">AB31/W31-1</f>
        <v/>
      </c>
      <c r="AC32" s="1720">
        <f t="array" ref="AC32">AC31/X31-1</f>
        <v/>
      </c>
      <c r="AD32" s="1720">
        <f t="array" ref="AD32">AD31/Y31-1</f>
        <v/>
      </c>
      <c r="AE32" s="1720">
        <f t="array" ref="AE32">AE31/Z31-1</f>
        <v/>
      </c>
      <c r="AF32" s="1720">
        <f t="array" ref="AF32">AF31/AA31-1</f>
        <v/>
      </c>
      <c r="AG32" s="1720">
        <f t="array" ref="AG32">AG31/AB31-1</f>
        <v/>
      </c>
      <c r="AH32" s="1720">
        <f t="array" ref="AH32">AH31/AC31-1</f>
        <v/>
      </c>
      <c r="AI32" s="1720">
        <f t="array" ref="AI32">AI31/AD31-1</f>
        <v/>
      </c>
      <c r="AJ32" s="1720">
        <f t="array" ref="AJ32">AJ31/AE31-1</f>
        <v/>
      </c>
      <c r="AK32" s="1720">
        <f t="array" ref="AK32">AK31/AF31-1</f>
        <v/>
      </c>
      <c r="AL32" s="1720">
        <f t="array" ref="AL32">AL31/AG31-1</f>
        <v/>
      </c>
      <c r="AM32" s="1720">
        <f t="array" ref="AM32">AM31/AH31-1</f>
        <v/>
      </c>
      <c r="AN32" s="1720">
        <f t="array" ref="AN32">AN31/AI31-1</f>
        <v/>
      </c>
      <c r="AO32" s="1720">
        <f t="array" ref="AO32">AO31/AJ31-1</f>
        <v/>
      </c>
      <c r="AP32" s="1720">
        <f t="array" ref="AP32">AP31/AK31-1</f>
        <v/>
      </c>
      <c r="AQ32" s="1720">
        <f t="array" ref="AQ32">AQ31/AL31-1</f>
        <v/>
      </c>
      <c r="AR32" s="1720">
        <f t="array" ref="AR32">AR31/AM31-1</f>
        <v/>
      </c>
      <c r="AS32" s="1720">
        <f t="array" ref="AS32">AS31/AN31-1</f>
        <v/>
      </c>
      <c r="AT32" s="1720">
        <f t="array" ref="AT32">AT31/AO31-1</f>
        <v/>
      </c>
      <c r="AU32" s="1720">
        <f t="array" ref="AU32">AU31/AP31-1</f>
        <v/>
      </c>
      <c r="AV32" s="1720">
        <f t="array" ref="AV32">AV31/AQ31-1</f>
        <v/>
      </c>
      <c r="AW32" s="1721">
        <f t="array" ref="AW32">AW31/AR31-1</f>
        <v/>
      </c>
      <c r="AX32" s="1722">
        <f t="array" ref="AX32">AX31/AS31-1</f>
        <v/>
      </c>
      <c r="AY32" s="1722">
        <f t="array" ref="AY32">AY31/AT31-1</f>
        <v/>
      </c>
      <c r="AZ32" s="1722">
        <f t="array" ref="AZ32">AZ31/AU31-1</f>
        <v/>
      </c>
      <c r="BA32" s="1723">
        <f t="array" ref="BA32">BA31/AV31-1</f>
        <v/>
      </c>
      <c r="BB32" s="1721">
        <f t="array" ref="BB32">BB31/AW31-1</f>
        <v/>
      </c>
      <c r="BC32" s="1722">
        <f t="array" ref="BC32">BC31/AX31-1</f>
        <v/>
      </c>
      <c r="BD32" s="1724" t="n"/>
      <c r="BE32" s="1724" t="n"/>
      <c r="BF32" s="1723" t="n"/>
      <c r="BG32" s="1713" t="n"/>
      <c r="BH32" s="1713" t="n"/>
      <c r="BI32" s="1713" t="n"/>
      <c r="BJ32" s="1713" t="n"/>
      <c r="BK32" s="1720" t="n"/>
      <c r="BL32" s="1713" t="n"/>
      <c r="BM32" s="1713" t="n"/>
      <c r="BN32" s="1713" t="n"/>
      <c r="BO32" s="1713" t="n"/>
      <c r="BP32" s="1720" t="n"/>
      <c r="BQ32" s="1713" t="n"/>
      <c r="BR32" s="1713" t="n"/>
      <c r="BS32" s="1713" t="n"/>
      <c r="BT32" s="1713" t="n"/>
      <c r="BU32" s="1720" t="n"/>
      <c r="BV32" s="1713" t="n"/>
      <c r="BW32" s="1713" t="n"/>
      <c r="BX32" s="1713" t="n"/>
      <c r="BY32" s="1713" t="n"/>
      <c r="BZ32" s="1720" t="n"/>
      <c r="CA32" s="127" t="n"/>
      <c r="CB32" s="98" t="n"/>
      <c r="CC32" s="701" t="n"/>
      <c r="CD32" s="701" t="n"/>
      <c r="CE32" s="701" t="n"/>
      <c r="CF32" s="701" t="n"/>
      <c r="CG32" s="701" t="n"/>
      <c r="CH32" s="701" t="n"/>
      <c r="CI32" s="701" t="n"/>
      <c r="CJ32" s="701" t="n"/>
      <c r="CK32" s="701" t="n"/>
      <c r="CL32" s="701" t="n"/>
      <c r="CM32" s="701" t="n"/>
      <c r="CN32" s="701" t="n"/>
      <c r="CO32" s="701" t="n"/>
      <c r="CP32" s="701" t="n"/>
      <c r="CQ32" s="701" t="n"/>
      <c r="CR32" s="701" t="n"/>
      <c r="CS32" s="701" t="n"/>
      <c r="CT32" s="701" t="n"/>
      <c r="CU32" s="701" t="n"/>
      <c r="CV32" s="701" t="n"/>
      <c r="CW32" s="30" t="n"/>
    </row>
    <row r="33" ht="12.75" customHeight="1" s="1676">
      <c r="A33" s="31" t="n"/>
      <c r="B33" s="116" t="inlineStr">
        <is>
          <t>Text_25</t>
        </is>
      </c>
      <c r="C33" s="699" t="n"/>
      <c r="D33" s="1713" t="n"/>
      <c r="E33" s="1713" t="n"/>
      <c r="F33" s="1713" t="n"/>
      <c r="G33" s="1713" t="n"/>
      <c r="H33" s="1714" t="n"/>
      <c r="I33" s="117">
        <f t="array" ref="I33">I31/I$43</f>
        <v/>
      </c>
      <c r="J33" s="117">
        <f t="array" ref="J33">J31/J$43</f>
        <v/>
      </c>
      <c r="K33" s="117">
        <f t="array" ref="K33">K31/K$43</f>
        <v/>
      </c>
      <c r="L33" s="117">
        <f t="array" ref="L33">L31/L$43</f>
        <v/>
      </c>
      <c r="M33" s="117">
        <f t="array" ref="M33">M31/M$43</f>
        <v/>
      </c>
      <c r="N33" s="117">
        <f t="array" ref="N33">N31/N$43</f>
        <v/>
      </c>
      <c r="O33" s="117">
        <f t="array" ref="O33">O31/O$43</f>
        <v/>
      </c>
      <c r="P33" s="117">
        <f t="array" ref="P33">P31/P$43</f>
        <v/>
      </c>
      <c r="Q33" s="117">
        <f t="array" ref="Q33">Q31/Q$43</f>
        <v/>
      </c>
      <c r="R33" s="117">
        <f t="array" ref="R33">R31/R$43</f>
        <v/>
      </c>
      <c r="S33" s="117">
        <f t="array" ref="S33">S31/S$43</f>
        <v/>
      </c>
      <c r="T33" s="117">
        <f t="array" ref="T33">T31/T$43</f>
        <v/>
      </c>
      <c r="U33" s="117">
        <f t="array" ref="U33">U31/U$43</f>
        <v/>
      </c>
      <c r="V33" s="117">
        <f t="array" ref="V33">V31/V$43</f>
        <v/>
      </c>
      <c r="W33" s="117">
        <f t="array" ref="W33">W31/W$43</f>
        <v/>
      </c>
      <c r="X33" s="117">
        <f t="array" ref="X33">X31/X$43</f>
        <v/>
      </c>
      <c r="Y33" s="117">
        <f t="array" ref="Y33">Y31/Y$43</f>
        <v/>
      </c>
      <c r="Z33" s="117">
        <f t="array" ref="Z33">Z31/Z$43</f>
        <v/>
      </c>
      <c r="AA33" s="117">
        <f t="array" ref="AA33">AA31/AA$43</f>
        <v/>
      </c>
      <c r="AB33" s="117">
        <f t="array" ref="AB33">AB31/AB$43</f>
        <v/>
      </c>
      <c r="AC33" s="117">
        <f t="array" ref="AC33">AC31/AC$43</f>
        <v/>
      </c>
      <c r="AD33" s="117">
        <f t="array" ref="AD33">AD31/AD$43</f>
        <v/>
      </c>
      <c r="AE33" s="117">
        <f t="array" ref="AE33">AE31/AE$43</f>
        <v/>
      </c>
      <c r="AF33" s="117">
        <f t="array" ref="AF33">AF31/AF$43</f>
        <v/>
      </c>
      <c r="AG33" s="117">
        <f t="array" ref="AG33">AG31/AG$43</f>
        <v/>
      </c>
      <c r="AH33" s="117">
        <f t="array" ref="AH33">AH31/AH$43</f>
        <v/>
      </c>
      <c r="AI33" s="117">
        <f t="array" ref="AI33">AI31/AI$43</f>
        <v/>
      </c>
      <c r="AJ33" s="117">
        <f t="array" ref="AJ33">AJ31/AJ$43</f>
        <v/>
      </c>
      <c r="AK33" s="117">
        <f t="array" ref="AK33">AK31/AK$43</f>
        <v/>
      </c>
      <c r="AL33" s="117">
        <f t="array" ref="AL33">AL31/AL$43</f>
        <v/>
      </c>
      <c r="AM33" s="117">
        <f t="array" ref="AM33">AM31/AM$43</f>
        <v/>
      </c>
      <c r="AN33" s="117">
        <f t="array" ref="AN33">AN31/AN$43</f>
        <v/>
      </c>
      <c r="AO33" s="117">
        <f t="array" ref="AO33">AO31/AO$43</f>
        <v/>
      </c>
      <c r="AP33" s="117">
        <f t="array" ref="AP33">AP31/AP$43</f>
        <v/>
      </c>
      <c r="AQ33" s="117">
        <f t="array" ref="AQ33">AQ31/AQ$43</f>
        <v/>
      </c>
      <c r="AR33" s="117">
        <f t="array" ref="AR33">AR31/AR$43</f>
        <v/>
      </c>
      <c r="AS33" s="117">
        <f t="array" ref="AS33">AS31/AS$43</f>
        <v/>
      </c>
      <c r="AT33" s="117">
        <f t="array" ref="AT33">AT31/AT$43</f>
        <v/>
      </c>
      <c r="AU33" s="117">
        <f t="array" ref="AU33">AU31/AU$43</f>
        <v/>
      </c>
      <c r="AV33" s="117">
        <f t="array" ref="AV33">AV31/AV$43</f>
        <v/>
      </c>
      <c r="AW33" s="125">
        <f t="array" ref="AW33">AW31/AW$43</f>
        <v/>
      </c>
      <c r="AX33" s="122" t="n">
        <v>0.115750016142598</v>
      </c>
      <c r="AY33" s="122" t="n">
        <v>0.101748515013297</v>
      </c>
      <c r="AZ33" s="122" t="n">
        <v>0.124716980856666</v>
      </c>
      <c r="BA33" s="124">
        <f t="array" ref="BA33">BA31/$BA$43</f>
        <v/>
      </c>
      <c r="BB33" s="119" t="n">
        <v>0.180063290234525</v>
      </c>
      <c r="BC33" s="122" t="n">
        <v>0.09092284661551631</v>
      </c>
      <c r="BD33" s="1724" t="n"/>
      <c r="BE33" s="1724" t="n"/>
      <c r="BF33" s="124" t="n"/>
      <c r="BG33" s="1713" t="n"/>
      <c r="BH33" s="1713" t="n"/>
      <c r="BI33" s="1713" t="n"/>
      <c r="BJ33" s="1713" t="n"/>
      <c r="BK33" s="117" t="n"/>
      <c r="BL33" s="1713" t="n"/>
      <c r="BM33" s="1713" t="n"/>
      <c r="BN33" s="1713" t="n"/>
      <c r="BO33" s="1713" t="n"/>
      <c r="BP33" s="117" t="n"/>
      <c r="BQ33" s="1713" t="n"/>
      <c r="BR33" s="1713" t="n"/>
      <c r="BS33" s="1713" t="n"/>
      <c r="BT33" s="1713" t="n"/>
      <c r="BU33" s="117" t="n"/>
      <c r="BV33" s="1713" t="n"/>
      <c r="BW33" s="1713" t="n"/>
      <c r="BX33" s="1713" t="n"/>
      <c r="BY33" s="1713" t="n"/>
      <c r="BZ33" s="117" t="n"/>
      <c r="CA33" s="1686" t="n"/>
      <c r="CB33" s="456" t="n"/>
      <c r="CC33" s="701" t="n"/>
      <c r="CD33" s="701" t="n"/>
      <c r="CE33" s="701" t="n"/>
      <c r="CF33" s="701" t="n"/>
      <c r="CG33" s="701" t="n"/>
      <c r="CH33" s="701" t="n"/>
      <c r="CI33" s="701" t="n"/>
      <c r="CJ33" s="701" t="n"/>
      <c r="CK33" s="701" t="n"/>
      <c r="CL33" s="701" t="n"/>
      <c r="CM33" s="701" t="n"/>
      <c r="CN33" s="701" t="n"/>
      <c r="CO33" s="701" t="n"/>
      <c r="CP33" s="701" t="n"/>
      <c r="CQ33" s="701" t="n"/>
      <c r="CR33" s="701" t="n"/>
      <c r="CS33" s="701" t="n"/>
      <c r="CT33" s="701" t="n"/>
      <c r="CU33" s="701" t="n"/>
      <c r="CV33" s="701" t="n"/>
      <c r="CW33" s="30" t="n"/>
    </row>
    <row r="34" ht="12.75" customHeight="1" s="1676">
      <c r="A34" s="31" t="n"/>
      <c r="B34" s="103" t="inlineStr">
        <is>
          <t>Text_30</t>
        </is>
      </c>
      <c r="C34" s="699" t="n"/>
      <c r="D34" s="1713" t="n"/>
      <c r="E34" s="1713" t="n"/>
      <c r="F34" s="1713" t="n"/>
      <c r="G34" s="1713" t="n"/>
      <c r="H34" s="1714" t="n"/>
      <c r="I34" s="1715" t="n">
        <v>71.40365287836779</v>
      </c>
      <c r="J34" s="1715" t="n">
        <v>95.8223564173846</v>
      </c>
      <c r="K34" s="1715" t="n">
        <v>157.070241318743</v>
      </c>
      <c r="L34" s="1715" t="n">
        <v>108.780981672144</v>
      </c>
      <c r="M34" s="1715" t="n">
        <v>359.693416537726</v>
      </c>
      <c r="N34" s="1715" t="n">
        <v>110.881267621735</v>
      </c>
      <c r="O34" s="1715" t="n">
        <v>59.0911380604661</v>
      </c>
      <c r="P34" s="1715" t="n">
        <v>101.955108586986</v>
      </c>
      <c r="Q34" s="1715" t="n">
        <v>108.562783061999</v>
      </c>
      <c r="R34" s="1715" t="n">
        <v>409.482481429681</v>
      </c>
      <c r="S34" s="1715" t="n">
        <v>138.829675708762</v>
      </c>
      <c r="T34" s="1715" t="n">
        <v>124.766438754896</v>
      </c>
      <c r="U34" s="1715" t="n">
        <v>233.171465192035</v>
      </c>
      <c r="V34" s="1715" t="n">
        <v>134.128035984752</v>
      </c>
      <c r="W34" s="1715" t="n">
        <v>757.515134790032</v>
      </c>
      <c r="X34" s="1715" t="n">
        <v>160.720667701523</v>
      </c>
      <c r="Y34" s="1715" t="n">
        <v>205.739641464009</v>
      </c>
      <c r="Z34" s="1715" t="n">
        <v>134.059142086285</v>
      </c>
      <c r="AA34" s="1715" t="n">
        <v>114.102121297225</v>
      </c>
      <c r="AB34" s="1715" t="n">
        <v>663.20746298021</v>
      </c>
      <c r="AC34" s="1715" t="n">
        <v>196.486199939757</v>
      </c>
      <c r="AD34" s="1715" t="n">
        <v>170.286861418105</v>
      </c>
      <c r="AE34" s="1715" t="n">
        <v>160.194889927391</v>
      </c>
      <c r="AF34" s="1715" t="n">
        <v>137.145675469613</v>
      </c>
      <c r="AG34" s="1715" t="n">
        <v>735.0935207434881</v>
      </c>
      <c r="AH34" s="1715" t="n">
        <v>173.991290771007</v>
      </c>
      <c r="AI34" s="1715" t="n">
        <v>138.486630330854</v>
      </c>
      <c r="AJ34" s="1715" t="n">
        <v>169.807659491694</v>
      </c>
      <c r="AK34" s="1715" t="n">
        <v>184.232383258051</v>
      </c>
      <c r="AL34" s="1715" t="n">
        <v>557.031725104158</v>
      </c>
      <c r="AM34" s="1715" t="n">
        <v>167.929312835915</v>
      </c>
      <c r="AN34" s="1715" t="n">
        <v>216.620614726716</v>
      </c>
      <c r="AO34" s="1715" t="n">
        <v>150.545552568173</v>
      </c>
      <c r="AP34" s="1715" t="n">
        <v>241.443872162886</v>
      </c>
      <c r="AQ34" s="1715" t="n">
        <v>774.039556680539</v>
      </c>
      <c r="AR34" s="1715" t="n">
        <v>205.704138245463</v>
      </c>
      <c r="AS34" s="1715" t="n">
        <v>247.474890249188</v>
      </c>
      <c r="AT34" s="1715" t="n">
        <v>246.026679181426</v>
      </c>
      <c r="AU34" s="1715" t="n">
        <v>207.982112566996</v>
      </c>
      <c r="AV34" s="1715" t="n">
        <v>1018.40243682249</v>
      </c>
      <c r="AW34" s="1716" t="n">
        <v>279.316376875742</v>
      </c>
      <c r="AX34" s="1717">
        <f t="array" ref="AX34">AX36*AX$43</f>
        <v/>
      </c>
      <c r="AY34" s="1717">
        <f t="array" ref="AY34">AY36*AY$43</f>
        <v/>
      </c>
      <c r="AZ34" s="1717">
        <f t="array" ref="AZ34">AZ36*AZ$43</f>
        <v/>
      </c>
      <c r="BA34" s="1718">
        <f t="array" ref="BA34">AZ34+AY34+AX34+AW34</f>
        <v/>
      </c>
      <c r="BB34" s="1716">
        <f t="array" ref="BB34">BB36*BB$43</f>
        <v/>
      </c>
      <c r="BC34" s="1717">
        <f t="array" ref="BC34">BC36*BC$43</f>
        <v/>
      </c>
      <c r="BD34" s="1724" t="n"/>
      <c r="BE34" s="1724" t="n"/>
      <c r="BF34" s="1723" t="n"/>
      <c r="BG34" s="1713" t="n"/>
      <c r="BH34" s="1713" t="n"/>
      <c r="BI34" s="1713" t="n"/>
      <c r="BJ34" s="1713" t="n"/>
      <c r="BK34" s="1720" t="n"/>
      <c r="BL34" s="1713" t="n"/>
      <c r="BM34" s="1713" t="n"/>
      <c r="BN34" s="1713" t="n"/>
      <c r="BO34" s="1713" t="n"/>
      <c r="BP34" s="1720" t="n"/>
      <c r="BQ34" s="1713" t="n"/>
      <c r="BR34" s="1713" t="n"/>
      <c r="BS34" s="1713" t="n"/>
      <c r="BT34" s="1713" t="n"/>
      <c r="BU34" s="1720" t="n"/>
      <c r="BV34" s="1713" t="n"/>
      <c r="BW34" s="1713" t="n"/>
      <c r="BX34" s="1713" t="n"/>
      <c r="BY34" s="1713" t="n"/>
      <c r="BZ34" s="1720" t="n"/>
      <c r="CA34" s="128" t="n"/>
      <c r="CB34" s="98" t="n"/>
      <c r="CC34" s="701" t="n"/>
      <c r="CD34" s="701" t="n"/>
      <c r="CE34" s="701" t="n"/>
      <c r="CF34" s="701" t="n"/>
      <c r="CG34" s="701" t="n"/>
      <c r="CH34" s="701" t="n"/>
      <c r="CI34" s="701" t="n"/>
      <c r="CJ34" s="701" t="n"/>
      <c r="CK34" s="701" t="n"/>
      <c r="CL34" s="701" t="n"/>
      <c r="CM34" s="701" t="n"/>
      <c r="CN34" s="701" t="n"/>
      <c r="CO34" s="701" t="n"/>
      <c r="CP34" s="701" t="n"/>
      <c r="CQ34" s="701" t="n"/>
      <c r="CR34" s="701" t="n"/>
      <c r="CS34" s="701" t="n"/>
      <c r="CT34" s="701" t="n"/>
      <c r="CU34" s="701" t="n"/>
      <c r="CV34" s="701" t="n"/>
      <c r="CW34" s="30" t="n"/>
    </row>
    <row r="35" ht="12.75" customHeight="1" s="1676">
      <c r="A35" s="31" t="n"/>
      <c r="B35" s="103" t="inlineStr">
        <is>
          <t>Text_24</t>
        </is>
      </c>
      <c r="C35" s="699" t="n"/>
      <c r="D35" s="1713" t="n"/>
      <c r="E35" s="1713" t="n"/>
      <c r="F35" s="1713" t="n"/>
      <c r="G35" s="1713" t="n"/>
      <c r="H35" s="1714" t="n"/>
      <c r="I35" s="1719" t="n"/>
      <c r="J35" s="1719" t="n"/>
      <c r="K35" s="1719" t="n"/>
      <c r="L35" s="1719" t="n"/>
      <c r="M35" s="1720" t="n"/>
      <c r="N35" s="1720">
        <f t="array" ref="N35">N34/I34-1</f>
        <v/>
      </c>
      <c r="O35" s="1720">
        <f t="array" ref="O35">O34/J34-1</f>
        <v/>
      </c>
      <c r="P35" s="1720">
        <f t="array" ref="P35">P34/K34-1</f>
        <v/>
      </c>
      <c r="Q35" s="1720">
        <f t="array" ref="Q35">Q34/L34-1</f>
        <v/>
      </c>
      <c r="R35" s="1720">
        <f t="array" ref="R35">R34/M34-1</f>
        <v/>
      </c>
      <c r="S35" s="1720">
        <f t="array" ref="S35">S34/N34-1</f>
        <v/>
      </c>
      <c r="T35" s="1720">
        <f t="array" ref="T35">T34/O34-1</f>
        <v/>
      </c>
      <c r="U35" s="1720">
        <f t="array" ref="U35">U34/P34-1</f>
        <v/>
      </c>
      <c r="V35" s="1720">
        <f t="array" ref="V35">V34/Q34-1</f>
        <v/>
      </c>
      <c r="W35" s="1720">
        <f t="array" ref="W35">W34/R34-1</f>
        <v/>
      </c>
      <c r="X35" s="1720">
        <f t="array" ref="X35">X34/S34-1</f>
        <v/>
      </c>
      <c r="Y35" s="1720">
        <f t="array" ref="Y35">Y34/T34-1</f>
        <v/>
      </c>
      <c r="Z35" s="1720">
        <f t="array" ref="Z35">Z34/U34-1</f>
        <v/>
      </c>
      <c r="AA35" s="1720">
        <f t="array" ref="AA35">AA34/V34-1</f>
        <v/>
      </c>
      <c r="AB35" s="1720">
        <f t="array" ref="AB35">AB34/W34-1</f>
        <v/>
      </c>
      <c r="AC35" s="1720">
        <f t="array" ref="AC35">AC34/X34-1</f>
        <v/>
      </c>
      <c r="AD35" s="1720">
        <f t="array" ref="AD35">AD34/Y34-1</f>
        <v/>
      </c>
      <c r="AE35" s="1720">
        <f t="array" ref="AE35">AE34/Z34-1</f>
        <v/>
      </c>
      <c r="AF35" s="1720">
        <f t="array" ref="AF35">AF34/AA34-1</f>
        <v/>
      </c>
      <c r="AG35" s="1720">
        <f t="array" ref="AG35">AG34/AB34-1</f>
        <v/>
      </c>
      <c r="AH35" s="1720">
        <f t="array" ref="AH35">AH34/AC34-1</f>
        <v/>
      </c>
      <c r="AI35" s="1720">
        <f t="array" ref="AI35">AI34/AD34-1</f>
        <v/>
      </c>
      <c r="AJ35" s="1720">
        <f t="array" ref="AJ35">AJ34/AE34-1</f>
        <v/>
      </c>
      <c r="AK35" s="1720">
        <f t="array" ref="AK35">AK34/AF34-1</f>
        <v/>
      </c>
      <c r="AL35" s="1720">
        <f t="array" ref="AL35">AL34/AG34-1</f>
        <v/>
      </c>
      <c r="AM35" s="1720">
        <f t="array" ref="AM35">AM34/AH34-1</f>
        <v/>
      </c>
      <c r="AN35" s="1720">
        <f t="array" ref="AN35">AN34/AI34-1</f>
        <v/>
      </c>
      <c r="AO35" s="1720">
        <f t="array" ref="AO35">AO34/AJ34-1</f>
        <v/>
      </c>
      <c r="AP35" s="1720">
        <f t="array" ref="AP35">AP34/AK34-1</f>
        <v/>
      </c>
      <c r="AQ35" s="1720">
        <f t="array" ref="AQ35">AQ34/AL34-1</f>
        <v/>
      </c>
      <c r="AR35" s="1720">
        <f t="array" ref="AR35">AR34/AM34-1</f>
        <v/>
      </c>
      <c r="AS35" s="1720">
        <f t="array" ref="AS35">AS34/AN34-1</f>
        <v/>
      </c>
      <c r="AT35" s="1720">
        <f t="array" ref="AT35">AT34/AO34-1</f>
        <v/>
      </c>
      <c r="AU35" s="1720">
        <f t="array" ref="AU35">AU34/AP34-1</f>
        <v/>
      </c>
      <c r="AV35" s="1720">
        <f t="array" ref="AV35">AV34/AQ34-1</f>
        <v/>
      </c>
      <c r="AW35" s="1721">
        <f t="array" ref="AW35">AW34/AR34-1</f>
        <v/>
      </c>
      <c r="AX35" s="1722">
        <f t="array" ref="AX35">AX34/AS34-1</f>
        <v/>
      </c>
      <c r="AY35" s="1722">
        <f t="array" ref="AY35">AY34/AT34-1</f>
        <v/>
      </c>
      <c r="AZ35" s="1722">
        <f t="array" ref="AZ35">AZ34/AU34-1</f>
        <v/>
      </c>
      <c r="BA35" s="1723">
        <f t="array" ref="BA35">BA34/AV34-1</f>
        <v/>
      </c>
      <c r="BB35" s="1721">
        <f t="array" ref="BB35">BB34/AW34-1</f>
        <v/>
      </c>
      <c r="BC35" s="1722">
        <f t="array" ref="BC35">BC34/AX34-1</f>
        <v/>
      </c>
      <c r="BD35" s="1724" t="n"/>
      <c r="BE35" s="1724" t="n"/>
      <c r="BF35" s="1723" t="n"/>
      <c r="BG35" s="1713" t="n"/>
      <c r="BH35" s="1713" t="n"/>
      <c r="BI35" s="1713" t="n"/>
      <c r="BJ35" s="1713" t="n"/>
      <c r="BK35" s="1720" t="n"/>
      <c r="BL35" s="1713" t="n"/>
      <c r="BM35" s="1713" t="n"/>
      <c r="BN35" s="1713" t="n"/>
      <c r="BO35" s="1713" t="n"/>
      <c r="BP35" s="1720" t="n"/>
      <c r="BQ35" s="1713" t="n"/>
      <c r="BR35" s="1713" t="n"/>
      <c r="BS35" s="1713" t="n"/>
      <c r="BT35" s="1713" t="n"/>
      <c r="BU35" s="1720" t="n"/>
      <c r="BV35" s="1713" t="n"/>
      <c r="BW35" s="1713" t="n"/>
      <c r="BX35" s="1713" t="n"/>
      <c r="BY35" s="1713" t="n"/>
      <c r="BZ35" s="1720" t="n"/>
      <c r="CA35" s="128" t="n"/>
      <c r="CB35" s="98" t="n"/>
      <c r="CC35" s="701" t="n"/>
      <c r="CD35" s="701" t="n"/>
      <c r="CE35" s="701" t="n"/>
      <c r="CF35" s="701" t="n"/>
      <c r="CG35" s="701" t="n"/>
      <c r="CH35" s="701" t="n"/>
      <c r="CI35" s="701" t="n"/>
      <c r="CJ35" s="701" t="n"/>
      <c r="CK35" s="701" t="n"/>
      <c r="CL35" s="701" t="n"/>
      <c r="CM35" s="701" t="n"/>
      <c r="CN35" s="701" t="n"/>
      <c r="CO35" s="701" t="n"/>
      <c r="CP35" s="701" t="n"/>
      <c r="CQ35" s="701" t="n"/>
      <c r="CR35" s="701" t="n"/>
      <c r="CS35" s="701" t="n"/>
      <c r="CT35" s="701" t="n"/>
      <c r="CU35" s="701" t="n"/>
      <c r="CV35" s="701" t="n"/>
      <c r="CW35" s="30" t="n"/>
    </row>
    <row r="36" ht="12.75" customHeight="1" s="1676">
      <c r="A36" s="31" t="n"/>
      <c r="B36" s="116" t="inlineStr">
        <is>
          <t>Text_25</t>
        </is>
      </c>
      <c r="C36" s="699" t="n"/>
      <c r="D36" s="1713" t="n"/>
      <c r="E36" s="1713" t="n"/>
      <c r="F36" s="1713" t="n"/>
      <c r="G36" s="1713" t="n"/>
      <c r="H36" s="1714" t="n"/>
      <c r="I36" s="117">
        <f t="array" ref="I36">I34/I$43</f>
        <v/>
      </c>
      <c r="J36" s="117">
        <f t="array" ref="J36">J34/J$43</f>
        <v/>
      </c>
      <c r="K36" s="117">
        <f t="array" ref="K36">K34/K$43</f>
        <v/>
      </c>
      <c r="L36" s="117">
        <f t="array" ref="L36">L34/L$43</f>
        <v/>
      </c>
      <c r="M36" s="117">
        <f t="array" ref="M36">M34/M$43</f>
        <v/>
      </c>
      <c r="N36" s="117">
        <f t="array" ref="N36">N34/N$43</f>
        <v/>
      </c>
      <c r="O36" s="117">
        <f t="array" ref="O36">O34/O$43</f>
        <v/>
      </c>
      <c r="P36" s="117">
        <f t="array" ref="P36">P34/P$43</f>
        <v/>
      </c>
      <c r="Q36" s="117">
        <f t="array" ref="Q36">Q34/Q$43</f>
        <v/>
      </c>
      <c r="R36" s="117">
        <f t="array" ref="R36">R34/R$43</f>
        <v/>
      </c>
      <c r="S36" s="117">
        <f t="array" ref="S36">S34/S$43</f>
        <v/>
      </c>
      <c r="T36" s="117">
        <f t="array" ref="T36">T34/T$43</f>
        <v/>
      </c>
      <c r="U36" s="117">
        <f t="array" ref="U36">U34/U$43</f>
        <v/>
      </c>
      <c r="V36" s="117">
        <f t="array" ref="V36">V34/V$43</f>
        <v/>
      </c>
      <c r="W36" s="117">
        <f t="array" ref="W36">W34/W$43</f>
        <v/>
      </c>
      <c r="X36" s="117">
        <f t="array" ref="X36">X34/X$43</f>
        <v/>
      </c>
      <c r="Y36" s="117">
        <f t="array" ref="Y36">Y34/Y$43</f>
        <v/>
      </c>
      <c r="Z36" s="117">
        <f t="array" ref="Z36">Z34/Z$43</f>
        <v/>
      </c>
      <c r="AA36" s="117">
        <f t="array" ref="AA36">AA34/AA$43</f>
        <v/>
      </c>
      <c r="AB36" s="117">
        <f t="array" ref="AB36">AB34/AB$43</f>
        <v/>
      </c>
      <c r="AC36" s="117">
        <f t="array" ref="AC36">AC34/AC$43</f>
        <v/>
      </c>
      <c r="AD36" s="117">
        <f t="array" ref="AD36">AD34/AD$43</f>
        <v/>
      </c>
      <c r="AE36" s="117">
        <f t="array" ref="AE36">AE34/AE$43</f>
        <v/>
      </c>
      <c r="AF36" s="117">
        <f t="array" ref="AF36">AF34/AF$43</f>
        <v/>
      </c>
      <c r="AG36" s="117">
        <f t="array" ref="AG36">AG34/AG$43</f>
        <v/>
      </c>
      <c r="AH36" s="117">
        <f t="array" ref="AH36">AH34/AH$43</f>
        <v/>
      </c>
      <c r="AI36" s="117">
        <f t="array" ref="AI36">AI34/AI$43</f>
        <v/>
      </c>
      <c r="AJ36" s="117">
        <f t="array" ref="AJ36">AJ34/AJ$43</f>
        <v/>
      </c>
      <c r="AK36" s="117">
        <f t="array" ref="AK36">AK34/AK$43</f>
        <v/>
      </c>
      <c r="AL36" s="117">
        <f t="array" ref="AL36">AL34/AL$43</f>
        <v/>
      </c>
      <c r="AM36" s="117">
        <f t="array" ref="AM36">AM34/AM$43</f>
        <v/>
      </c>
      <c r="AN36" s="117">
        <f t="array" ref="AN36">AN34/AN$43</f>
        <v/>
      </c>
      <c r="AO36" s="117">
        <f t="array" ref="AO36">AO34/AO$43</f>
        <v/>
      </c>
      <c r="AP36" s="117">
        <f t="array" ref="AP36">AP34/AP$43</f>
        <v/>
      </c>
      <c r="AQ36" s="117">
        <f t="array" ref="AQ36">AQ34/AQ$43</f>
        <v/>
      </c>
      <c r="AR36" s="117">
        <f t="array" ref="AR36">AR34/AR$43</f>
        <v/>
      </c>
      <c r="AS36" s="117">
        <f t="array" ref="AS36">AS34/AS$43</f>
        <v/>
      </c>
      <c r="AT36" s="117">
        <f t="array" ref="AT36">AT34/AT$43</f>
        <v/>
      </c>
      <c r="AU36" s="117">
        <f t="array" ref="AU36">AU34/AU$43</f>
        <v/>
      </c>
      <c r="AV36" s="117">
        <f t="array" ref="AV36">AV34/AV$43</f>
        <v/>
      </c>
      <c r="AW36" s="125">
        <f t="array" ref="AW36">AW34/AW$43</f>
        <v/>
      </c>
      <c r="AX36" s="122" t="n">
        <v>0.120181478381775</v>
      </c>
      <c r="AY36" s="122" t="n">
        <v>0.110022238988746</v>
      </c>
      <c r="AZ36" s="122" t="n">
        <v>0.0727840883370232</v>
      </c>
      <c r="BA36" s="124">
        <f t="array" ref="BA36">BA34/$BA$43</f>
        <v/>
      </c>
      <c r="BB36" s="125" t="n">
        <v>0.07139966335392579</v>
      </c>
      <c r="BC36" s="122" t="n">
        <v>0.07188502418773859</v>
      </c>
      <c r="BD36" s="1724" t="n"/>
      <c r="BE36" s="1724" t="n"/>
      <c r="BF36" s="124" t="n"/>
      <c r="BG36" s="1713" t="n"/>
      <c r="BH36" s="1713" t="n"/>
      <c r="BI36" s="1713" t="n"/>
      <c r="BJ36" s="1713" t="n"/>
      <c r="BK36" s="117" t="n"/>
      <c r="BL36" s="1713" t="n"/>
      <c r="BM36" s="1713" t="n"/>
      <c r="BN36" s="1713" t="n"/>
      <c r="BO36" s="1713" t="n"/>
      <c r="BP36" s="117" t="n"/>
      <c r="BQ36" s="1713" t="n"/>
      <c r="BR36" s="1713" t="n"/>
      <c r="BS36" s="1713" t="n"/>
      <c r="BT36" s="1713" t="n"/>
      <c r="BU36" s="117" t="n"/>
      <c r="BV36" s="1713" t="n"/>
      <c r="BW36" s="1713" t="n"/>
      <c r="BX36" s="1713" t="n"/>
      <c r="BY36" s="1713" t="n"/>
      <c r="BZ36" s="117" t="n"/>
      <c r="CA36" s="128" t="n"/>
      <c r="CB36" s="456" t="n"/>
      <c r="CC36" s="701" t="n"/>
      <c r="CD36" s="701" t="n"/>
      <c r="CE36" s="701" t="n"/>
      <c r="CF36" s="701" t="n"/>
      <c r="CG36" s="701" t="n"/>
      <c r="CH36" s="701" t="n"/>
      <c r="CI36" s="701" t="n"/>
      <c r="CJ36" s="701" t="n"/>
      <c r="CK36" s="701" t="n"/>
      <c r="CL36" s="701" t="n"/>
      <c r="CM36" s="701" t="n"/>
      <c r="CN36" s="701" t="n"/>
      <c r="CO36" s="701" t="n"/>
      <c r="CP36" s="701" t="n"/>
      <c r="CQ36" s="701" t="n"/>
      <c r="CR36" s="701" t="n"/>
      <c r="CS36" s="701" t="n"/>
      <c r="CT36" s="701" t="n"/>
      <c r="CU36" s="701" t="n"/>
      <c r="CV36" s="701" t="n"/>
      <c r="CW36" s="30" t="n"/>
    </row>
    <row r="37" ht="12.75" customHeight="1" s="1676">
      <c r="A37" s="31" t="n"/>
      <c r="B37" s="103" t="inlineStr">
        <is>
          <t>Text_31</t>
        </is>
      </c>
      <c r="C37" s="699" t="n"/>
      <c r="D37" s="1713" t="n"/>
      <c r="E37" s="1713" t="n"/>
      <c r="F37" s="1713" t="n"/>
      <c r="G37" s="1713" t="n"/>
      <c r="H37" s="1714" t="n"/>
      <c r="I37" s="1715" t="n">
        <v>44.5604618825404</v>
      </c>
      <c r="J37" s="1715" t="n">
        <v>47.7833483216116</v>
      </c>
      <c r="K37" s="1715" t="n">
        <v>35.3925706844186</v>
      </c>
      <c r="L37" s="1715" t="n">
        <v>46.4759048854479</v>
      </c>
      <c r="M37" s="1715" t="n">
        <v>140.661980419647</v>
      </c>
      <c r="N37" s="1715" t="n">
        <v>35.9391625413739</v>
      </c>
      <c r="O37" s="1715" t="n">
        <v>76.095378425427</v>
      </c>
      <c r="P37" s="1715" t="n">
        <v>90.708364847886</v>
      </c>
      <c r="Q37" s="1715" t="n">
        <v>44.2694772059667</v>
      </c>
      <c r="R37" s="1715" t="n">
        <v>241.265772143067</v>
      </c>
      <c r="S37" s="1715" t="n">
        <v>86.53901256952609</v>
      </c>
      <c r="T37" s="1715" t="n">
        <v>66.728735813797</v>
      </c>
      <c r="U37" s="1715" t="n">
        <v>43.2268239903298</v>
      </c>
      <c r="V37" s="1715" t="n">
        <v>92.7811385093315</v>
      </c>
      <c r="W37" s="1715" t="n">
        <v>284.056496303898</v>
      </c>
      <c r="X37" s="1715" t="n">
        <v>60.9777199524992</v>
      </c>
      <c r="Y37" s="1715" t="n">
        <v>81.33528285563931</v>
      </c>
      <c r="Z37" s="1715" t="n">
        <v>84.2676358749447</v>
      </c>
      <c r="AA37" s="1715" t="n">
        <v>68.764017110515</v>
      </c>
      <c r="AB37" s="1715" t="n">
        <v>320.962058369781</v>
      </c>
      <c r="AC37" s="1715" t="n">
        <v>47.1593488301872</v>
      </c>
      <c r="AD37" s="1715" t="n">
        <v>74.32601109751479</v>
      </c>
      <c r="AE37" s="1715" t="n">
        <v>72.09115733172609</v>
      </c>
      <c r="AF37" s="1715" t="n">
        <v>89.0034279548404</v>
      </c>
      <c r="AG37" s="1715" t="n">
        <v>322.696764456516</v>
      </c>
      <c r="AH37" s="1715" t="n">
        <v>83.8883729578472</v>
      </c>
      <c r="AI37" s="1715" t="n">
        <v>117.905878138136</v>
      </c>
      <c r="AJ37" s="1715" t="n">
        <v>90.77669256312581</v>
      </c>
      <c r="AK37" s="1715" t="n">
        <v>107.346847749856</v>
      </c>
      <c r="AL37" s="1715" t="n">
        <v>426.769151205478</v>
      </c>
      <c r="AM37" s="1715" t="n">
        <v>75.7127445888873</v>
      </c>
      <c r="AN37" s="1715" t="n">
        <v>160.663925337852</v>
      </c>
      <c r="AO37" s="1715" t="n">
        <v>133.193570636697</v>
      </c>
      <c r="AP37" s="1715" t="n">
        <v>161.168597834567</v>
      </c>
      <c r="AQ37" s="1715" t="n">
        <v>719.549157110683</v>
      </c>
      <c r="AR37" s="1715" t="n">
        <v>185.433895292312</v>
      </c>
      <c r="AS37" s="1715" t="n">
        <v>182.909987596951</v>
      </c>
      <c r="AT37" s="1715" t="n">
        <v>210.961375351406</v>
      </c>
      <c r="AU37" s="1715" t="n">
        <v>121.078573159787</v>
      </c>
      <c r="AV37" s="1715" t="n">
        <v>588.36487044683</v>
      </c>
      <c r="AW37" s="1716" t="n">
        <v>151.024530053964</v>
      </c>
      <c r="AX37" s="1717">
        <f t="array" ref="AX37">AX39*AX$43</f>
        <v/>
      </c>
      <c r="AY37" s="1717">
        <f t="array" ref="AY37">AY39*AY$43</f>
        <v/>
      </c>
      <c r="AZ37" s="1717">
        <f t="array" ref="AZ37">AZ39*AZ$43</f>
        <v/>
      </c>
      <c r="BA37" s="1718">
        <f t="array" ref="BA37">AZ37+AY37+AX37+AW37</f>
        <v/>
      </c>
      <c r="BB37" s="1716">
        <f t="array" ref="BB37">BB39*BB$43</f>
        <v/>
      </c>
      <c r="BC37" s="1717">
        <f t="array" ref="BC37">BC39*BC$43</f>
        <v/>
      </c>
      <c r="BD37" s="1724" t="n"/>
      <c r="BE37" s="1724" t="n"/>
      <c r="BF37" s="1723" t="n"/>
      <c r="BG37" s="1713" t="n"/>
      <c r="BH37" s="1713" t="n"/>
      <c r="BI37" s="1713" t="n"/>
      <c r="BJ37" s="1713" t="n"/>
      <c r="BK37" s="1720" t="n"/>
      <c r="BL37" s="1713" t="n"/>
      <c r="BM37" s="1713" t="n"/>
      <c r="BN37" s="1713" t="n"/>
      <c r="BO37" s="1713" t="n"/>
      <c r="BP37" s="1720" t="n"/>
      <c r="BQ37" s="1713" t="n"/>
      <c r="BR37" s="1713" t="n"/>
      <c r="BS37" s="1713" t="n"/>
      <c r="BT37" s="1713" t="n"/>
      <c r="BU37" s="1720" t="n"/>
      <c r="BV37" s="1713" t="n"/>
      <c r="BW37" s="1713" t="n"/>
      <c r="BX37" s="1713" t="n"/>
      <c r="BY37" s="1713" t="n"/>
      <c r="BZ37" s="1720" t="n"/>
      <c r="CA37" s="128" t="n"/>
      <c r="CB37" s="98" t="n"/>
      <c r="CC37" s="701" t="n"/>
      <c r="CD37" s="701" t="n"/>
      <c r="CE37" s="701" t="n"/>
      <c r="CF37" s="701" t="n"/>
      <c r="CG37" s="701" t="n"/>
      <c r="CH37" s="701" t="n"/>
      <c r="CI37" s="701" t="n"/>
      <c r="CJ37" s="701" t="n"/>
      <c r="CK37" s="701" t="n"/>
      <c r="CL37" s="701" t="n"/>
      <c r="CM37" s="701" t="n"/>
      <c r="CN37" s="701" t="n"/>
      <c r="CO37" s="701" t="n"/>
      <c r="CP37" s="701" t="n"/>
      <c r="CQ37" s="701" t="n"/>
      <c r="CR37" s="701" t="n"/>
      <c r="CS37" s="701" t="n"/>
      <c r="CT37" s="701" t="n"/>
      <c r="CU37" s="701" t="n"/>
      <c r="CV37" s="701" t="n"/>
      <c r="CW37" s="30" t="n"/>
    </row>
    <row r="38" ht="12.75" customHeight="1" s="1676">
      <c r="A38" s="31" t="n"/>
      <c r="B38" s="103" t="inlineStr">
        <is>
          <t>Text_24</t>
        </is>
      </c>
      <c r="C38" s="699" t="n"/>
      <c r="D38" s="1713" t="n"/>
      <c r="E38" s="1713" t="n"/>
      <c r="F38" s="1713" t="n"/>
      <c r="G38" s="1713" t="n"/>
      <c r="H38" s="1714" t="n"/>
      <c r="I38" s="1719" t="n"/>
      <c r="J38" s="1719" t="n"/>
      <c r="K38" s="1719" t="n"/>
      <c r="L38" s="1719" t="n"/>
      <c r="M38" s="1720" t="n"/>
      <c r="N38" s="1720">
        <f t="array" ref="N38">N37/I37-1</f>
        <v/>
      </c>
      <c r="O38" s="1720">
        <f t="array" ref="O38">O37/J37-1</f>
        <v/>
      </c>
      <c r="P38" s="1720">
        <f t="array" ref="P38">P37/K37-1</f>
        <v/>
      </c>
      <c r="Q38" s="1720">
        <f t="array" ref="Q38">Q37/L37-1</f>
        <v/>
      </c>
      <c r="R38" s="1720">
        <f t="array" ref="R38">R37/M37-1</f>
        <v/>
      </c>
      <c r="S38" s="1720">
        <f t="array" ref="S38">S37/N37-1</f>
        <v/>
      </c>
      <c r="T38" s="1720">
        <f t="array" ref="T38">T37/O37-1</f>
        <v/>
      </c>
      <c r="U38" s="1720">
        <f t="array" ref="U38">U37/P37-1</f>
        <v/>
      </c>
      <c r="V38" s="1720">
        <f t="array" ref="V38">V37/Q37-1</f>
        <v/>
      </c>
      <c r="W38" s="1720">
        <f t="array" ref="W38">W37/R37-1</f>
        <v/>
      </c>
      <c r="X38" s="1720">
        <f t="array" ref="X38">X37/S37-1</f>
        <v/>
      </c>
      <c r="Y38" s="1720">
        <f t="array" ref="Y38">Y37/T37-1</f>
        <v/>
      </c>
      <c r="Z38" s="1720">
        <f t="array" ref="Z38">Z37/U37-1</f>
        <v/>
      </c>
      <c r="AA38" s="1720">
        <f t="array" ref="AA38">AA37/V37-1</f>
        <v/>
      </c>
      <c r="AB38" s="1720">
        <f t="array" ref="AB38">AB37/W37-1</f>
        <v/>
      </c>
      <c r="AC38" s="1720">
        <f t="array" ref="AC38">AC37/X37-1</f>
        <v/>
      </c>
      <c r="AD38" s="1720">
        <f t="array" ref="AD38">AD37/Y37-1</f>
        <v/>
      </c>
      <c r="AE38" s="1720">
        <f t="array" ref="AE38">AE37/Z37-1</f>
        <v/>
      </c>
      <c r="AF38" s="1720">
        <f t="array" ref="AF38">AF37/AA37-1</f>
        <v/>
      </c>
      <c r="AG38" s="1720">
        <f t="array" ref="AG38">AG37/AB37-1</f>
        <v/>
      </c>
      <c r="AH38" s="1720">
        <f t="array" ref="AH38">AH37/AC37-1</f>
        <v/>
      </c>
      <c r="AI38" s="1720">
        <f t="array" ref="AI38">AI37/AD37-1</f>
        <v/>
      </c>
      <c r="AJ38" s="1720">
        <f t="array" ref="AJ38">AJ37/AE37-1</f>
        <v/>
      </c>
      <c r="AK38" s="1720">
        <f t="array" ref="AK38">AK37/AF37-1</f>
        <v/>
      </c>
      <c r="AL38" s="1720">
        <f t="array" ref="AL38">AL37/AG37-1</f>
        <v/>
      </c>
      <c r="AM38" s="1720">
        <f t="array" ref="AM38">AM37/AH37-1</f>
        <v/>
      </c>
      <c r="AN38" s="1720">
        <f t="array" ref="AN38">AN37/AI37-1</f>
        <v/>
      </c>
      <c r="AO38" s="1720">
        <f t="array" ref="AO38">AO37/AJ37-1</f>
        <v/>
      </c>
      <c r="AP38" s="1720">
        <f t="array" ref="AP38">AP37/AK37-1</f>
        <v/>
      </c>
      <c r="AQ38" s="1720">
        <f t="array" ref="AQ38">AQ37/AL37-1</f>
        <v/>
      </c>
      <c r="AR38" s="1720">
        <f t="array" ref="AR38">AR37/AM37-1</f>
        <v/>
      </c>
      <c r="AS38" s="1720">
        <f t="array" ref="AS38">AS37/AN37-1</f>
        <v/>
      </c>
      <c r="AT38" s="1720">
        <f t="array" ref="AT38">AT37/AO37-1</f>
        <v/>
      </c>
      <c r="AU38" s="1720">
        <f t="array" ref="AU38">AU37/AP37-1</f>
        <v/>
      </c>
      <c r="AV38" s="1720">
        <f t="array" ref="AV38">AV37/AQ37-1</f>
        <v/>
      </c>
      <c r="AW38" s="1721">
        <f t="array" ref="AW38">AW37/AR37-1</f>
        <v/>
      </c>
      <c r="AX38" s="1722">
        <f t="array" ref="AX38">AX37/AS37-1</f>
        <v/>
      </c>
      <c r="AY38" s="1722">
        <f t="array" ref="AY38">AY37/AT37-1</f>
        <v/>
      </c>
      <c r="AZ38" s="1722">
        <f t="array" ref="AZ38">AZ37/AU37-1</f>
        <v/>
      </c>
      <c r="BA38" s="1723">
        <f t="array" ref="BA38">BA37/AV37-1</f>
        <v/>
      </c>
      <c r="BB38" s="1721">
        <f t="array" ref="BB38">BB37/AW37-1</f>
        <v/>
      </c>
      <c r="BC38" s="1722">
        <f t="array" ref="BC38">BC37/AX37-1</f>
        <v/>
      </c>
      <c r="BD38" s="1724" t="n"/>
      <c r="BE38" s="1724" t="n"/>
      <c r="BF38" s="1723" t="n"/>
      <c r="BG38" s="1713" t="n"/>
      <c r="BH38" s="1713" t="n"/>
      <c r="BI38" s="1713" t="n"/>
      <c r="BJ38" s="1713" t="n"/>
      <c r="BK38" s="1720" t="n"/>
      <c r="BL38" s="1713" t="n"/>
      <c r="BM38" s="1713" t="n"/>
      <c r="BN38" s="1713" t="n"/>
      <c r="BO38" s="1713" t="n"/>
      <c r="BP38" s="1720" t="n"/>
      <c r="BQ38" s="1713" t="n"/>
      <c r="BR38" s="1713" t="n"/>
      <c r="BS38" s="1713" t="n"/>
      <c r="BT38" s="1713" t="n"/>
      <c r="BU38" s="1720" t="n"/>
      <c r="BV38" s="1713" t="n"/>
      <c r="BW38" s="1713" t="n"/>
      <c r="BX38" s="1713" t="n"/>
      <c r="BY38" s="1713" t="n"/>
      <c r="BZ38" s="1720" t="n"/>
      <c r="CA38" s="128" t="n"/>
      <c r="CB38" s="98" t="n"/>
      <c r="CC38" s="701" t="n"/>
      <c r="CD38" s="701" t="n"/>
      <c r="CE38" s="701" t="n"/>
      <c r="CF38" s="701" t="n"/>
      <c r="CG38" s="701" t="n"/>
      <c r="CH38" s="701" t="n"/>
      <c r="CI38" s="701" t="n"/>
      <c r="CJ38" s="701" t="n"/>
      <c r="CK38" s="701" t="n"/>
      <c r="CL38" s="701" t="n"/>
      <c r="CM38" s="701" t="n"/>
      <c r="CN38" s="701" t="n"/>
      <c r="CO38" s="701" t="n"/>
      <c r="CP38" s="701" t="n"/>
      <c r="CQ38" s="701" t="n"/>
      <c r="CR38" s="701" t="n"/>
      <c r="CS38" s="701" t="n"/>
      <c r="CT38" s="701" t="n"/>
      <c r="CU38" s="701" t="n"/>
      <c r="CV38" s="701" t="n"/>
      <c r="CW38" s="30" t="n"/>
    </row>
    <row r="39" ht="12.75" customHeight="1" s="1676">
      <c r="A39" s="31" t="n"/>
      <c r="B39" s="116" t="inlineStr">
        <is>
          <t>Text_25</t>
        </is>
      </c>
      <c r="C39" s="699" t="n"/>
      <c r="D39" s="1713" t="n"/>
      <c r="E39" s="1713" t="n"/>
      <c r="F39" s="1713" t="n"/>
      <c r="G39" s="1713" t="n"/>
      <c r="H39" s="1714" t="n"/>
      <c r="I39" s="117">
        <f t="array" ref="I39">I37/I$43</f>
        <v/>
      </c>
      <c r="J39" s="117">
        <f t="array" ref="J39">J37/J$43</f>
        <v/>
      </c>
      <c r="K39" s="117">
        <f t="array" ref="K39">K37/K$43</f>
        <v/>
      </c>
      <c r="L39" s="117">
        <f t="array" ref="L39">L37/L$43</f>
        <v/>
      </c>
      <c r="M39" s="117">
        <f t="array" ref="M39">M37/M$43</f>
        <v/>
      </c>
      <c r="N39" s="117">
        <f t="array" ref="N39">N37/N$43</f>
        <v/>
      </c>
      <c r="O39" s="117">
        <f t="array" ref="O39">O37/O$43</f>
        <v/>
      </c>
      <c r="P39" s="117">
        <f t="array" ref="P39">P37/P$43</f>
        <v/>
      </c>
      <c r="Q39" s="117">
        <f t="array" ref="Q39">Q37/Q$43</f>
        <v/>
      </c>
      <c r="R39" s="117">
        <f t="array" ref="R39">R37/R$43</f>
        <v/>
      </c>
      <c r="S39" s="117">
        <f t="array" ref="S39">S37/S$43</f>
        <v/>
      </c>
      <c r="T39" s="117">
        <f t="array" ref="T39">T37/T$43</f>
        <v/>
      </c>
      <c r="U39" s="117">
        <f t="array" ref="U39">U37/U$43</f>
        <v/>
      </c>
      <c r="V39" s="117">
        <f t="array" ref="V39">V37/V$43</f>
        <v/>
      </c>
      <c r="W39" s="117">
        <f t="array" ref="W39">W37/W$43</f>
        <v/>
      </c>
      <c r="X39" s="117">
        <f t="array" ref="X39">X37/X$43</f>
        <v/>
      </c>
      <c r="Y39" s="117">
        <f t="array" ref="Y39">Y37/Y$43</f>
        <v/>
      </c>
      <c r="Z39" s="117">
        <f t="array" ref="Z39">Z37/Z$43</f>
        <v/>
      </c>
      <c r="AA39" s="117">
        <f t="array" ref="AA39">AA37/AA$43</f>
        <v/>
      </c>
      <c r="AB39" s="117">
        <f t="array" ref="AB39">AB37/AB$43</f>
        <v/>
      </c>
      <c r="AC39" s="117">
        <f t="array" ref="AC39">AC37/AC$43</f>
        <v/>
      </c>
      <c r="AD39" s="117">
        <f t="array" ref="AD39">AD37/AD$43</f>
        <v/>
      </c>
      <c r="AE39" s="117">
        <f t="array" ref="AE39">AE37/AE$43</f>
        <v/>
      </c>
      <c r="AF39" s="117">
        <f t="array" ref="AF39">AF37/AF$43</f>
        <v/>
      </c>
      <c r="AG39" s="117">
        <f t="array" ref="AG39">AG37/AG$43</f>
        <v/>
      </c>
      <c r="AH39" s="117">
        <f t="array" ref="AH39">AH37/AH$43</f>
        <v/>
      </c>
      <c r="AI39" s="117">
        <f t="array" ref="AI39">AI37/AI$43</f>
        <v/>
      </c>
      <c r="AJ39" s="117">
        <f t="array" ref="AJ39">AJ37/AJ$43</f>
        <v/>
      </c>
      <c r="AK39" s="117">
        <f t="array" ref="AK39">AK37/AK$43</f>
        <v/>
      </c>
      <c r="AL39" s="117">
        <f t="array" ref="AL39">AL37/AL$43</f>
        <v/>
      </c>
      <c r="AM39" s="117">
        <f t="array" ref="AM39">AM37/AM$43</f>
        <v/>
      </c>
      <c r="AN39" s="117">
        <f t="array" ref="AN39">AN37/AN$43</f>
        <v/>
      </c>
      <c r="AO39" s="117">
        <f t="array" ref="AO39">AO37/AO$43</f>
        <v/>
      </c>
      <c r="AP39" s="117">
        <f t="array" ref="AP39">AP37/AP$43</f>
        <v/>
      </c>
      <c r="AQ39" s="117">
        <f t="array" ref="AQ39">AQ37/AQ$43</f>
        <v/>
      </c>
      <c r="AR39" s="117">
        <f t="array" ref="AR39">AR37/AR$43</f>
        <v/>
      </c>
      <c r="AS39" s="117">
        <f t="array" ref="AS39">AS37/AS$43</f>
        <v/>
      </c>
      <c r="AT39" s="117">
        <f t="array" ref="AT39">AT37/AT$43</f>
        <v/>
      </c>
      <c r="AU39" s="117">
        <f t="array" ref="AU39">AU37/AU$43</f>
        <v/>
      </c>
      <c r="AV39" s="117">
        <f t="array" ref="AV39">AV37/AV$43</f>
        <v/>
      </c>
      <c r="AW39" s="125">
        <f t="array" ref="AW39">AW37/AW$43</f>
        <v/>
      </c>
      <c r="AX39" s="122" t="n">
        <v>0.0503281777647075</v>
      </c>
      <c r="AY39" s="122" t="n">
        <v>0.0617167673816005</v>
      </c>
      <c r="AZ39" s="122" t="n">
        <v>0.0510679825114515</v>
      </c>
      <c r="BA39" s="124">
        <f t="array" ref="BA39">BA37/$BA$43</f>
        <v/>
      </c>
      <c r="BB39" s="125" t="n">
        <v>0.0485328926463063</v>
      </c>
      <c r="BC39" s="122" t="n">
        <v>0.042425948163537</v>
      </c>
      <c r="BD39" s="1724" t="n"/>
      <c r="BE39" s="1724" t="n"/>
      <c r="BF39" s="124" t="n"/>
      <c r="BG39" s="1713" t="n"/>
      <c r="BH39" s="1713" t="n"/>
      <c r="BI39" s="1713" t="n"/>
      <c r="BJ39" s="1713" t="n"/>
      <c r="BK39" s="117" t="n"/>
      <c r="BL39" s="1713" t="n"/>
      <c r="BM39" s="1713" t="n"/>
      <c r="BN39" s="1713" t="n"/>
      <c r="BO39" s="1713" t="n"/>
      <c r="BP39" s="117" t="n"/>
      <c r="BQ39" s="1713" t="n"/>
      <c r="BR39" s="1713" t="n"/>
      <c r="BS39" s="1713" t="n"/>
      <c r="BT39" s="1713" t="n"/>
      <c r="BU39" s="117" t="n"/>
      <c r="BV39" s="1713" t="n"/>
      <c r="BW39" s="1713" t="n"/>
      <c r="BX39" s="1713" t="n"/>
      <c r="BY39" s="1713" t="n"/>
      <c r="BZ39" s="117" t="n"/>
      <c r="CA39" s="128" t="n"/>
      <c r="CB39" s="456" t="n"/>
      <c r="CC39" s="701" t="n"/>
      <c r="CD39" s="701" t="n"/>
      <c r="CE39" s="701" t="n"/>
      <c r="CF39" s="701" t="n"/>
      <c r="CG39" s="701" t="n"/>
      <c r="CH39" s="701" t="n"/>
      <c r="CI39" s="701" t="n"/>
      <c r="CJ39" s="701" t="n"/>
      <c r="CK39" s="701" t="n"/>
      <c r="CL39" s="701" t="n"/>
      <c r="CM39" s="701" t="n"/>
      <c r="CN39" s="701" t="n"/>
      <c r="CO39" s="701" t="n"/>
      <c r="CP39" s="701" t="n"/>
      <c r="CQ39" s="701" t="n"/>
      <c r="CR39" s="701" t="n"/>
      <c r="CS39" s="701" t="n"/>
      <c r="CT39" s="701" t="n"/>
      <c r="CU39" s="701" t="n"/>
      <c r="CV39" s="701" t="n"/>
      <c r="CW39" s="30" t="n"/>
    </row>
    <row r="40" ht="12.75" customHeight="1" s="1676">
      <c r="A40" s="31" t="n"/>
      <c r="B40" s="103" t="inlineStr">
        <is>
          <t>Text_32</t>
        </is>
      </c>
      <c r="C40" s="699" t="n"/>
      <c r="D40" s="1713" t="n"/>
      <c r="E40" s="1713" t="n"/>
      <c r="F40" s="1713" t="n"/>
      <c r="G40" s="1713" t="n"/>
      <c r="H40" s="1714" t="n"/>
      <c r="I40" s="1715" t="n">
        <v>20.9613387942228</v>
      </c>
      <c r="J40" s="1715" t="n">
        <v>20.846594293356</v>
      </c>
      <c r="K40" s="1715" t="n">
        <v>65.0255784514444</v>
      </c>
      <c r="L40" s="1715" t="n">
        <v>54.8600761354378</v>
      </c>
      <c r="M40" s="1715" t="n">
        <v>142.479171962499</v>
      </c>
      <c r="N40" s="1715" t="n">
        <v>27.6167117391501</v>
      </c>
      <c r="O40" s="1715" t="n">
        <v>62.186120375639</v>
      </c>
      <c r="P40" s="1715" t="n">
        <v>24.1751391357434</v>
      </c>
      <c r="Q40" s="1715" t="n">
        <v>18.4690820063444</v>
      </c>
      <c r="R40" s="1715" t="n">
        <v>112.530145311196</v>
      </c>
      <c r="S40" s="1715" t="n">
        <v>23.5214401755285</v>
      </c>
      <c r="T40" s="1715" t="n">
        <v>41.6040607090404</v>
      </c>
      <c r="U40" s="1715" t="n">
        <v>44.8342175505271</v>
      </c>
      <c r="V40" s="1715" t="n">
        <v>38.0389381179202</v>
      </c>
      <c r="W40" s="1715" t="n">
        <v>121.785986095105</v>
      </c>
      <c r="X40" s="1715" t="n">
        <v>35.6918990878736</v>
      </c>
      <c r="Y40" s="1715" t="n">
        <v>45.0211437830395</v>
      </c>
      <c r="Z40" s="1715" t="n">
        <v>34.9476939103969</v>
      </c>
      <c r="AA40" s="1715" t="n">
        <v>56.3251684073249</v>
      </c>
      <c r="AB40" s="1715" t="n">
        <v>172.092714693011</v>
      </c>
      <c r="AC40" s="1715" t="n">
        <v>44.3673498058605</v>
      </c>
      <c r="AD40" s="1715" t="n">
        <v>47.7306001989974</v>
      </c>
      <c r="AE40" s="1715" t="n">
        <v>34.9492713476525</v>
      </c>
      <c r="AF40" s="1715" t="n">
        <v>27.72911137703</v>
      </c>
      <c r="AG40" s="1715" t="n">
        <v>167.633037910376</v>
      </c>
      <c r="AH40" s="1715" t="n">
        <v>77.0275102035299</v>
      </c>
      <c r="AI40" s="1715" t="n">
        <v>75.45109414596109</v>
      </c>
      <c r="AJ40" s="1715" t="n">
        <v>57.5481574558344</v>
      </c>
      <c r="AK40" s="1715" t="n">
        <v>33.3173401139753</v>
      </c>
      <c r="AL40" s="1715" t="n">
        <v>195.120799598304</v>
      </c>
      <c r="AM40" s="1715" t="n">
        <v>88.1019792617423</v>
      </c>
      <c r="AN40" s="1715" t="n">
        <v>57.2115756542344</v>
      </c>
      <c r="AO40" s="1715" t="n">
        <v>71.0160301709595</v>
      </c>
      <c r="AP40" s="1715" t="n">
        <v>87.73902252397031</v>
      </c>
      <c r="AQ40" s="1715" t="n">
        <v>312.135108082503</v>
      </c>
      <c r="AR40" s="1715" t="n">
        <v>104.102199408564</v>
      </c>
      <c r="AS40" s="1715" t="n">
        <v>144.059207905108</v>
      </c>
      <c r="AT40" s="1715" t="n">
        <v>71.7595877691934</v>
      </c>
      <c r="AU40" s="1715" t="n">
        <v>81.7672477662593</v>
      </c>
      <c r="AV40" s="1715" t="n">
        <v>487.634859413049</v>
      </c>
      <c r="AW40" s="1716" t="n">
        <v>91.5101285486783</v>
      </c>
      <c r="AX40" s="1717">
        <f t="array" ref="AX40">AX42*AX$43</f>
        <v/>
      </c>
      <c r="AY40" s="1717">
        <f t="array" ref="AY40">AY42*AY$43</f>
        <v/>
      </c>
      <c r="AZ40" s="1717">
        <f t="array" ref="AZ40">AZ42*AZ$43</f>
        <v/>
      </c>
      <c r="BA40" s="1718">
        <f t="array" ref="BA40">AZ40+AY40+AX40+AW40</f>
        <v/>
      </c>
      <c r="BB40" s="1716">
        <f t="array" ref="BB40">BB42*BB$43</f>
        <v/>
      </c>
      <c r="BC40" s="1717">
        <f t="array" ref="BC40">BC42*BC$43</f>
        <v/>
      </c>
      <c r="BD40" s="1724" t="n"/>
      <c r="BE40" s="1724" t="n"/>
      <c r="BF40" s="1723" t="n"/>
      <c r="BG40" s="1713" t="n"/>
      <c r="BH40" s="1713" t="n"/>
      <c r="BI40" s="1713" t="n"/>
      <c r="BJ40" s="1713" t="n"/>
      <c r="BK40" s="1720" t="n"/>
      <c r="BL40" s="1713" t="n"/>
      <c r="BM40" s="1713" t="n"/>
      <c r="BN40" s="1713" t="n"/>
      <c r="BO40" s="1713" t="n"/>
      <c r="BP40" s="1720" t="n"/>
      <c r="BQ40" s="1713" t="n"/>
      <c r="BR40" s="1713" t="n"/>
      <c r="BS40" s="1713" t="n"/>
      <c r="BT40" s="1713" t="n"/>
      <c r="BU40" s="1720" t="n"/>
      <c r="BV40" s="1713" t="n"/>
      <c r="BW40" s="1713" t="n"/>
      <c r="BX40" s="1713" t="n"/>
      <c r="BY40" s="1713" t="n"/>
      <c r="BZ40" s="1720" t="n"/>
      <c r="CA40" s="128" t="n"/>
      <c r="CB40" s="98" t="n"/>
      <c r="CC40" s="701" t="n"/>
      <c r="CD40" s="701" t="n"/>
      <c r="CE40" s="701" t="n"/>
      <c r="CF40" s="701" t="n"/>
      <c r="CG40" s="701" t="n"/>
      <c r="CH40" s="701" t="n"/>
      <c r="CI40" s="701" t="n"/>
      <c r="CJ40" s="701" t="n"/>
      <c r="CK40" s="701" t="n"/>
      <c r="CL40" s="701" t="n"/>
      <c r="CM40" s="701" t="n"/>
      <c r="CN40" s="701" t="n"/>
      <c r="CO40" s="701" t="n"/>
      <c r="CP40" s="701" t="n"/>
      <c r="CQ40" s="701" t="n"/>
      <c r="CR40" s="701" t="n"/>
      <c r="CS40" s="701" t="n"/>
      <c r="CT40" s="701" t="n"/>
      <c r="CU40" s="701" t="n"/>
      <c r="CV40" s="701" t="n"/>
      <c r="CW40" s="30" t="n"/>
    </row>
    <row r="41" ht="12.75" customHeight="1" s="1676">
      <c r="A41" s="31" t="n"/>
      <c r="B41" s="103" t="inlineStr">
        <is>
          <t>Text_24</t>
        </is>
      </c>
      <c r="C41" s="699" t="n"/>
      <c r="D41" s="1713" t="n"/>
      <c r="E41" s="1713" t="n"/>
      <c r="F41" s="1713" t="n"/>
      <c r="G41" s="1713" t="n"/>
      <c r="H41" s="1714" t="n"/>
      <c r="I41" s="1719" t="n"/>
      <c r="J41" s="1719" t="n"/>
      <c r="K41" s="1719" t="n"/>
      <c r="L41" s="1719" t="n"/>
      <c r="M41" s="1720" t="n"/>
      <c r="N41" s="1720">
        <f t="array" ref="N41">N40/I40-1</f>
        <v/>
      </c>
      <c r="O41" s="1720">
        <f t="array" ref="O41">O40/J40-1</f>
        <v/>
      </c>
      <c r="P41" s="1720">
        <f t="array" ref="P41">P40/K40-1</f>
        <v/>
      </c>
      <c r="Q41" s="1720">
        <f t="array" ref="Q41">Q40/L40-1</f>
        <v/>
      </c>
      <c r="R41" s="1720">
        <f t="array" ref="R41">R40/M40-1</f>
        <v/>
      </c>
      <c r="S41" s="1720">
        <f t="array" ref="S41">S40/N40-1</f>
        <v/>
      </c>
      <c r="T41" s="1720">
        <f t="array" ref="T41">T40/O40-1</f>
        <v/>
      </c>
      <c r="U41" s="1720">
        <f t="array" ref="U41">U40/P40-1</f>
        <v/>
      </c>
      <c r="V41" s="1720">
        <f t="array" ref="V41">V40/Q40-1</f>
        <v/>
      </c>
      <c r="W41" s="1720">
        <f t="array" ref="W41">W40/R40-1</f>
        <v/>
      </c>
      <c r="X41" s="1720">
        <f t="array" ref="X41">X40/S40-1</f>
        <v/>
      </c>
      <c r="Y41" s="1720">
        <f t="array" ref="Y41">Y40/T40-1</f>
        <v/>
      </c>
      <c r="Z41" s="1720">
        <f t="array" ref="Z41">Z40/U40-1</f>
        <v/>
      </c>
      <c r="AA41" s="1720">
        <f t="array" ref="AA41">AA40/V40-1</f>
        <v/>
      </c>
      <c r="AB41" s="1720">
        <f t="array" ref="AB41">AB40/W40-1</f>
        <v/>
      </c>
      <c r="AC41" s="1720">
        <f t="array" ref="AC41">AC40/X40-1</f>
        <v/>
      </c>
      <c r="AD41" s="1720">
        <f t="array" ref="AD41">AD40/Y40-1</f>
        <v/>
      </c>
      <c r="AE41" s="1720">
        <f t="array" ref="AE41">AE40/Z40-1</f>
        <v/>
      </c>
      <c r="AF41" s="1720">
        <f t="array" ref="AF41">AF40/AA40-1</f>
        <v/>
      </c>
      <c r="AG41" s="1720">
        <f t="array" ref="AG41">AG40/AB40-1</f>
        <v/>
      </c>
      <c r="AH41" s="1720">
        <f t="array" ref="AH41">AH40/AC40-1</f>
        <v/>
      </c>
      <c r="AI41" s="1720">
        <f t="array" ref="AI41">AI40/AD40-1</f>
        <v/>
      </c>
      <c r="AJ41" s="1720">
        <f t="array" ref="AJ41">AJ40/AE40-1</f>
        <v/>
      </c>
      <c r="AK41" s="1720">
        <f t="array" ref="AK41">AK40/AF40-1</f>
        <v/>
      </c>
      <c r="AL41" s="1720">
        <f t="array" ref="AL41">AL40/AG40-1</f>
        <v/>
      </c>
      <c r="AM41" s="1720">
        <f t="array" ref="AM41">AM40/AH40-1</f>
        <v/>
      </c>
      <c r="AN41" s="1720">
        <f t="array" ref="AN41">AN40/AI40-1</f>
        <v/>
      </c>
      <c r="AO41" s="1720">
        <f t="array" ref="AO41">AO40/AJ40-1</f>
        <v/>
      </c>
      <c r="AP41" s="1720">
        <f t="array" ref="AP41">AP40/AK40-1</f>
        <v/>
      </c>
      <c r="AQ41" s="1720">
        <f t="array" ref="AQ41">AQ40/AL40-1</f>
        <v/>
      </c>
      <c r="AR41" s="1720">
        <f t="array" ref="AR41">AR40/AM40-1</f>
        <v/>
      </c>
      <c r="AS41" s="1720">
        <f t="array" ref="AS41">AS40/AN40-1</f>
        <v/>
      </c>
      <c r="AT41" s="1720">
        <f t="array" ref="AT41">AT40/AO40-1</f>
        <v/>
      </c>
      <c r="AU41" s="1720">
        <f t="array" ref="AU41">AU40/AP40-1</f>
        <v/>
      </c>
      <c r="AV41" s="1720">
        <f t="array" ref="AV41">AV40/AQ40-1</f>
        <v/>
      </c>
      <c r="AW41" s="1721">
        <f t="array" ref="AW41">AW40/AR40-1</f>
        <v/>
      </c>
      <c r="AX41" s="1722">
        <f t="array" ref="AX41">AX40/AS40-1</f>
        <v/>
      </c>
      <c r="AY41" s="1722">
        <f t="array" ref="AY41">AY40/AT40-1</f>
        <v/>
      </c>
      <c r="AZ41" s="1722">
        <f t="array" ref="AZ41">AZ40/AU40-1</f>
        <v/>
      </c>
      <c r="BA41" s="1723">
        <f t="array" ref="BA41">BA40/AV40-1</f>
        <v/>
      </c>
      <c r="BB41" s="1721">
        <f t="array" ref="BB41">BB40/AW40-1</f>
        <v/>
      </c>
      <c r="BC41" s="1722">
        <f t="array" ref="BC41">BC40/AX40-1</f>
        <v/>
      </c>
      <c r="BD41" s="1724" t="n"/>
      <c r="BE41" s="1724" t="n"/>
      <c r="BF41" s="1723" t="n"/>
      <c r="BG41" s="1713" t="n"/>
      <c r="BH41" s="1713" t="n"/>
      <c r="BI41" s="1713" t="n"/>
      <c r="BJ41" s="1713" t="n"/>
      <c r="BK41" s="1720" t="n"/>
      <c r="BL41" s="1713" t="n"/>
      <c r="BM41" s="1713" t="n"/>
      <c r="BN41" s="1713" t="n"/>
      <c r="BO41" s="1713" t="n"/>
      <c r="BP41" s="1720" t="n"/>
      <c r="BQ41" s="1713" t="n"/>
      <c r="BR41" s="1713" t="n"/>
      <c r="BS41" s="1713" t="n"/>
      <c r="BT41" s="1713" t="n"/>
      <c r="BU41" s="1720" t="n"/>
      <c r="BV41" s="1713" t="n"/>
      <c r="BW41" s="1713" t="n"/>
      <c r="BX41" s="1713" t="n"/>
      <c r="BY41" s="1713" t="n"/>
      <c r="BZ41" s="1720" t="n"/>
      <c r="CA41" s="1725" t="n"/>
      <c r="CB41" s="98" t="n"/>
      <c r="CC41" s="701" t="n"/>
      <c r="CD41" s="701" t="n"/>
      <c r="CE41" s="701" t="n"/>
      <c r="CF41" s="701" t="n"/>
      <c r="CG41" s="701" t="n"/>
      <c r="CH41" s="701" t="n"/>
      <c r="CI41" s="701" t="n"/>
      <c r="CJ41" s="701" t="n"/>
      <c r="CK41" s="701" t="n"/>
      <c r="CL41" s="701" t="n"/>
      <c r="CM41" s="701" t="n"/>
      <c r="CN41" s="701" t="n"/>
      <c r="CO41" s="701" t="n"/>
      <c r="CP41" s="701" t="n"/>
      <c r="CQ41" s="701" t="n"/>
      <c r="CR41" s="701" t="n"/>
      <c r="CS41" s="701" t="n"/>
      <c r="CT41" s="701" t="n"/>
      <c r="CU41" s="701" t="n"/>
      <c r="CV41" s="701" t="n"/>
      <c r="CW41" s="30" t="n"/>
    </row>
    <row r="42" ht="12.75" customHeight="1" s="1676">
      <c r="A42" s="31" t="n"/>
      <c r="B42" s="130" t="inlineStr">
        <is>
          <t>Text_25</t>
        </is>
      </c>
      <c r="C42" s="805" t="n"/>
      <c r="D42" s="1726" t="n"/>
      <c r="E42" s="1726" t="n"/>
      <c r="F42" s="1726" t="n"/>
      <c r="G42" s="1726" t="n"/>
      <c r="H42" s="1727" t="n"/>
      <c r="I42" s="133">
        <f t="array" ref="I42">I40/I$43</f>
        <v/>
      </c>
      <c r="J42" s="133">
        <f t="array" ref="J42">J40/J$43</f>
        <v/>
      </c>
      <c r="K42" s="133">
        <f t="array" ref="K42">K40/K$43</f>
        <v/>
      </c>
      <c r="L42" s="133">
        <f t="array" ref="L42">L40/L$43</f>
        <v/>
      </c>
      <c r="M42" s="133">
        <f t="array" ref="M42">M40/M$43</f>
        <v/>
      </c>
      <c r="N42" s="133">
        <f t="array" ref="N42">N40/N$43</f>
        <v/>
      </c>
      <c r="O42" s="133">
        <f t="array" ref="O42">O40/O$43</f>
        <v/>
      </c>
      <c r="P42" s="133">
        <f t="array" ref="P42">P40/P$43</f>
        <v/>
      </c>
      <c r="Q42" s="133">
        <f t="array" ref="Q42">Q40/Q$43</f>
        <v/>
      </c>
      <c r="R42" s="133">
        <f t="array" ref="R42">R40/R$43</f>
        <v/>
      </c>
      <c r="S42" s="133">
        <f t="array" ref="S42">S40/S$43</f>
        <v/>
      </c>
      <c r="T42" s="133">
        <f t="array" ref="T42">T40/T$43</f>
        <v/>
      </c>
      <c r="U42" s="133">
        <f t="array" ref="U42">U40/U$43</f>
        <v/>
      </c>
      <c r="V42" s="133">
        <f t="array" ref="V42">V40/V$43</f>
        <v/>
      </c>
      <c r="W42" s="133">
        <f t="array" ref="W42">W40/W$43</f>
        <v/>
      </c>
      <c r="X42" s="133">
        <f t="array" ref="X42">X40/X$43</f>
        <v/>
      </c>
      <c r="Y42" s="133">
        <f t="array" ref="Y42">Y40/Y$43</f>
        <v/>
      </c>
      <c r="Z42" s="133">
        <f t="array" ref="Z42">Z40/Z$43</f>
        <v/>
      </c>
      <c r="AA42" s="133">
        <f t="array" ref="AA42">AA40/AA$43</f>
        <v/>
      </c>
      <c r="AB42" s="133">
        <f t="array" ref="AB42">AB40/AB$43</f>
        <v/>
      </c>
      <c r="AC42" s="133">
        <f t="array" ref="AC42">AC40/AC$43</f>
        <v/>
      </c>
      <c r="AD42" s="133">
        <f t="array" ref="AD42">AD40/AD$43</f>
        <v/>
      </c>
      <c r="AE42" s="133">
        <f t="array" ref="AE42">AE40/AE$43</f>
        <v/>
      </c>
      <c r="AF42" s="133">
        <f t="array" ref="AF42">AF40/AF$43</f>
        <v/>
      </c>
      <c r="AG42" s="133">
        <f t="array" ref="AG42">AG40/AG$43</f>
        <v/>
      </c>
      <c r="AH42" s="133">
        <f t="array" ref="AH42">AH40/AH$43</f>
        <v/>
      </c>
      <c r="AI42" s="133">
        <f t="array" ref="AI42">AI40/AI$43</f>
        <v/>
      </c>
      <c r="AJ42" s="133">
        <f t="array" ref="AJ42">AJ40/AJ$43</f>
        <v/>
      </c>
      <c r="AK42" s="133">
        <f t="array" ref="AK42">AK40/AK$43</f>
        <v/>
      </c>
      <c r="AL42" s="133">
        <f t="array" ref="AL42">AL40/AL$43</f>
        <v/>
      </c>
      <c r="AM42" s="133">
        <f t="array" ref="AM42">AM40/AM$43</f>
        <v/>
      </c>
      <c r="AN42" s="133">
        <f t="array" ref="AN42">AN40/AN$43</f>
        <v/>
      </c>
      <c r="AO42" s="133">
        <f t="array" ref="AO42">AO40/AO$43</f>
        <v/>
      </c>
      <c r="AP42" s="133">
        <f t="array" ref="AP42">AP40/AP$43</f>
        <v/>
      </c>
      <c r="AQ42" s="133">
        <f t="array" ref="AQ42">AQ40/AQ$43</f>
        <v/>
      </c>
      <c r="AR42" s="133">
        <f t="array" ref="AR42">AR40/AR$43</f>
        <v/>
      </c>
      <c r="AS42" s="133">
        <f t="array" ref="AS42">AS40/AS$43</f>
        <v/>
      </c>
      <c r="AT42" s="133">
        <f t="array" ref="AT42">AT40/AT$43</f>
        <v/>
      </c>
      <c r="AU42" s="133">
        <f t="array" ref="AU42">AU40/AU$43</f>
        <v/>
      </c>
      <c r="AV42" s="133">
        <f t="array" ref="AV42">AV40/AV$43</f>
        <v/>
      </c>
      <c r="AW42" s="134">
        <f t="array" ref="AW42">AW40/AW$43</f>
        <v/>
      </c>
      <c r="AX42" s="135" t="n">
        <v>0.0424596830070609</v>
      </c>
      <c r="AY42" s="135" t="n">
        <v>0.0421618700904324</v>
      </c>
      <c r="AZ42" s="135" t="n">
        <v>0.0479719408985953</v>
      </c>
      <c r="BA42" s="136">
        <f t="array" ref="BA42">BA40/$BA$43</f>
        <v/>
      </c>
      <c r="BB42" s="134" t="n">
        <v>0.0377032602713342</v>
      </c>
      <c r="BC42" s="135" t="n">
        <v>0.0284031120055097</v>
      </c>
      <c r="BD42" s="1728" t="n"/>
      <c r="BE42" s="1728" t="n"/>
      <c r="BF42" s="136" t="n"/>
      <c r="BG42" s="1726" t="n"/>
      <c r="BH42" s="1726" t="n"/>
      <c r="BI42" s="1726" t="n"/>
      <c r="BJ42" s="1726" t="n"/>
      <c r="BK42" s="133" t="n"/>
      <c r="BL42" s="1726" t="n"/>
      <c r="BM42" s="1726" t="n"/>
      <c r="BN42" s="1726" t="n"/>
      <c r="BO42" s="1726" t="n"/>
      <c r="BP42" s="133" t="n"/>
      <c r="BQ42" s="1726" t="n"/>
      <c r="BR42" s="1726" t="n"/>
      <c r="BS42" s="1726" t="n"/>
      <c r="BT42" s="1726" t="n"/>
      <c r="BU42" s="133" t="n"/>
      <c r="BV42" s="1726" t="n"/>
      <c r="BW42" s="1726" t="n"/>
      <c r="BX42" s="1726" t="n"/>
      <c r="BY42" s="1726" t="n"/>
      <c r="BZ42" s="133" t="n"/>
      <c r="CA42" s="1729" t="n"/>
      <c r="CB42" s="456" t="n"/>
      <c r="CC42" s="701" t="n"/>
      <c r="CD42" s="701" t="n"/>
      <c r="CE42" s="701" t="n"/>
      <c r="CF42" s="701" t="n"/>
      <c r="CG42" s="701" t="n"/>
      <c r="CH42" s="701" t="n"/>
      <c r="CI42" s="701" t="n"/>
      <c r="CJ42" s="701" t="n"/>
      <c r="CK42" s="701" t="n"/>
      <c r="CL42" s="701" t="n"/>
      <c r="CM42" s="701" t="n"/>
      <c r="CN42" s="701" t="n"/>
      <c r="CO42" s="701" t="n"/>
      <c r="CP42" s="701" t="n"/>
      <c r="CQ42" s="701" t="n"/>
      <c r="CR42" s="701" t="n"/>
      <c r="CS42" s="701" t="n"/>
      <c r="CT42" s="701" t="n"/>
      <c r="CU42" s="701" t="n"/>
      <c r="CV42" s="701" t="n"/>
      <c r="CW42" s="30" t="n"/>
    </row>
    <row r="43" ht="12.75" customHeight="1" s="1676">
      <c r="A43" s="31" t="n"/>
      <c r="B43" s="65" t="inlineStr">
        <is>
          <t>Text_33</t>
        </is>
      </c>
      <c r="C43" s="66" t="n"/>
      <c r="D43" s="1703" t="n"/>
      <c r="E43" s="1703" t="n"/>
      <c r="F43" s="1703" t="n"/>
      <c r="G43" s="1703" t="n"/>
      <c r="H43" s="1708" t="n"/>
      <c r="I43" s="1730">
        <f t="array" ref="I43">I40+I37+I34+I31+I28+I25+I22</f>
        <v/>
      </c>
      <c r="J43" s="1730">
        <f t="array" ref="J43">J40+J37+J34+J31+J28+J25+J22</f>
        <v/>
      </c>
      <c r="K43" s="1730">
        <f t="array" ref="K43">K40+K37+K34+K31+K28+K25+K22</f>
        <v/>
      </c>
      <c r="L43" s="1730">
        <f t="array" ref="L43">L40+L37+L34+L31+L28+L25+L22</f>
        <v/>
      </c>
      <c r="M43" s="1730">
        <f t="array" ref="M43">M40+M37+M34+M31+M28+M25+M22</f>
        <v/>
      </c>
      <c r="N43" s="1730">
        <f t="array" ref="N43">N40+N37+N34+N31+N28+N25+N22</f>
        <v/>
      </c>
      <c r="O43" s="1730">
        <f t="array" ref="O43">O40+O37+O34+O31+O28+O25+O22</f>
        <v/>
      </c>
      <c r="P43" s="1730">
        <f t="array" ref="P43">P40+P37+P34+P31+P28+P25+P22</f>
        <v/>
      </c>
      <c r="Q43" s="1730">
        <f t="array" ref="Q43">Q40+Q37+Q34+Q31+Q28+Q25+Q22</f>
        <v/>
      </c>
      <c r="R43" s="1730">
        <f t="array" ref="R43">R40+R37+R34+R31+R28+R25+R22</f>
        <v/>
      </c>
      <c r="S43" s="1730">
        <f t="array" ref="S43">S40+S37+S34+S31+S28+S25+S22</f>
        <v/>
      </c>
      <c r="T43" s="1730">
        <f t="array" ref="T43">T40+T37+T34+T31+T28+T25+T22</f>
        <v/>
      </c>
      <c r="U43" s="1730">
        <f t="array" ref="U43">U40+U37+U34+U31+U28+U25+U22</f>
        <v/>
      </c>
      <c r="V43" s="1730">
        <f t="array" ref="V43">V40+V37+V34+V31+V28+V25+V22</f>
        <v/>
      </c>
      <c r="W43" s="1730">
        <f t="array" ref="W43">W40+W37+W34+W31+W28+W25+W22</f>
        <v/>
      </c>
      <c r="X43" s="1730">
        <f t="array" ref="X43">X40+X37+X34+X31+X28+X25+X22</f>
        <v/>
      </c>
      <c r="Y43" s="1730">
        <f t="array" ref="Y43">Y40+Y37+Y34+Y31+Y28+Y25+Y22</f>
        <v/>
      </c>
      <c r="Z43" s="1730">
        <f t="array" ref="Z43">Z40+Z37+Z34+Z31+Z28+Z25+Z22</f>
        <v/>
      </c>
      <c r="AA43" s="1730">
        <f t="array" ref="AA43">AA40+AA37+AA34+AA31+AA28+AA25+AA22</f>
        <v/>
      </c>
      <c r="AB43" s="1730">
        <f t="array" ref="AB43">AB40+AB37+AB34+AB31+AB28+AB25+AB22</f>
        <v/>
      </c>
      <c r="AC43" s="1730">
        <f t="array" ref="AC43">AC40+AC37+AC34+AC31+AC28+AC25+AC22</f>
        <v/>
      </c>
      <c r="AD43" s="1730">
        <f t="array" ref="AD43">AD40+AD37+AD34+AD31+AD28+AD25+AD22</f>
        <v/>
      </c>
      <c r="AE43" s="1730">
        <f t="array" ref="AE43">AE40+AE37+AE34+AE31+AE28+AE25+AE22</f>
        <v/>
      </c>
      <c r="AF43" s="1730">
        <f t="array" ref="AF43">AF40+AF37+AF34+AF31+AF28+AF25+AF22</f>
        <v/>
      </c>
      <c r="AG43" s="1730">
        <f t="array" ref="AG43">AG40+AG37+AG34+AG31+AG28+AG25+AG22</f>
        <v/>
      </c>
      <c r="AH43" s="1730">
        <f t="array" ref="AH43">AH40+AH37+AH34+AH31+AH28+AH25+AH22</f>
        <v/>
      </c>
      <c r="AI43" s="1730">
        <f t="array" ref="AI43">AI40+AI37+AI34+AI31+AI28+AI25+AI22</f>
        <v/>
      </c>
      <c r="AJ43" s="1730">
        <f t="array" ref="AJ43">AJ40+AJ37+AJ34+AJ31+AJ28+AJ25+AJ22</f>
        <v/>
      </c>
      <c r="AK43" s="1730">
        <f t="array" ref="AK43">AK40+AK37+AK34+AK31+AK28+AK25+AK22</f>
        <v/>
      </c>
      <c r="AL43" s="1730">
        <f t="array" ref="AL43">AL40+AL37+AL34+AL31+AL28+AL25+AL22</f>
        <v/>
      </c>
      <c r="AM43" s="1730">
        <f t="array" ref="AM43">AM40+AM37+AM34+AM31+AM28+AM25+AM22</f>
        <v/>
      </c>
      <c r="AN43" s="1730">
        <f t="array" ref="AN43">AN40+AN37+AN34+AN31+AN28+AN25+AN22</f>
        <v/>
      </c>
      <c r="AO43" s="1730">
        <f t="array" ref="AO43">AO40+AO37+AO34+AO31+AO28+AO25+AO22</f>
        <v/>
      </c>
      <c r="AP43" s="1730">
        <f t="array" ref="AP43">AP40+AP37+AP34+AP31+AP28+AP25+AP22</f>
        <v/>
      </c>
      <c r="AQ43" s="1730">
        <f t="array" ref="AQ43">AQ40+AQ37+AQ34+AQ31+AQ28+AQ25+AQ22</f>
        <v/>
      </c>
      <c r="AR43" s="1730">
        <f t="array" ref="AR43">AR40+AR37+AR34+AR31+AR28+AR25+AR22</f>
        <v/>
      </c>
      <c r="AS43" s="1730">
        <f t="array" ref="AS43">AS40+AS37+AS34+AS31+AS28+AS25+AS22</f>
        <v/>
      </c>
      <c r="AT43" s="1730">
        <f t="array" ref="AT43">AT40+AT37+AT34+AT31+AT28+AT25+AT22</f>
        <v/>
      </c>
      <c r="AU43" s="1730">
        <f t="array" ref="AU43">AU40+AU37+AU34+AU31+AU28+AU25+AU22</f>
        <v/>
      </c>
      <c r="AV43" s="1730">
        <f t="array" ref="AV43">AV40+AV37+AV34+AV31+AV28+AV25+AV22</f>
        <v/>
      </c>
      <c r="AW43" s="1731">
        <f t="array" ref="AW43">AW40+AW37+AW34+AW31+AW28+AW25+AW22</f>
        <v/>
      </c>
      <c r="AX43" s="1732">
        <f t="array" ref="AX43">AX212</f>
        <v/>
      </c>
      <c r="AY43" s="1732">
        <f t="array" ref="AY43">AY212</f>
        <v/>
      </c>
      <c r="AZ43" s="1732">
        <f t="array" ref="AZ43">AZ212</f>
        <v/>
      </c>
      <c r="BA43" s="1733">
        <f t="array" ref="BA43">BA40+BA37+BA34+BA31+BA28+BA25+BA22</f>
        <v/>
      </c>
      <c r="BB43" s="1731">
        <f t="array" ref="BB43">BB212</f>
        <v/>
      </c>
      <c r="BC43" s="1732">
        <f t="array" ref="BC43">BC212</f>
        <v/>
      </c>
      <c r="BD43" s="1732">
        <f t="array" ref="BD43">BD212</f>
        <v/>
      </c>
      <c r="BE43" s="1732">
        <f t="array" ref="BE43">BE212</f>
        <v/>
      </c>
      <c r="BF43" s="1733">
        <f t="array" ref="BF43">BF212</f>
        <v/>
      </c>
      <c r="BG43" s="1730">
        <f t="array" ref="BG43">BG212</f>
        <v/>
      </c>
      <c r="BH43" s="1730">
        <f t="array" ref="BH43">BH212</f>
        <v/>
      </c>
      <c r="BI43" s="1730">
        <f t="array" ref="BI43">BI212</f>
        <v/>
      </c>
      <c r="BJ43" s="1730">
        <f t="array" ref="BJ43">BJ212</f>
        <v/>
      </c>
      <c r="BK43" s="1734">
        <f t="array" ref="BK43">BK212</f>
        <v/>
      </c>
      <c r="BL43" s="1730">
        <f t="array" ref="BL43">BL212</f>
        <v/>
      </c>
      <c r="BM43" s="1730">
        <f t="array" ref="BM43">BM212</f>
        <v/>
      </c>
      <c r="BN43" s="1730">
        <f t="array" ref="BN43">BN212</f>
        <v/>
      </c>
      <c r="BO43" s="1730">
        <f t="array" ref="BO43">BO212</f>
        <v/>
      </c>
      <c r="BP43" s="1734">
        <f t="array" ref="BP43">BP212</f>
        <v/>
      </c>
      <c r="BQ43" s="1730">
        <f t="array" ref="BQ43">BQ212</f>
        <v/>
      </c>
      <c r="BR43" s="1730">
        <f t="array" ref="BR43">BR212</f>
        <v/>
      </c>
      <c r="BS43" s="1730">
        <f t="array" ref="BS43">BS212</f>
        <v/>
      </c>
      <c r="BT43" s="1730">
        <f t="array" ref="BT43">BT212</f>
        <v/>
      </c>
      <c r="BU43" s="1734">
        <f t="array" ref="BU43">BU212</f>
        <v/>
      </c>
      <c r="BV43" s="1730">
        <f t="array" ref="BV43">BV212</f>
        <v/>
      </c>
      <c r="BW43" s="1730">
        <f t="array" ref="BW43">BW212</f>
        <v/>
      </c>
      <c r="BX43" s="1730">
        <f t="array" ref="BX43">BX212</f>
        <v/>
      </c>
      <c r="BY43" s="1730">
        <f t="array" ref="BY43">BY212</f>
        <v/>
      </c>
      <c r="BZ43" s="1734">
        <f t="array" ref="BZ43">BZ212</f>
        <v/>
      </c>
      <c r="CA43" s="1709" t="n"/>
      <c r="CB43" s="98" t="n"/>
      <c r="CC43" s="701" t="n"/>
      <c r="CD43" s="701" t="n"/>
      <c r="CE43" s="701" t="n"/>
      <c r="CF43" s="701" t="n"/>
      <c r="CG43" s="701" t="n"/>
      <c r="CH43" s="701" t="n"/>
      <c r="CI43" s="701" t="n"/>
      <c r="CJ43" s="701" t="n"/>
      <c r="CK43" s="701" t="n"/>
      <c r="CL43" s="701" t="n"/>
      <c r="CM43" s="701" t="n"/>
      <c r="CN43" s="701" t="n"/>
      <c r="CO43" s="701" t="n"/>
      <c r="CP43" s="701" t="n"/>
      <c r="CQ43" s="701" t="n"/>
      <c r="CR43" s="701" t="n"/>
      <c r="CS43" s="701" t="n"/>
      <c r="CT43" s="701" t="n"/>
      <c r="CU43" s="701" t="n"/>
      <c r="CV43" s="701" t="n"/>
      <c r="CW43" s="30" t="n"/>
    </row>
    <row r="44" ht="12.75" customHeight="1" s="1676">
      <c r="A44" s="31" t="n"/>
      <c r="B44" s="144" t="inlineStr">
        <is>
          <t>Text_24</t>
        </is>
      </c>
      <c r="C44" s="33" t="n"/>
      <c r="D44" s="1735" t="n"/>
      <c r="E44" s="1735" t="n"/>
      <c r="F44" s="1735" t="n"/>
      <c r="G44" s="1735" t="n"/>
      <c r="H44" s="1736" t="n"/>
      <c r="I44" s="1737" t="n"/>
      <c r="J44" s="1737" t="n"/>
      <c r="K44" s="1737" t="n"/>
      <c r="L44" s="1737" t="n"/>
      <c r="M44" s="1737" t="n"/>
      <c r="N44" s="1737" t="n"/>
      <c r="O44" s="1737" t="n"/>
      <c r="P44" s="1737" t="n"/>
      <c r="Q44" s="1737" t="n"/>
      <c r="R44" s="1737" t="n"/>
      <c r="S44" s="1737" t="n"/>
      <c r="T44" s="1737" t="n"/>
      <c r="U44" s="1737" t="n"/>
      <c r="V44" s="1737" t="n"/>
      <c r="W44" s="148">
        <f t="array" ref="W44">W43/R43-1</f>
        <v/>
      </c>
      <c r="X44" s="1737" t="n"/>
      <c r="Y44" s="1737" t="n"/>
      <c r="Z44" s="1737" t="n"/>
      <c r="AA44" s="1737" t="n"/>
      <c r="AB44" s="148">
        <f t="array" ref="AB44">AB43/W43-1</f>
        <v/>
      </c>
      <c r="AC44" s="1737" t="n"/>
      <c r="AD44" s="1737" t="n"/>
      <c r="AE44" s="1737" t="n"/>
      <c r="AF44" s="1737" t="n"/>
      <c r="AG44" s="148">
        <f t="array" ref="AG44">AG43/AB43-1</f>
        <v/>
      </c>
      <c r="AH44" s="1737" t="n"/>
      <c r="AI44" s="1737" t="n"/>
      <c r="AJ44" s="1737" t="n"/>
      <c r="AK44" s="1737" t="n"/>
      <c r="AL44" s="148">
        <f t="array" ref="AL44">AL43/AG43-1</f>
        <v/>
      </c>
      <c r="AM44" s="1737" t="n"/>
      <c r="AN44" s="1737" t="n"/>
      <c r="AO44" s="1737" t="n"/>
      <c r="AP44" s="1737" t="n"/>
      <c r="AQ44" s="148">
        <f t="array" ref="AQ44">AQ43/AL43-1</f>
        <v/>
      </c>
      <c r="AR44" s="1737" t="n"/>
      <c r="AS44" s="1737" t="n"/>
      <c r="AT44" s="1737" t="n"/>
      <c r="AU44" s="1737" t="n"/>
      <c r="AV44" s="148">
        <f t="array" ref="AV44">AV43/AQ43-1</f>
        <v/>
      </c>
      <c r="AW44" s="1738" t="n"/>
      <c r="AX44" s="1739" t="n"/>
      <c r="AY44" s="1739" t="n"/>
      <c r="AZ44" s="1739" t="n"/>
      <c r="BA44" s="151">
        <f t="array" ref="BA44">BA43/AV43-1</f>
        <v/>
      </c>
      <c r="BB44" s="1740" t="n"/>
      <c r="BC44" s="1741" t="n"/>
      <c r="BD44" s="1741" t="n"/>
      <c r="BE44" s="1741" t="n"/>
      <c r="BF44" s="151">
        <f t="array" ref="BF44">BF43/BA43-1</f>
        <v/>
      </c>
      <c r="BG44" s="1742" t="n"/>
      <c r="BH44" s="1742" t="n"/>
      <c r="BI44" s="1742" t="n"/>
      <c r="BJ44" s="1742" t="n"/>
      <c r="BK44" s="148">
        <f t="array" ref="BK44">BK43/BF43-1</f>
        <v/>
      </c>
      <c r="BL44" s="1742" t="n"/>
      <c r="BM44" s="1742" t="n"/>
      <c r="BN44" s="1742" t="n"/>
      <c r="BO44" s="1742" t="n"/>
      <c r="BP44" s="148">
        <f t="array" ref="BP44">BP43/BK43-1</f>
        <v/>
      </c>
      <c r="BQ44" s="1742" t="n"/>
      <c r="BR44" s="1742" t="n"/>
      <c r="BS44" s="1742" t="n"/>
      <c r="BT44" s="1742" t="n"/>
      <c r="BU44" s="148">
        <f t="array" ref="BU44">BU43/BP43-1</f>
        <v/>
      </c>
      <c r="BV44" s="1742" t="n"/>
      <c r="BW44" s="1742" t="n"/>
      <c r="BX44" s="1742" t="n"/>
      <c r="BY44" s="1742" t="n"/>
      <c r="BZ44" s="148">
        <f t="array" ref="BZ44">BZ43/BU43-1</f>
        <v/>
      </c>
      <c r="CA44" s="1743" t="n"/>
      <c r="CB44" s="98" t="n"/>
      <c r="CC44" s="701" t="n"/>
      <c r="CD44" s="701" t="n"/>
      <c r="CE44" s="701" t="n"/>
      <c r="CF44" s="701" t="n"/>
      <c r="CG44" s="701" t="n"/>
      <c r="CH44" s="701" t="n"/>
      <c r="CI44" s="701" t="n"/>
      <c r="CJ44" s="701" t="n"/>
      <c r="CK44" s="701" t="n"/>
      <c r="CL44" s="701" t="n"/>
      <c r="CM44" s="701" t="n"/>
      <c r="CN44" s="701" t="n"/>
      <c r="CO44" s="701" t="n"/>
      <c r="CP44" s="701" t="n"/>
      <c r="CQ44" s="701" t="n"/>
      <c r="CR44" s="701" t="n"/>
      <c r="CS44" s="701" t="n"/>
      <c r="CT44" s="701" t="n"/>
      <c r="CU44" s="701" t="n"/>
      <c r="CV44" s="701" t="n"/>
      <c r="CW44" s="30" t="n"/>
    </row>
    <row r="45" ht="12.75" customHeight="1" s="1676">
      <c r="A45" s="31" t="n"/>
      <c r="B45" s="156" t="inlineStr">
        <is>
          <t>Text_34</t>
        </is>
      </c>
      <c r="C45" s="699" t="n"/>
      <c r="D45" s="1713" t="n"/>
      <c r="E45" s="1713" t="n"/>
      <c r="F45" s="1713" t="n"/>
      <c r="G45" s="1713" t="n"/>
      <c r="H45" s="1714" t="n"/>
      <c r="I45" s="1744" t="n"/>
      <c r="J45" s="1744" t="n"/>
      <c r="K45" s="1744" t="n"/>
      <c r="L45" s="1744" t="n"/>
      <c r="M45" s="1744" t="n"/>
      <c r="N45" s="1744" t="n"/>
      <c r="O45" s="1744" t="n"/>
      <c r="P45" s="1744" t="n"/>
      <c r="Q45" s="1744" t="n"/>
      <c r="R45" s="1745">
        <f t="array" ref="R45">R43-R22</f>
        <v/>
      </c>
      <c r="S45" s="1744" t="n"/>
      <c r="T45" s="1744" t="n"/>
      <c r="U45" s="1744" t="n"/>
      <c r="V45" s="1744" t="n"/>
      <c r="W45" s="1745">
        <f t="array" ref="W45">W43-W22</f>
        <v/>
      </c>
      <c r="X45" s="1744" t="n"/>
      <c r="Y45" s="1744" t="n"/>
      <c r="Z45" s="1744" t="n"/>
      <c r="AA45" s="1744" t="n"/>
      <c r="AB45" s="1745">
        <f t="array" ref="AB45">AB43-AB22</f>
        <v/>
      </c>
      <c r="AC45" s="1744" t="n"/>
      <c r="AD45" s="1744" t="n"/>
      <c r="AE45" s="1744" t="n"/>
      <c r="AF45" s="1744" t="n"/>
      <c r="AG45" s="1745">
        <f t="array" ref="AG45">AG43-AG22</f>
        <v/>
      </c>
      <c r="AH45" s="1744" t="n"/>
      <c r="AI45" s="1744" t="n"/>
      <c r="AJ45" s="1744" t="n"/>
      <c r="AK45" s="1744" t="n"/>
      <c r="AL45" s="1745">
        <f t="array" ref="AL45">AL43-AL22</f>
        <v/>
      </c>
      <c r="AM45" s="1744" t="n"/>
      <c r="AN45" s="1744" t="n"/>
      <c r="AO45" s="1744" t="n"/>
      <c r="AP45" s="1744" t="n"/>
      <c r="AQ45" s="1745">
        <f t="array" ref="AQ45">AQ43-AQ22</f>
        <v/>
      </c>
      <c r="AR45" s="1744" t="n"/>
      <c r="AS45" s="1744" t="n"/>
      <c r="AT45" s="1744" t="n"/>
      <c r="AU45" s="1744" t="n"/>
      <c r="AV45" s="1745">
        <f t="array" ref="AV45">AV43-AV22</f>
        <v/>
      </c>
      <c r="AW45" s="1746" t="n"/>
      <c r="AX45" s="1747" t="n"/>
      <c r="AY45" s="1747" t="n"/>
      <c r="AZ45" s="1747" t="n"/>
      <c r="BA45" s="1748">
        <f t="array" ref="BA45">BA43-BA22</f>
        <v/>
      </c>
      <c r="BB45" s="1749" t="n"/>
      <c r="BC45" s="1750" t="n"/>
      <c r="BD45" s="1750" t="n"/>
      <c r="BE45" s="1750" t="n"/>
      <c r="BF45" s="1748">
        <f t="array" ref="BF45">BF43-BF22</f>
        <v/>
      </c>
      <c r="BG45" s="1751" t="n"/>
      <c r="BH45" s="1751" t="n"/>
      <c r="BI45" s="1751" t="n"/>
      <c r="BJ45" s="1751" t="n"/>
      <c r="BK45" s="1745">
        <f t="array" ref="BK45">BK43-BK22</f>
        <v/>
      </c>
      <c r="BL45" s="1751" t="n"/>
      <c r="BM45" s="1751" t="n"/>
      <c r="BN45" s="1751" t="n"/>
      <c r="BO45" s="1751" t="n"/>
      <c r="BP45" s="1745">
        <f t="array" ref="BP45">BP43-BP22</f>
        <v/>
      </c>
      <c r="BQ45" s="1751" t="n"/>
      <c r="BR45" s="1751" t="n"/>
      <c r="BS45" s="1751" t="n"/>
      <c r="BT45" s="1751" t="n"/>
      <c r="BU45" s="1745">
        <f t="array" ref="BU45">BU43-BU22</f>
        <v/>
      </c>
      <c r="BV45" s="1751" t="n"/>
      <c r="BW45" s="1751" t="n"/>
      <c r="BX45" s="1751" t="n"/>
      <c r="BY45" s="1751" t="n"/>
      <c r="BZ45" s="1745">
        <f t="array" ref="BZ45">BZ43-BZ22</f>
        <v/>
      </c>
      <c r="CA45" s="1725" t="n"/>
      <c r="CB45" s="98" t="n"/>
      <c r="CC45" s="701" t="n"/>
      <c r="CD45" s="701" t="n"/>
      <c r="CE45" s="701" t="n"/>
      <c r="CF45" s="701" t="n"/>
      <c r="CG45" s="701" t="n"/>
      <c r="CH45" s="701" t="n"/>
      <c r="CI45" s="701" t="n"/>
      <c r="CJ45" s="701" t="n"/>
      <c r="CK45" s="701" t="n"/>
      <c r="CL45" s="701" t="n"/>
      <c r="CM45" s="701" t="n"/>
      <c r="CN45" s="701" t="n"/>
      <c r="CO45" s="701" t="n"/>
      <c r="CP45" s="701" t="n"/>
      <c r="CQ45" s="701" t="n"/>
      <c r="CR45" s="701" t="n"/>
      <c r="CS45" s="701" t="n"/>
      <c r="CT45" s="701" t="n"/>
      <c r="CU45" s="701" t="n"/>
      <c r="CV45" s="701" t="n"/>
      <c r="CW45" s="30" t="n"/>
    </row>
    <row r="46" ht="12.75" customHeight="1" s="1676">
      <c r="A46" s="31" t="n"/>
      <c r="B46" s="156" t="inlineStr">
        <is>
          <t>Text_24</t>
        </is>
      </c>
      <c r="C46" s="699" t="n"/>
      <c r="D46" s="1713" t="n"/>
      <c r="E46" s="1713" t="n"/>
      <c r="F46" s="1713" t="n"/>
      <c r="G46" s="1713" t="n"/>
      <c r="H46" s="1714" t="n"/>
      <c r="I46" s="1744" t="n"/>
      <c r="J46" s="1744" t="n"/>
      <c r="K46" s="1744" t="n"/>
      <c r="L46" s="1744" t="n"/>
      <c r="M46" s="1744" t="n"/>
      <c r="N46" s="1744" t="n"/>
      <c r="O46" s="1744" t="n"/>
      <c r="P46" s="1744" t="n"/>
      <c r="Q46" s="1744" t="n"/>
      <c r="R46" s="1744" t="n"/>
      <c r="S46" s="1744" t="n"/>
      <c r="T46" s="1744" t="n"/>
      <c r="U46" s="1744" t="n"/>
      <c r="V46" s="1744" t="n"/>
      <c r="W46" s="165">
        <f t="array" ref="W46">W45/R45-1</f>
        <v/>
      </c>
      <c r="X46" s="1744" t="n"/>
      <c r="Y46" s="1744" t="n"/>
      <c r="Z46" s="1744" t="n"/>
      <c r="AA46" s="1744" t="n"/>
      <c r="AB46" s="165">
        <f t="array" ref="AB46">AB45/W45-1</f>
        <v/>
      </c>
      <c r="AC46" s="1744" t="n"/>
      <c r="AD46" s="1744" t="n"/>
      <c r="AE46" s="1744" t="n"/>
      <c r="AF46" s="1744" t="n"/>
      <c r="AG46" s="165">
        <f t="array" ref="AG46">AG45/AB45-1</f>
        <v/>
      </c>
      <c r="AH46" s="1744" t="n"/>
      <c r="AI46" s="1744" t="n"/>
      <c r="AJ46" s="1744" t="n"/>
      <c r="AK46" s="1744" t="n"/>
      <c r="AL46" s="165">
        <f t="array" ref="AL46">AL45/AG45-1</f>
        <v/>
      </c>
      <c r="AM46" s="1744" t="n"/>
      <c r="AN46" s="1744" t="n"/>
      <c r="AO46" s="1744" t="n"/>
      <c r="AP46" s="1744" t="n"/>
      <c r="AQ46" s="165">
        <f t="array" ref="AQ46">AQ45/AL45-1</f>
        <v/>
      </c>
      <c r="AR46" s="1744" t="n"/>
      <c r="AS46" s="1744" t="n"/>
      <c r="AT46" s="1744" t="n"/>
      <c r="AU46" s="1744" t="n"/>
      <c r="AV46" s="165">
        <f t="array" ref="AV46">AV45/AQ45-1</f>
        <v/>
      </c>
      <c r="AW46" s="1746" t="n"/>
      <c r="AX46" s="1747" t="n"/>
      <c r="AY46" s="1747" t="n"/>
      <c r="AZ46" s="1747" t="n"/>
      <c r="BA46" s="166">
        <f t="array" ref="BA46">BA45/AV45-1</f>
        <v/>
      </c>
      <c r="BB46" s="1749" t="n"/>
      <c r="BC46" s="1750" t="n"/>
      <c r="BD46" s="1750" t="n"/>
      <c r="BE46" s="1750" t="n"/>
      <c r="BF46" s="166">
        <f t="array" ref="BF46">BF45/BA45-1</f>
        <v/>
      </c>
      <c r="BG46" s="1751" t="n"/>
      <c r="BH46" s="1751" t="n"/>
      <c r="BI46" s="1751" t="n"/>
      <c r="BJ46" s="1751" t="n"/>
      <c r="BK46" s="165">
        <f t="array" ref="BK46">BK45/BF45-1</f>
        <v/>
      </c>
      <c r="BL46" s="1751" t="n"/>
      <c r="BM46" s="1751" t="n"/>
      <c r="BN46" s="1751" t="n"/>
      <c r="BO46" s="1751" t="n"/>
      <c r="BP46" s="165">
        <f t="array" ref="BP46">BP45/BK45-1</f>
        <v/>
      </c>
      <c r="BQ46" s="1751" t="n"/>
      <c r="BR46" s="1751" t="n"/>
      <c r="BS46" s="1751" t="n"/>
      <c r="BT46" s="1751" t="n"/>
      <c r="BU46" s="165">
        <f t="array" ref="BU46">BU45/BP45-1</f>
        <v/>
      </c>
      <c r="BV46" s="1751" t="n"/>
      <c r="BW46" s="1751" t="n"/>
      <c r="BX46" s="1751" t="n"/>
      <c r="BY46" s="1751" t="n"/>
      <c r="BZ46" s="165">
        <f t="array" ref="BZ46">BZ45/BU45-1</f>
        <v/>
      </c>
      <c r="CA46" s="1725" t="n"/>
      <c r="CB46" s="98" t="n"/>
      <c r="CC46" s="701" t="n"/>
      <c r="CD46" s="701" t="n"/>
      <c r="CE46" s="701" t="n"/>
      <c r="CF46" s="701" t="n"/>
      <c r="CG46" s="701" t="n"/>
      <c r="CH46" s="701" t="n"/>
      <c r="CI46" s="701" t="n"/>
      <c r="CJ46" s="701" t="n"/>
      <c r="CK46" s="701" t="n"/>
      <c r="CL46" s="701" t="n"/>
      <c r="CM46" s="701" t="n"/>
      <c r="CN46" s="701" t="n"/>
      <c r="CO46" s="701" t="n"/>
      <c r="CP46" s="701" t="n"/>
      <c r="CQ46" s="701" t="n"/>
      <c r="CR46" s="701" t="n"/>
      <c r="CS46" s="701" t="n"/>
      <c r="CT46" s="701" t="n"/>
      <c r="CU46" s="701" t="n"/>
      <c r="CV46" s="701" t="n"/>
      <c r="CW46" s="30" t="n"/>
    </row>
    <row r="47" hidden="1" ht="12.75" customHeight="1" s="1676">
      <c r="A47" s="31" t="n"/>
      <c r="B47" s="167" t="inlineStr">
        <is>
          <t>Text_35</t>
        </is>
      </c>
      <c r="C47" s="699" t="n"/>
      <c r="D47" s="1713" t="n"/>
      <c r="E47" s="1713" t="n"/>
      <c r="F47" s="1713" t="n"/>
      <c r="G47" s="1713" t="n"/>
      <c r="H47" s="1714" t="n"/>
      <c r="I47" s="1752">
        <f t="array" ref="I47">I43-I$212</f>
        <v/>
      </c>
      <c r="J47" s="1752">
        <f t="array" ref="J47">J43-J$212</f>
        <v/>
      </c>
      <c r="K47" s="1752">
        <f t="array" ref="K47">K43-K$212</f>
        <v/>
      </c>
      <c r="L47" s="1752">
        <f t="array" ref="L47">L43-L$212</f>
        <v/>
      </c>
      <c r="M47" s="1752">
        <f t="array" ref="M47">M43-M$212</f>
        <v/>
      </c>
      <c r="N47" s="1752">
        <f t="array" ref="N47">N43-N$212</f>
        <v/>
      </c>
      <c r="O47" s="1752">
        <f t="array" ref="O47">O43-O$212</f>
        <v/>
      </c>
      <c r="P47" s="1752">
        <f t="array" ref="P47">P43-P$212</f>
        <v/>
      </c>
      <c r="Q47" s="1752">
        <f t="array" ref="Q47">Q43-Q$212</f>
        <v/>
      </c>
      <c r="R47" s="1752">
        <f t="array" ref="R47">R43-R$212</f>
        <v/>
      </c>
      <c r="S47" s="1752">
        <f t="array" ref="S47">S43-S$212</f>
        <v/>
      </c>
      <c r="T47" s="1752">
        <f t="array" ref="T47">T43-T$212</f>
        <v/>
      </c>
      <c r="U47" s="1752">
        <f t="array" ref="U47">U43-U$212</f>
        <v/>
      </c>
      <c r="V47" s="1752">
        <f t="array" ref="V47">V43-V$212</f>
        <v/>
      </c>
      <c r="W47" s="1752">
        <f t="array" ref="W47">W43-W$212</f>
        <v/>
      </c>
      <c r="X47" s="1752">
        <f t="array" ref="X47">X43-X$212</f>
        <v/>
      </c>
      <c r="Y47" s="1752">
        <f t="array" ref="Y47">Y43-Y$212</f>
        <v/>
      </c>
      <c r="Z47" s="1752">
        <f t="array" ref="Z47">Z43-Z$212</f>
        <v/>
      </c>
      <c r="AA47" s="1752">
        <f t="array" ref="AA47">AA43-AA$212</f>
        <v/>
      </c>
      <c r="AB47" s="1752">
        <f t="array" ref="AB47">AB43-AB$212</f>
        <v/>
      </c>
      <c r="AC47" s="1752">
        <f t="array" ref="AC47">AC43-AC$212</f>
        <v/>
      </c>
      <c r="AD47" s="1752">
        <f t="array" ref="AD47">AD43-AD$212</f>
        <v/>
      </c>
      <c r="AE47" s="1752">
        <f t="array" ref="AE47">AE43-AE$212</f>
        <v/>
      </c>
      <c r="AF47" s="1752">
        <f t="array" ref="AF47">AF43-AF$212</f>
        <v/>
      </c>
      <c r="AG47" s="1752">
        <f t="array" ref="AG47">AG43-AG$212</f>
        <v/>
      </c>
      <c r="AH47" s="1752">
        <f t="array" ref="AH47">AH43-AH$212</f>
        <v/>
      </c>
      <c r="AI47" s="1752">
        <f t="array" ref="AI47">AI43-AI$212</f>
        <v/>
      </c>
      <c r="AJ47" s="1752">
        <f t="array" ref="AJ47">AJ43-AJ$212</f>
        <v/>
      </c>
      <c r="AK47" s="1752">
        <f t="array" ref="AK47">AK43-AK$212</f>
        <v/>
      </c>
      <c r="AL47" s="1752">
        <f t="array" ref="AL47">AL43-AL$212</f>
        <v/>
      </c>
      <c r="AM47" s="1752">
        <f t="array" ref="AM47">AM43-AM$212</f>
        <v/>
      </c>
      <c r="AN47" s="1752">
        <f t="array" ref="AN47">AN43-AN$212</f>
        <v/>
      </c>
      <c r="AO47" s="1753">
        <f t="array" ref="AO47">AO43-AO$212</f>
        <v/>
      </c>
      <c r="AP47" s="1752">
        <f t="array" ref="AP47">AP43-AP$212</f>
        <v/>
      </c>
      <c r="AQ47" s="1753">
        <f t="array" ref="AQ47">AQ43-AQ$212</f>
        <v/>
      </c>
      <c r="AR47" s="1752">
        <f t="array" ref="AR47">AR43-AR$212</f>
        <v/>
      </c>
      <c r="AS47" s="1752">
        <f t="array" ref="AS47">AS43-AS$212</f>
        <v/>
      </c>
      <c r="AT47" s="1752">
        <f t="array" ref="AT47">AT43-AT$212</f>
        <v/>
      </c>
      <c r="AU47" s="1752">
        <f t="array" ref="AU47">AU43-AU$212</f>
        <v/>
      </c>
      <c r="AV47" s="1752">
        <f t="array" ref="AV47">AV43-AV$212</f>
        <v/>
      </c>
      <c r="AW47" s="1754">
        <f t="array" ref="AW47">AW43-AW$212</f>
        <v/>
      </c>
      <c r="AX47" s="1755" t="n"/>
      <c r="AY47" s="1755" t="n"/>
      <c r="AZ47" s="1755" t="n"/>
      <c r="BA47" s="1756" t="n"/>
      <c r="BB47" s="1757" t="n"/>
      <c r="BC47" s="1724" t="n"/>
      <c r="BD47" s="1724" t="n"/>
      <c r="BE47" s="1724" t="n"/>
      <c r="BF47" s="1756" t="n"/>
      <c r="BG47" s="1713" t="n"/>
      <c r="BH47" s="1713" t="n"/>
      <c r="BI47" s="1713" t="n"/>
      <c r="BJ47" s="1713" t="n"/>
      <c r="BK47" s="1752" t="n"/>
      <c r="BL47" s="1713" t="n"/>
      <c r="BM47" s="1713" t="n"/>
      <c r="BN47" s="1713" t="n"/>
      <c r="BO47" s="1713" t="n"/>
      <c r="BP47" s="1752" t="n"/>
      <c r="BQ47" s="1713" t="n"/>
      <c r="BR47" s="1713" t="n"/>
      <c r="BS47" s="1713" t="n"/>
      <c r="BT47" s="1713" t="n"/>
      <c r="BU47" s="1752" t="n"/>
      <c r="BV47" s="1713" t="n"/>
      <c r="BW47" s="1713" t="n"/>
      <c r="BX47" s="1713" t="n"/>
      <c r="BY47" s="1713" t="n"/>
      <c r="BZ47" s="1752" t="n"/>
      <c r="CA47" s="1725" t="n"/>
      <c r="CB47" s="174" t="n"/>
      <c r="CC47" s="701" t="n"/>
      <c r="CD47" s="701" t="n"/>
      <c r="CE47" s="701" t="n"/>
      <c r="CF47" s="701" t="n"/>
      <c r="CG47" s="701" t="n"/>
      <c r="CH47" s="701" t="n"/>
      <c r="CI47" s="701" t="n"/>
      <c r="CJ47" s="701" t="n"/>
      <c r="CK47" s="701" t="n"/>
      <c r="CL47" s="701" t="n"/>
      <c r="CM47" s="701" t="n"/>
      <c r="CN47" s="701" t="n"/>
      <c r="CO47" s="701" t="n"/>
      <c r="CP47" s="701" t="n"/>
      <c r="CQ47" s="701" t="n"/>
      <c r="CR47" s="701" t="n"/>
      <c r="CS47" s="701" t="n"/>
      <c r="CT47" s="701" t="n"/>
      <c r="CU47" s="701" t="n"/>
      <c r="CV47" s="701" t="n"/>
      <c r="CW47" s="30" t="n"/>
    </row>
    <row r="48" ht="12.75" customHeight="1" s="1676">
      <c r="A48" s="74" t="n"/>
      <c r="B48" s="175" t="inlineStr">
        <is>
          <t>Text_36</t>
        </is>
      </c>
      <c r="C48" s="701" t="n"/>
      <c r="D48" s="1758" t="n"/>
      <c r="E48" s="1758" t="n"/>
      <c r="F48" s="1758" t="n"/>
      <c r="G48" s="1758" t="n"/>
      <c r="H48" s="1758" t="n"/>
      <c r="I48" s="1758" t="n"/>
      <c r="J48" s="1758" t="n"/>
      <c r="K48" s="1758" t="n"/>
      <c r="L48" s="1758" t="n"/>
      <c r="M48" s="1758" t="n"/>
      <c r="N48" s="1758" t="n"/>
      <c r="O48" s="1758" t="n"/>
      <c r="P48" s="1758" t="n"/>
      <c r="Q48" s="1758" t="n"/>
      <c r="R48" s="1758" t="n"/>
      <c r="S48" s="1758" t="n"/>
      <c r="T48" s="1758" t="n"/>
      <c r="U48" s="1758" t="n"/>
      <c r="V48" s="1758" t="n"/>
      <c r="W48" s="1758" t="n"/>
      <c r="X48" s="1758" t="n"/>
      <c r="Y48" s="1758" t="n"/>
      <c r="Z48" s="1758" t="n"/>
      <c r="AA48" s="1758" t="n"/>
      <c r="AB48" s="1758" t="n"/>
      <c r="AC48" s="1758" t="n"/>
      <c r="AD48" s="1758" t="n"/>
      <c r="AE48" s="1758" t="n"/>
      <c r="AF48" s="1758" t="n"/>
      <c r="AG48" s="1758" t="n"/>
      <c r="AH48" s="1758" t="n"/>
      <c r="AI48" s="1758" t="n"/>
      <c r="AJ48" s="1758" t="n"/>
      <c r="AK48" s="1758" t="n"/>
      <c r="AL48" s="1758" t="n"/>
      <c r="AM48" s="1758" t="n"/>
      <c r="AN48" s="1759" t="n"/>
      <c r="AO48" s="1758" t="n"/>
      <c r="AP48" s="1758" t="n"/>
      <c r="AQ48" s="1758" t="n"/>
      <c r="AR48" s="1758" t="n"/>
      <c r="AS48" s="1758" t="n"/>
      <c r="AT48" s="1758" t="n"/>
      <c r="AU48" s="1758" t="n"/>
      <c r="AV48" s="1758" t="n"/>
      <c r="AW48" s="1758" t="n"/>
      <c r="AX48" s="1758" t="n"/>
      <c r="AY48" s="1758" t="n"/>
      <c r="AZ48" s="1758" t="n"/>
      <c r="BA48" s="1758" t="n"/>
      <c r="BB48" s="1758" t="n"/>
      <c r="BC48" s="1758" t="n"/>
      <c r="BD48" s="1758" t="n"/>
      <c r="BE48" s="1758" t="n"/>
      <c r="BF48" s="178">
        <f t="array" ref="BF48">BF45/AV45-1</f>
        <v/>
      </c>
      <c r="BG48" s="1758" t="n"/>
      <c r="BH48" s="1758" t="n"/>
      <c r="BI48" s="1758" t="n"/>
      <c r="BJ48" s="1758" t="n"/>
      <c r="BK48" s="178">
        <f t="array" ref="BK48">BK45/AV45-1</f>
        <v/>
      </c>
      <c r="BL48" s="1758" t="n"/>
      <c r="BM48" s="1758" t="n"/>
      <c r="BN48" s="1758" t="n"/>
      <c r="BO48" s="1758" t="n"/>
      <c r="BP48" s="178" t="n"/>
      <c r="BQ48" s="1758" t="n"/>
      <c r="BR48" s="1758" t="n"/>
      <c r="BS48" s="1758" t="n"/>
      <c r="BT48" s="1758" t="n"/>
      <c r="BU48" s="178" t="n"/>
      <c r="BV48" s="1758" t="n"/>
      <c r="BW48" s="1758" t="n"/>
      <c r="BX48" s="1758" t="n"/>
      <c r="BY48" s="1758" t="n"/>
      <c r="BZ48" s="178" t="n"/>
      <c r="CA48" s="1758" t="n"/>
      <c r="CB48" s="179" t="n"/>
      <c r="CC48" s="701" t="n"/>
      <c r="CD48" s="701" t="n"/>
      <c r="CE48" s="701" t="n"/>
      <c r="CF48" s="701" t="n"/>
      <c r="CG48" s="701" t="n"/>
      <c r="CH48" s="701" t="n"/>
      <c r="CI48" s="701" t="n"/>
      <c r="CJ48" s="701" t="n"/>
      <c r="CK48" s="701" t="n"/>
      <c r="CL48" s="701" t="n"/>
      <c r="CM48" s="701" t="n"/>
      <c r="CN48" s="701" t="n"/>
      <c r="CO48" s="701" t="n"/>
      <c r="CP48" s="701" t="n"/>
      <c r="CQ48" s="701" t="n"/>
      <c r="CR48" s="701" t="n"/>
      <c r="CS48" s="701" t="n"/>
      <c r="CT48" s="701" t="n"/>
      <c r="CU48" s="701" t="n"/>
      <c r="CV48" s="701" t="n"/>
      <c r="CW48" s="30" t="n"/>
    </row>
    <row r="49" ht="12.75" customHeight="1" s="1676">
      <c r="A49" s="31" t="n"/>
      <c r="B49" s="180" t="inlineStr">
        <is>
          <t>Text_37</t>
        </is>
      </c>
      <c r="C49" s="699" t="n"/>
      <c r="D49" s="1760" t="n"/>
      <c r="E49" s="1760" t="n"/>
      <c r="F49" s="1760" t="n"/>
      <c r="G49" s="1760" t="n"/>
      <c r="H49" s="1760" t="n"/>
      <c r="I49" s="1760" t="n"/>
      <c r="J49" s="1760" t="n"/>
      <c r="K49" s="1760" t="n"/>
      <c r="L49" s="1760" t="n"/>
      <c r="M49" s="1760" t="n"/>
      <c r="N49" s="1760" t="n"/>
      <c r="O49" s="1760" t="n"/>
      <c r="P49" s="1760" t="n"/>
      <c r="Q49" s="1760" t="n"/>
      <c r="R49" s="1760" t="n"/>
      <c r="S49" s="1760" t="n"/>
      <c r="T49" s="1760" t="n"/>
      <c r="U49" s="1760" t="n"/>
      <c r="V49" s="1760" t="n"/>
      <c r="W49" s="1760" t="n"/>
      <c r="X49" s="1760" t="n"/>
      <c r="Y49" s="1760" t="n"/>
      <c r="Z49" s="1760" t="n"/>
      <c r="AA49" s="1760" t="n"/>
      <c r="AB49" s="1760" t="n"/>
      <c r="AC49" s="1760" t="n"/>
      <c r="AD49" s="1760" t="n"/>
      <c r="AE49" s="1760" t="n"/>
      <c r="AF49" s="1760" t="n"/>
      <c r="AG49" s="1760" t="n"/>
      <c r="AH49" s="1760" t="n"/>
      <c r="AI49" s="1760" t="n"/>
      <c r="AJ49" s="1760" t="n"/>
      <c r="AK49" s="1760" t="n"/>
      <c r="AL49" s="1760" t="n"/>
      <c r="AM49" s="1760" t="n"/>
      <c r="AN49" s="1760" t="n"/>
      <c r="AO49" s="1760" t="n"/>
      <c r="AP49" s="1760" t="n"/>
      <c r="AQ49" s="1760" t="n"/>
      <c r="AR49" s="1760" t="n"/>
      <c r="AS49" s="1760" t="n"/>
      <c r="AT49" s="1760" t="n"/>
      <c r="AU49" s="1760" t="n"/>
      <c r="AV49" s="1760" t="n"/>
      <c r="AW49" s="1760" t="n"/>
      <c r="AX49" s="1760" t="n"/>
      <c r="AY49" s="1760" t="n"/>
      <c r="AZ49" s="1760" t="n"/>
      <c r="BA49" s="1760" t="n"/>
      <c r="BB49" s="1760" t="n"/>
      <c r="BC49" s="1760" t="n"/>
      <c r="BD49" s="1760" t="n"/>
      <c r="BE49" s="1760" t="n"/>
      <c r="BF49" s="1760" t="n"/>
      <c r="BG49" s="1760" t="n"/>
      <c r="BH49" s="1760" t="n"/>
      <c r="BI49" s="1760" t="n"/>
      <c r="BJ49" s="1760" t="n"/>
      <c r="BK49" s="1760" t="n"/>
      <c r="BL49" s="1760" t="n"/>
      <c r="BM49" s="1760" t="n"/>
      <c r="BN49" s="1760" t="n"/>
      <c r="BO49" s="1760" t="n"/>
      <c r="BP49" s="1760" t="n"/>
      <c r="BQ49" s="1760" t="n"/>
      <c r="BR49" s="1760" t="n"/>
      <c r="BS49" s="1760" t="n"/>
      <c r="BT49" s="1760" t="n"/>
      <c r="BU49" s="1760" t="n"/>
      <c r="BV49" s="1760" t="n"/>
      <c r="BW49" s="1760" t="n"/>
      <c r="BX49" s="1760" t="n"/>
      <c r="BY49" s="1760" t="n"/>
      <c r="BZ49" s="1760" t="n"/>
      <c r="CA49" s="1760" t="n"/>
      <c r="CB49" s="182" t="inlineStr">
        <is>
          <t>Text_38</t>
        </is>
      </c>
      <c r="CC49" s="456" t="n"/>
      <c r="CD49" s="701" t="n"/>
      <c r="CE49" s="701" t="n"/>
      <c r="CF49" s="701" t="n"/>
      <c r="CG49" s="701" t="n"/>
      <c r="CH49" s="701" t="n"/>
      <c r="CI49" s="701" t="n"/>
      <c r="CJ49" s="701" t="n"/>
      <c r="CK49" s="701" t="n"/>
      <c r="CL49" s="701" t="n"/>
      <c r="CM49" s="701" t="n"/>
      <c r="CN49" s="701" t="n"/>
      <c r="CO49" s="701" t="n"/>
      <c r="CP49" s="701" t="n"/>
      <c r="CQ49" s="701" t="n"/>
      <c r="CR49" s="701" t="n"/>
      <c r="CS49" s="701" t="n"/>
      <c r="CT49" s="701" t="n"/>
      <c r="CU49" s="701" t="n"/>
      <c r="CV49" s="701" t="n"/>
      <c r="CW49" s="30" t="n"/>
    </row>
    <row r="50" ht="12.75" customHeight="1" s="1676">
      <c r="A50" s="31" t="n"/>
      <c r="B50" s="183" t="inlineStr">
        <is>
          <t>Text_39</t>
        </is>
      </c>
      <c r="C50" s="699" t="n"/>
      <c r="D50" s="1713" t="n"/>
      <c r="E50" s="1713" t="n"/>
      <c r="F50" s="1713" t="n"/>
      <c r="G50" s="1713" t="n"/>
      <c r="H50" s="1714" t="n"/>
      <c r="I50" s="1761" t="n">
        <v>181.579740569362</v>
      </c>
      <c r="J50" s="1761" t="n">
        <v>232.060551943287</v>
      </c>
      <c r="K50" s="1761" t="n">
        <v>344.06326162896</v>
      </c>
      <c r="L50" s="1761" t="n">
        <v>327.44956508534</v>
      </c>
      <c r="M50" s="1715">
        <f t="array" ref="M50">L50+K50+J50+I50</f>
        <v/>
      </c>
      <c r="N50" s="1761" t="n">
        <v>334.232139517346</v>
      </c>
      <c r="O50" s="1761" t="n">
        <v>488.947183463652</v>
      </c>
      <c r="P50" s="1761" t="n">
        <v>325.403602360816</v>
      </c>
      <c r="Q50" s="1761" t="n">
        <v>486.089801190905</v>
      </c>
      <c r="R50" s="1715">
        <f t="array" ref="R50">Q50+P50+O50+N50</f>
        <v/>
      </c>
      <c r="S50" s="1761" t="n">
        <v>353.990885500731</v>
      </c>
      <c r="T50" s="1761" t="n">
        <v>338.980101500785</v>
      </c>
      <c r="U50" s="1761" t="n">
        <v>528.799156437457</v>
      </c>
      <c r="V50" s="1761" t="n">
        <v>483.832450234048</v>
      </c>
      <c r="W50" s="1715">
        <f t="array" ref="W50">V50+U50+T50+S50</f>
        <v/>
      </c>
      <c r="X50" s="1761" t="n">
        <v>541.081909203477</v>
      </c>
      <c r="Y50" s="1761" t="n">
        <v>551.340106526499</v>
      </c>
      <c r="Z50" s="1761" t="n">
        <v>369.154855584184</v>
      </c>
      <c r="AA50" s="1761" t="n">
        <v>367.589398698723</v>
      </c>
      <c r="AB50" s="1715">
        <f t="array" ref="AB50">AA50+Z50+Y50+X50</f>
        <v/>
      </c>
      <c r="AC50" s="1761" t="n">
        <v>390.197166245326</v>
      </c>
      <c r="AD50" s="1761" t="n">
        <v>666.7490157977441</v>
      </c>
      <c r="AE50" s="1761" t="n">
        <v>601.785368098901</v>
      </c>
      <c r="AF50" s="1761" t="n">
        <v>586.1390078321321</v>
      </c>
      <c r="AG50" s="1715">
        <f t="array" ref="AG50">AF50+AE50+AD50+AC50</f>
        <v/>
      </c>
      <c r="AH50" s="1761" t="n">
        <v>498.321521367342</v>
      </c>
      <c r="AI50" s="1761" t="n">
        <v>651.830569975857</v>
      </c>
      <c r="AJ50" s="1761" t="n">
        <v>794.043001120368</v>
      </c>
      <c r="AK50" s="1761" t="n">
        <v>691.6769531524729</v>
      </c>
      <c r="AL50" s="1761" t="n">
        <v>3119.69387196178</v>
      </c>
      <c r="AM50" s="1761" t="n">
        <v>1015.30820945464</v>
      </c>
      <c r="AN50" s="1761" t="n">
        <v>1072.64376248881</v>
      </c>
      <c r="AO50" s="1761" t="n">
        <v>1011.29942960691</v>
      </c>
      <c r="AP50" s="1761" t="n">
        <v>1216.52733308225</v>
      </c>
      <c r="AQ50" s="1761" t="n">
        <v>3377.38643097448</v>
      </c>
      <c r="AR50" s="1761" t="n">
        <v>1280.07459473452</v>
      </c>
      <c r="AS50" s="1761" t="n">
        <v>1259.17992643025</v>
      </c>
      <c r="AT50" s="1761" t="n">
        <v>1161.32466842747</v>
      </c>
      <c r="AU50" s="1761" t="n">
        <v>881.618848391632</v>
      </c>
      <c r="AV50" s="1761" t="n">
        <v>5022.76338026401</v>
      </c>
      <c r="AW50" s="1762" t="n">
        <v>965.2374782086021</v>
      </c>
      <c r="AX50" s="1763" t="n">
        <v>938.659015711003</v>
      </c>
      <c r="AY50" s="1763" t="n">
        <v>1148.20695708089</v>
      </c>
      <c r="AZ50" s="1763" t="n">
        <v>977.885650065196</v>
      </c>
      <c r="BA50" s="1718">
        <f t="array" ref="BA50">AZ50+AY50+AX50+AW50</f>
        <v/>
      </c>
      <c r="BB50" s="1762" t="n">
        <v>1270.05614794451</v>
      </c>
      <c r="BC50" s="1763" t="n">
        <v>1844.37874180016</v>
      </c>
      <c r="BD50" s="1724" t="n"/>
      <c r="BE50" s="1724" t="n"/>
      <c r="BF50" s="1764" t="n"/>
      <c r="BG50" s="1713" t="n"/>
      <c r="BH50" s="1713" t="n"/>
      <c r="BI50" s="1713" t="n"/>
      <c r="BJ50" s="1713" t="n"/>
      <c r="BK50" s="1761" t="n"/>
      <c r="BL50" s="1713" t="n"/>
      <c r="BM50" s="1713" t="n"/>
      <c r="BN50" s="1713" t="n"/>
      <c r="BO50" s="1713" t="n"/>
      <c r="BP50" s="1761" t="n"/>
      <c r="BQ50" s="1713" t="n"/>
      <c r="BR50" s="1713" t="n"/>
      <c r="BS50" s="1713" t="n"/>
      <c r="BT50" s="1713" t="n"/>
      <c r="BU50" s="1761" t="n"/>
      <c r="BV50" s="1713" t="n"/>
      <c r="BW50" s="1713" t="n"/>
      <c r="BX50" s="1713" t="n"/>
      <c r="BY50" s="1713" t="n"/>
      <c r="BZ50" s="1761" t="n"/>
      <c r="CA50" s="1765" t="n"/>
      <c r="CB50" s="189" t="inlineStr">
        <is>
          <t>Text_40</t>
        </is>
      </c>
      <c r="CC50" s="456" t="n"/>
      <c r="CD50" s="701" t="n"/>
      <c r="CE50" s="701" t="n"/>
      <c r="CF50" s="701" t="n"/>
      <c r="CG50" s="701" t="n"/>
      <c r="CH50" s="701" t="n"/>
      <c r="CI50" s="701" t="n"/>
      <c r="CJ50" s="701" t="n"/>
      <c r="CK50" s="701" t="n"/>
      <c r="CL50" s="701" t="n"/>
      <c r="CM50" s="701" t="n"/>
      <c r="CN50" s="701" t="n"/>
      <c r="CO50" s="701" t="n"/>
      <c r="CP50" s="701" t="n"/>
      <c r="CQ50" s="701" t="n"/>
      <c r="CR50" s="701" t="n"/>
      <c r="CS50" s="701" t="n"/>
      <c r="CT50" s="701" t="n"/>
      <c r="CU50" s="701" t="n"/>
      <c r="CV50" s="701" t="n"/>
      <c r="CW50" s="30" t="n"/>
    </row>
    <row r="51" ht="12.75" customHeight="1" s="1676">
      <c r="A51" s="31" t="n"/>
      <c r="B51" s="103" t="inlineStr">
        <is>
          <t>Text_24</t>
        </is>
      </c>
      <c r="C51" s="699" t="n"/>
      <c r="D51" s="1713" t="n"/>
      <c r="E51" s="1713" t="n"/>
      <c r="F51" s="1713" t="n"/>
      <c r="G51" s="1713" t="n"/>
      <c r="H51" s="1714" t="n"/>
      <c r="I51" s="1719" t="n"/>
      <c r="J51" s="1719" t="n"/>
      <c r="K51" s="1719" t="n"/>
      <c r="L51" s="1719" t="n"/>
      <c r="M51" s="1720" t="n"/>
      <c r="N51" s="1720">
        <f t="array" ref="N51">N50/I50-1</f>
        <v/>
      </c>
      <c r="O51" s="1720">
        <f t="array" ref="O51">O50/J50-1</f>
        <v/>
      </c>
      <c r="P51" s="1720">
        <f t="array" ref="P51">P50/K50-1</f>
        <v/>
      </c>
      <c r="Q51" s="1720">
        <f t="array" ref="Q51">Q50/L50-1</f>
        <v/>
      </c>
      <c r="R51" s="1720">
        <f t="array" ref="R51">R50/M50-1</f>
        <v/>
      </c>
      <c r="S51" s="1720">
        <f t="array" ref="S51">S50/N50-1</f>
        <v/>
      </c>
      <c r="T51" s="1720">
        <f t="array" ref="T51">T50/O50-1</f>
        <v/>
      </c>
      <c r="U51" s="1720">
        <f t="array" ref="U51">U50/P50-1</f>
        <v/>
      </c>
      <c r="V51" s="1720">
        <f t="array" ref="V51">V50/Q50-1</f>
        <v/>
      </c>
      <c r="W51" s="1720">
        <f t="array" ref="W51">W50/R50-1</f>
        <v/>
      </c>
      <c r="X51" s="1720">
        <f t="array" ref="X51">X50/S50-1</f>
        <v/>
      </c>
      <c r="Y51" s="1720">
        <f t="array" ref="Y51">Y50/T50-1</f>
        <v/>
      </c>
      <c r="Z51" s="1720">
        <f t="array" ref="Z51">Z50/U50-1</f>
        <v/>
      </c>
      <c r="AA51" s="1720">
        <f t="array" ref="AA51">AA50/V50-1</f>
        <v/>
      </c>
      <c r="AB51" s="1720">
        <f t="array" ref="AB51">AB50/W50-1</f>
        <v/>
      </c>
      <c r="AC51" s="1720">
        <f t="array" ref="AC51">AC50/X50-1</f>
        <v/>
      </c>
      <c r="AD51" s="1720">
        <f t="array" ref="AD51">AD50/Y50-1</f>
        <v/>
      </c>
      <c r="AE51" s="1720">
        <f t="array" ref="AE51">AE50/Z50-1</f>
        <v/>
      </c>
      <c r="AF51" s="1720">
        <f t="array" ref="AF51">AF50/AA50-1</f>
        <v/>
      </c>
      <c r="AG51" s="1720">
        <f t="array" ref="AG51">AG50/AB50-1</f>
        <v/>
      </c>
      <c r="AH51" s="1720">
        <f t="array" ref="AH51">AH50/AC50-1</f>
        <v/>
      </c>
      <c r="AI51" s="1720">
        <f t="array" ref="AI51">AI50/AD50-1</f>
        <v/>
      </c>
      <c r="AJ51" s="1720">
        <f t="array" ref="AJ51">AJ50/AE50-1</f>
        <v/>
      </c>
      <c r="AK51" s="1720">
        <f t="array" ref="AK51">AK50/AF50-1</f>
        <v/>
      </c>
      <c r="AL51" s="1720">
        <f t="array" ref="AL51">AL50/AG50-1</f>
        <v/>
      </c>
      <c r="AM51" s="1720">
        <f t="array" ref="AM51">AM50/AH50-1</f>
        <v/>
      </c>
      <c r="AN51" s="1720">
        <f t="array" ref="AN51">AN50/AI50-1</f>
        <v/>
      </c>
      <c r="AO51" s="1720">
        <f t="array" ref="AO51">AO50/AJ50-1</f>
        <v/>
      </c>
      <c r="AP51" s="1720">
        <f t="array" ref="AP51">AP50/AK50-1</f>
        <v/>
      </c>
      <c r="AQ51" s="1720">
        <f t="array" ref="AQ51">AQ50/AL50-1</f>
        <v/>
      </c>
      <c r="AR51" s="1720">
        <f t="array" ref="AR51">AR50/AM50-1</f>
        <v/>
      </c>
      <c r="AS51" s="1720">
        <f t="array" ref="AS51">AS50/AN50-1</f>
        <v/>
      </c>
      <c r="AT51" s="1720">
        <f t="array" ref="AT51">AT50/AO50-1</f>
        <v/>
      </c>
      <c r="AU51" s="1720">
        <f t="array" ref="AU51">AU50/AP50-1</f>
        <v/>
      </c>
      <c r="AV51" s="1720">
        <f t="array" ref="AV51">AV50/AQ50-1</f>
        <v/>
      </c>
      <c r="AW51" s="1721">
        <f t="array" ref="AW51">AW50/AR50-1</f>
        <v/>
      </c>
      <c r="AX51" s="1722">
        <f t="array" ref="AX51">AX50/AS50-1</f>
        <v/>
      </c>
      <c r="AY51" s="1722">
        <f t="array" ref="AY51">AY50/AT50-1</f>
        <v/>
      </c>
      <c r="AZ51" s="1766">
        <f t="array" ref="AZ51">AZ50/AU50-1</f>
        <v/>
      </c>
      <c r="BA51" s="1723">
        <f t="array" ref="BA51">BA50/AV50-1</f>
        <v/>
      </c>
      <c r="BB51" s="1767">
        <f t="array" ref="BB51">BB50/AW50-1</f>
        <v/>
      </c>
      <c r="BC51" s="1722">
        <f t="array" ref="BC51">BC50/AX50-1</f>
        <v/>
      </c>
      <c r="BD51" s="1724" t="n"/>
      <c r="BE51" s="1724" t="n"/>
      <c r="BF51" s="1723" t="n"/>
      <c r="BG51" s="1713" t="n"/>
      <c r="BH51" s="1713" t="n"/>
      <c r="BI51" s="1713" t="n"/>
      <c r="BJ51" s="1713" t="n"/>
      <c r="BK51" s="1720" t="n"/>
      <c r="BL51" s="1713" t="n"/>
      <c r="BM51" s="1713" t="n"/>
      <c r="BN51" s="1713" t="n"/>
      <c r="BO51" s="1713" t="n"/>
      <c r="BP51" s="1720" t="n"/>
      <c r="BQ51" s="1713" t="n"/>
      <c r="BR51" s="1713" t="n"/>
      <c r="BS51" s="1713" t="n"/>
      <c r="BT51" s="1713" t="n"/>
      <c r="BU51" s="1720" t="n"/>
      <c r="BV51" s="1713" t="n"/>
      <c r="BW51" s="1713" t="n"/>
      <c r="BX51" s="1713" t="n"/>
      <c r="BY51" s="1713" t="n"/>
      <c r="BZ51" s="1720" t="n"/>
      <c r="CA51" s="1686" t="n"/>
      <c r="CB51" s="1686" t="n"/>
      <c r="CC51" s="456" t="n"/>
      <c r="CD51" s="701" t="n"/>
      <c r="CE51" s="701" t="n"/>
      <c r="CF51" s="701" t="n"/>
      <c r="CG51" s="701" t="n"/>
      <c r="CH51" s="701" t="n"/>
      <c r="CI51" s="701" t="n"/>
      <c r="CJ51" s="701" t="n"/>
      <c r="CK51" s="701" t="n"/>
      <c r="CL51" s="701" t="n"/>
      <c r="CM51" s="701" t="n"/>
      <c r="CN51" s="701" t="n"/>
      <c r="CO51" s="701" t="n"/>
      <c r="CP51" s="701" t="n"/>
      <c r="CQ51" s="701" t="n"/>
      <c r="CR51" s="701" t="n"/>
      <c r="CS51" s="701" t="n"/>
      <c r="CT51" s="701" t="n"/>
      <c r="CU51" s="701" t="n"/>
      <c r="CV51" s="701" t="n"/>
      <c r="CW51" s="30" t="n"/>
    </row>
    <row r="52" ht="12.75" customHeight="1" s="1676">
      <c r="A52" s="31" t="n"/>
      <c r="B52" s="167" t="inlineStr">
        <is>
          <t>Text_25</t>
        </is>
      </c>
      <c r="C52" s="699" t="n"/>
      <c r="D52" s="1713" t="n"/>
      <c r="E52" s="1713" t="n"/>
      <c r="F52" s="1713" t="n"/>
      <c r="G52" s="1713" t="n"/>
      <c r="H52" s="1714" t="n"/>
      <c r="I52" s="192">
        <f t="array" ref="I52">I50/I$73</f>
        <v/>
      </c>
      <c r="J52" s="192">
        <f t="array" ref="J52">J50/J$73</f>
        <v/>
      </c>
      <c r="K52" s="192">
        <f t="array" ref="K52">K50/K$73</f>
        <v/>
      </c>
      <c r="L52" s="192">
        <f t="array" ref="L52">L50/L$73</f>
        <v/>
      </c>
      <c r="M52" s="192">
        <f t="array" ref="M52">M50/M$73</f>
        <v/>
      </c>
      <c r="N52" s="192">
        <f t="array" ref="N52">N50/N$73</f>
        <v/>
      </c>
      <c r="O52" s="192">
        <f t="array" ref="O52">O50/O$73</f>
        <v/>
      </c>
      <c r="P52" s="192">
        <f t="array" ref="P52">P50/P$73</f>
        <v/>
      </c>
      <c r="Q52" s="192">
        <f t="array" ref="Q52">Q50/Q$73</f>
        <v/>
      </c>
      <c r="R52" s="192">
        <f t="array" ref="R52">R50/R$73</f>
        <v/>
      </c>
      <c r="S52" s="192">
        <f t="array" ref="S52">S50/S$73</f>
        <v/>
      </c>
      <c r="T52" s="192">
        <f t="array" ref="T52">T50/T$73</f>
        <v/>
      </c>
      <c r="U52" s="192">
        <f t="array" ref="U52">U50/U$73</f>
        <v/>
      </c>
      <c r="V52" s="192">
        <f t="array" ref="V52">V50/V$73</f>
        <v/>
      </c>
      <c r="W52" s="192">
        <f t="array" ref="W52">W50/W$73</f>
        <v/>
      </c>
      <c r="X52" s="192">
        <f t="array" ref="X52">X50/X$73</f>
        <v/>
      </c>
      <c r="Y52" s="192">
        <f t="array" ref="Y52">Y50/Y$73</f>
        <v/>
      </c>
      <c r="Z52" s="192">
        <f t="array" ref="Z52">Z50/Z$73</f>
        <v/>
      </c>
      <c r="AA52" s="192">
        <f t="array" ref="AA52">AA50/AA$73</f>
        <v/>
      </c>
      <c r="AB52" s="192">
        <f t="array" ref="AB52">AB50/AB$73</f>
        <v/>
      </c>
      <c r="AC52" s="192">
        <f t="array" ref="AC52">AC50/AC$73</f>
        <v/>
      </c>
      <c r="AD52" s="192">
        <f t="array" ref="AD52">AD50/AD$73</f>
        <v/>
      </c>
      <c r="AE52" s="192">
        <f t="array" ref="AE52">AE50/AE$73</f>
        <v/>
      </c>
      <c r="AF52" s="192">
        <f t="array" ref="AF52">AF50/AF$73</f>
        <v/>
      </c>
      <c r="AG52" s="192">
        <f t="array" ref="AG52">AG50/AG$73</f>
        <v/>
      </c>
      <c r="AH52" s="192">
        <f t="array" ref="AH52">AH50/AH$73</f>
        <v/>
      </c>
      <c r="AI52" s="192">
        <f t="array" ref="AI52">AI50/AI$73</f>
        <v/>
      </c>
      <c r="AJ52" s="192">
        <f t="array" ref="AJ52">AJ50/AJ$73</f>
        <v/>
      </c>
      <c r="AK52" s="192">
        <f t="array" ref="AK52">AK50/AK$73</f>
        <v/>
      </c>
      <c r="AL52" s="192">
        <f t="array" ref="AL52">AL50/AL$73</f>
        <v/>
      </c>
      <c r="AM52" s="192">
        <f t="array" ref="AM52">AM50/AM$73</f>
        <v/>
      </c>
      <c r="AN52" s="192">
        <f t="array" ref="AN52">AN50/AN$73</f>
        <v/>
      </c>
      <c r="AO52" s="192">
        <f t="array" ref="AO52">AO50/AO$73</f>
        <v/>
      </c>
      <c r="AP52" s="192">
        <f t="array" ref="AP52">AP50/AP$73</f>
        <v/>
      </c>
      <c r="AQ52" s="192">
        <f t="array" ref="AQ52">AQ50/AQ$73</f>
        <v/>
      </c>
      <c r="AR52" s="192">
        <f t="array" ref="AR52">AR50/AR$73</f>
        <v/>
      </c>
      <c r="AS52" s="192">
        <f t="array" ref="AS52">AS50/AS$73</f>
        <v/>
      </c>
      <c r="AT52" s="192">
        <f t="array" ref="AT52">AT50/AT$73</f>
        <v/>
      </c>
      <c r="AU52" s="192">
        <f t="array" ref="AU52">AU50/AU$73</f>
        <v/>
      </c>
      <c r="AV52" s="192">
        <f t="array" ref="AV52">AV50/AV$73</f>
        <v/>
      </c>
      <c r="AW52" s="193">
        <f t="array" ref="AW52">AW50/AW$73</f>
        <v/>
      </c>
      <c r="AX52" s="194">
        <f t="array" ref="AX52">AX50/AX$73</f>
        <v/>
      </c>
      <c r="AY52" s="194">
        <f t="array" ref="AY52">AY50/AY$73</f>
        <v/>
      </c>
      <c r="AZ52" s="194">
        <f t="array" ref="AZ52">AZ50/AZ$73</f>
        <v/>
      </c>
      <c r="BA52" s="195">
        <f t="array" ref="BA52">BA50/BA$73</f>
        <v/>
      </c>
      <c r="BB52" s="193">
        <f t="array" ref="BB52">BB50/BB$73</f>
        <v/>
      </c>
      <c r="BC52" s="194">
        <f t="array" ref="BC52">BC50/BC$73</f>
        <v/>
      </c>
      <c r="BD52" s="1724" t="n"/>
      <c r="BE52" s="1724" t="n"/>
      <c r="BF52" s="195" t="n"/>
      <c r="BG52" s="1713" t="n"/>
      <c r="BH52" s="1713" t="n"/>
      <c r="BI52" s="1713" t="n"/>
      <c r="BJ52" s="1713" t="n"/>
      <c r="BK52" s="192" t="n"/>
      <c r="BL52" s="1713" t="n"/>
      <c r="BM52" s="1713" t="n"/>
      <c r="BN52" s="1713" t="n"/>
      <c r="BO52" s="1713" t="n"/>
      <c r="BP52" s="192" t="n"/>
      <c r="BQ52" s="1713" t="n"/>
      <c r="BR52" s="1713" t="n"/>
      <c r="BS52" s="1713" t="n"/>
      <c r="BT52" s="1713" t="n"/>
      <c r="BU52" s="192" t="n"/>
      <c r="BV52" s="1713" t="n"/>
      <c r="BW52" s="1713" t="n"/>
      <c r="BX52" s="1713" t="n"/>
      <c r="BY52" s="1713" t="n"/>
      <c r="BZ52" s="192" t="n"/>
      <c r="CA52" s="1686" t="n"/>
      <c r="CB52" s="1686" t="n"/>
      <c r="CC52" s="456" t="n"/>
      <c r="CD52" s="701" t="n"/>
      <c r="CE52" s="701" t="n"/>
      <c r="CF52" s="701" t="n"/>
      <c r="CG52" s="701" t="n"/>
      <c r="CH52" s="701" t="n"/>
      <c r="CI52" s="701" t="n"/>
      <c r="CJ52" s="701" t="n"/>
      <c r="CK52" s="701" t="n"/>
      <c r="CL52" s="701" t="n"/>
      <c r="CM52" s="701" t="n"/>
      <c r="CN52" s="701" t="n"/>
      <c r="CO52" s="701" t="n"/>
      <c r="CP52" s="701" t="n"/>
      <c r="CQ52" s="701" t="n"/>
      <c r="CR52" s="701" t="n"/>
      <c r="CS52" s="701" t="n"/>
      <c r="CT52" s="701" t="n"/>
      <c r="CU52" s="701" t="n"/>
      <c r="CV52" s="701" t="n"/>
      <c r="CW52" s="30" t="n"/>
    </row>
    <row r="53" ht="12.75" customHeight="1" s="1676">
      <c r="A53" s="31" t="n"/>
      <c r="B53" s="183" t="inlineStr">
        <is>
          <t>Text_41</t>
        </is>
      </c>
      <c r="C53" s="699" t="n"/>
      <c r="D53" s="1713" t="n"/>
      <c r="E53" s="1713" t="n"/>
      <c r="F53" s="1713" t="n"/>
      <c r="G53" s="1713" t="n"/>
      <c r="H53" s="1714" t="n"/>
      <c r="I53" s="1761" t="n">
        <v>235.127557437731</v>
      </c>
      <c r="J53" s="1761" t="n">
        <v>212.021481570614</v>
      </c>
      <c r="K53" s="1761" t="n">
        <v>172.500706613155</v>
      </c>
      <c r="L53" s="1761" t="n">
        <v>234.056172363763</v>
      </c>
      <c r="M53" s="1715">
        <f t="array" ref="M53">L53+K53+J53+I53</f>
        <v/>
      </c>
      <c r="N53" s="1761" t="n">
        <v>158.373529685307</v>
      </c>
      <c r="O53" s="1761" t="n">
        <v>212.364985026137</v>
      </c>
      <c r="P53" s="1761" t="n">
        <v>293.060570139516</v>
      </c>
      <c r="Q53" s="1761" t="n">
        <v>268.684841873041</v>
      </c>
      <c r="R53" s="1715">
        <f t="array" ref="R53">Q53+P53+O53+N53</f>
        <v/>
      </c>
      <c r="S53" s="1761" t="n">
        <v>324.79944009537</v>
      </c>
      <c r="T53" s="1761" t="n">
        <v>304.883124597864</v>
      </c>
      <c r="U53" s="1761" t="n">
        <v>213.573624580701</v>
      </c>
      <c r="V53" s="1761" t="n">
        <v>298.932586503391</v>
      </c>
      <c r="W53" s="1715">
        <f t="array" ref="W53">V53+U53+T53+S53</f>
        <v/>
      </c>
      <c r="X53" s="1761" t="n">
        <v>251.949551606345</v>
      </c>
      <c r="Y53" s="1761" t="n">
        <v>296.942078810685</v>
      </c>
      <c r="Z53" s="1761" t="n">
        <v>278.628300703222</v>
      </c>
      <c r="AA53" s="1761" t="n">
        <v>392.47070542878</v>
      </c>
      <c r="AB53" s="1715">
        <f t="array" ref="AB53">AA53+Z53+Y53+X53</f>
        <v/>
      </c>
      <c r="AC53" s="1761" t="n">
        <v>360.160179922978</v>
      </c>
      <c r="AD53" s="1761" t="n">
        <v>244.732947099031</v>
      </c>
      <c r="AE53" s="1761" t="n">
        <v>256.301805173519</v>
      </c>
      <c r="AF53" s="1761" t="n">
        <v>340.218109827593</v>
      </c>
      <c r="AG53" s="1715">
        <f t="array" ref="AG53">AF53+AE53+AD53+AC53</f>
        <v/>
      </c>
      <c r="AH53" s="1761" t="n">
        <v>394.881174356458</v>
      </c>
      <c r="AI53" s="1761" t="n">
        <v>258.017864627879</v>
      </c>
      <c r="AJ53" s="1761" t="n">
        <v>333.067777827017</v>
      </c>
      <c r="AK53" s="1761" t="n">
        <v>461.795792231138</v>
      </c>
      <c r="AL53" s="1761" t="n">
        <v>1248.62414398176</v>
      </c>
      <c r="AM53" s="1761" t="n">
        <v>496.647370435103</v>
      </c>
      <c r="AN53" s="1761" t="n">
        <v>550.990917449063</v>
      </c>
      <c r="AO53" s="1761" t="n">
        <v>508.532617416186</v>
      </c>
      <c r="AP53" s="1761" t="n">
        <v>409.318690211603</v>
      </c>
      <c r="AQ53" s="1761" t="n">
        <v>2449.07432076675</v>
      </c>
      <c r="AR53" s="1761" t="n">
        <v>696.487589393466</v>
      </c>
      <c r="AS53" s="1761" t="n">
        <v>816.69759874685</v>
      </c>
      <c r="AT53" s="1761" t="n">
        <v>688.158164848509</v>
      </c>
      <c r="AU53" s="1761" t="n">
        <v>689.656167107823</v>
      </c>
      <c r="AV53" s="1761" t="n">
        <v>3333.72685970717</v>
      </c>
      <c r="AW53" s="1762" t="n">
        <v>598.033741838242</v>
      </c>
      <c r="AX53" s="1763" t="n">
        <v>408.716648711317</v>
      </c>
      <c r="AY53" s="1763" t="n">
        <v>449.202754520233</v>
      </c>
      <c r="AZ53" s="1763" t="n">
        <v>602.0854513730681</v>
      </c>
      <c r="BA53" s="1718">
        <f t="array" ref="BA53">AZ53+AY53+AX53+AW53</f>
        <v/>
      </c>
      <c r="BB53" s="1762" t="n">
        <v>590.479700839024</v>
      </c>
      <c r="BC53" s="1763" t="n">
        <v>514.904754764058</v>
      </c>
      <c r="BD53" s="1724" t="n"/>
      <c r="BE53" s="1724" t="n"/>
      <c r="BF53" s="1764" t="n"/>
      <c r="BG53" s="1713" t="n"/>
      <c r="BH53" s="1713" t="n"/>
      <c r="BI53" s="1713" t="n"/>
      <c r="BJ53" s="1713" t="n"/>
      <c r="BK53" s="1761" t="n"/>
      <c r="BL53" s="1713" t="n"/>
      <c r="BM53" s="1713" t="n"/>
      <c r="BN53" s="1713" t="n"/>
      <c r="BO53" s="1713" t="n"/>
      <c r="BP53" s="1761" t="n"/>
      <c r="BQ53" s="1713" t="n"/>
      <c r="BR53" s="1713" t="n"/>
      <c r="BS53" s="1713" t="n"/>
      <c r="BT53" s="1713" t="n"/>
      <c r="BU53" s="1761" t="n"/>
      <c r="BV53" s="1713" t="n"/>
      <c r="BW53" s="1713" t="n"/>
      <c r="BX53" s="1713" t="n"/>
      <c r="BY53" s="1713" t="n"/>
      <c r="BZ53" s="1761" t="n"/>
      <c r="CA53" s="1686" t="n"/>
      <c r="CB53" s="1686" t="n"/>
      <c r="CC53" s="456" t="n"/>
      <c r="CD53" s="701" t="n"/>
      <c r="CE53" s="701" t="n"/>
      <c r="CF53" s="701" t="n"/>
      <c r="CG53" s="701" t="n"/>
      <c r="CH53" s="701" t="n"/>
      <c r="CI53" s="701" t="n"/>
      <c r="CJ53" s="701" t="n"/>
      <c r="CK53" s="701" t="n"/>
      <c r="CL53" s="701" t="n"/>
      <c r="CM53" s="701" t="n"/>
      <c r="CN53" s="701" t="n"/>
      <c r="CO53" s="701" t="n"/>
      <c r="CP53" s="701" t="n"/>
      <c r="CQ53" s="701" t="n"/>
      <c r="CR53" s="701" t="n"/>
      <c r="CS53" s="701" t="n"/>
      <c r="CT53" s="701" t="n"/>
      <c r="CU53" s="701" t="n"/>
      <c r="CV53" s="701" t="n"/>
      <c r="CW53" s="30" t="n"/>
    </row>
    <row r="54" ht="12.75" customHeight="1" s="1676">
      <c r="A54" s="31" t="n"/>
      <c r="B54" s="103" t="inlineStr">
        <is>
          <t>Text_24</t>
        </is>
      </c>
      <c r="C54" s="699" t="n"/>
      <c r="D54" s="1713" t="n"/>
      <c r="E54" s="1713" t="n"/>
      <c r="F54" s="1713" t="n"/>
      <c r="G54" s="1713" t="n"/>
      <c r="H54" s="1714" t="n"/>
      <c r="I54" s="1719" t="n"/>
      <c r="J54" s="1719" t="n"/>
      <c r="K54" s="1719" t="n"/>
      <c r="L54" s="1719" t="n"/>
      <c r="M54" s="1720" t="n"/>
      <c r="N54" s="1720">
        <f t="array" ref="N54">N53/I53-1</f>
        <v/>
      </c>
      <c r="O54" s="1720">
        <f t="array" ref="O54">O53/J53-1</f>
        <v/>
      </c>
      <c r="P54" s="1720">
        <f t="array" ref="P54">P53/K53-1</f>
        <v/>
      </c>
      <c r="Q54" s="1720">
        <f t="array" ref="Q54">Q53/L53-1</f>
        <v/>
      </c>
      <c r="R54" s="1720">
        <f t="array" ref="R54">R53/M53-1</f>
        <v/>
      </c>
      <c r="S54" s="1720">
        <f t="array" ref="S54">S53/N53-1</f>
        <v/>
      </c>
      <c r="T54" s="1720">
        <f t="array" ref="T54">T53/O53-1</f>
        <v/>
      </c>
      <c r="U54" s="1720">
        <f t="array" ref="U54">U53/P53-1</f>
        <v/>
      </c>
      <c r="V54" s="1720">
        <f t="array" ref="V54">V53/Q53-1</f>
        <v/>
      </c>
      <c r="W54" s="1720">
        <f t="array" ref="W54">W53/R53-1</f>
        <v/>
      </c>
      <c r="X54" s="1720">
        <f t="array" ref="X54">X53/S53-1</f>
        <v/>
      </c>
      <c r="Y54" s="1720">
        <f t="array" ref="Y54">Y53/T53-1</f>
        <v/>
      </c>
      <c r="Z54" s="1720">
        <f t="array" ref="Z54">Z53/U53-1</f>
        <v/>
      </c>
      <c r="AA54" s="1720">
        <f t="array" ref="AA54">AA53/V53-1</f>
        <v/>
      </c>
      <c r="AB54" s="1720">
        <f t="array" ref="AB54">AB53/W53-1</f>
        <v/>
      </c>
      <c r="AC54" s="1720">
        <f t="array" ref="AC54">AC53/X53-1</f>
        <v/>
      </c>
      <c r="AD54" s="1720">
        <f t="array" ref="AD54">AD53/Y53-1</f>
        <v/>
      </c>
      <c r="AE54" s="1720">
        <f t="array" ref="AE54">AE53/Z53-1</f>
        <v/>
      </c>
      <c r="AF54" s="1720">
        <f t="array" ref="AF54">AF53/AA53-1</f>
        <v/>
      </c>
      <c r="AG54" s="1720">
        <f t="array" ref="AG54">AG53/AB53-1</f>
        <v/>
      </c>
      <c r="AH54" s="1720">
        <f t="array" ref="AH54">AH53/AC53-1</f>
        <v/>
      </c>
      <c r="AI54" s="1720">
        <f t="array" ref="AI54">AI53/AD53-1</f>
        <v/>
      </c>
      <c r="AJ54" s="1720">
        <f t="array" ref="AJ54">AJ53/AE53-1</f>
        <v/>
      </c>
      <c r="AK54" s="1720">
        <f t="array" ref="AK54">AK53/AF53-1</f>
        <v/>
      </c>
      <c r="AL54" s="1720">
        <f t="array" ref="AL54">AL53/AG53-1</f>
        <v/>
      </c>
      <c r="AM54" s="1720">
        <f t="array" ref="AM54">AM53/AH53-1</f>
        <v/>
      </c>
      <c r="AN54" s="1720">
        <f t="array" ref="AN54">AN53/AI53-1</f>
        <v/>
      </c>
      <c r="AO54" s="1720">
        <f t="array" ref="AO54">AO53/AJ53-1</f>
        <v/>
      </c>
      <c r="AP54" s="1720">
        <f t="array" ref="AP54">AP53/AK53-1</f>
        <v/>
      </c>
      <c r="AQ54" s="1720">
        <f t="array" ref="AQ54">AQ53/AL53-1</f>
        <v/>
      </c>
      <c r="AR54" s="1720">
        <f t="array" ref="AR54">AR53/AM53-1</f>
        <v/>
      </c>
      <c r="AS54" s="1720">
        <f t="array" ref="AS54">AS53/AN53-1</f>
        <v/>
      </c>
      <c r="AT54" s="1720">
        <f t="array" ref="AT54">AT53/AO53-1</f>
        <v/>
      </c>
      <c r="AU54" s="1720">
        <f t="array" ref="AU54">AU53/AP53-1</f>
        <v/>
      </c>
      <c r="AV54" s="1720">
        <f t="array" ref="AV54">AV53/AQ53-1</f>
        <v/>
      </c>
      <c r="AW54" s="1721">
        <f t="array" ref="AW54">AW53/AR53-1</f>
        <v/>
      </c>
      <c r="AX54" s="1722">
        <f t="array" ref="AX54">AX53/AS53-1</f>
        <v/>
      </c>
      <c r="AY54" s="1722">
        <f t="array" ref="AY54">AY53/AT53-1</f>
        <v/>
      </c>
      <c r="AZ54" s="1722">
        <f t="array" ref="AZ54">AZ53/AU53-1</f>
        <v/>
      </c>
      <c r="BA54" s="1723">
        <f t="array" ref="BA54">BA53/AV53-1</f>
        <v/>
      </c>
      <c r="BB54" s="1721">
        <f t="array" ref="BB54">BB53/AW53-1</f>
        <v/>
      </c>
      <c r="BC54" s="1722">
        <f t="array" ref="BC54">BC53/AX53-1</f>
        <v/>
      </c>
      <c r="BD54" s="1724" t="n"/>
      <c r="BE54" s="1724" t="n"/>
      <c r="BF54" s="1723" t="n"/>
      <c r="BG54" s="1713" t="n"/>
      <c r="BH54" s="1713" t="n"/>
      <c r="BI54" s="1713" t="n"/>
      <c r="BJ54" s="1713" t="n"/>
      <c r="BK54" s="1720" t="n"/>
      <c r="BL54" s="1713" t="n"/>
      <c r="BM54" s="1713" t="n"/>
      <c r="BN54" s="1713" t="n"/>
      <c r="BO54" s="1713" t="n"/>
      <c r="BP54" s="1720" t="n"/>
      <c r="BQ54" s="1713" t="n"/>
      <c r="BR54" s="1713" t="n"/>
      <c r="BS54" s="1713" t="n"/>
      <c r="BT54" s="1713" t="n"/>
      <c r="BU54" s="1720" t="n"/>
      <c r="BV54" s="1713" t="n"/>
      <c r="BW54" s="1713" t="n"/>
      <c r="BX54" s="1713" t="n"/>
      <c r="BY54" s="1713" t="n"/>
      <c r="BZ54" s="1720" t="n"/>
      <c r="CA54" s="1686" t="n"/>
      <c r="CB54" s="1686" t="n"/>
      <c r="CC54" s="456" t="n"/>
      <c r="CD54" s="701" t="n"/>
      <c r="CE54" s="701" t="n"/>
      <c r="CF54" s="701" t="n"/>
      <c r="CG54" s="701" t="n"/>
      <c r="CH54" s="701" t="n"/>
      <c r="CI54" s="701" t="n"/>
      <c r="CJ54" s="701" t="n"/>
      <c r="CK54" s="701" t="n"/>
      <c r="CL54" s="701" t="n"/>
      <c r="CM54" s="701" t="n"/>
      <c r="CN54" s="701" t="n"/>
      <c r="CO54" s="701" t="n"/>
      <c r="CP54" s="701" t="n"/>
      <c r="CQ54" s="701" t="n"/>
      <c r="CR54" s="701" t="n"/>
      <c r="CS54" s="701" t="n"/>
      <c r="CT54" s="701" t="n"/>
      <c r="CU54" s="701" t="n"/>
      <c r="CV54" s="701" t="n"/>
      <c r="CW54" s="30" t="n"/>
    </row>
    <row r="55" ht="12.75" customHeight="1" s="1676">
      <c r="A55" s="31" t="n"/>
      <c r="B55" s="196" t="inlineStr">
        <is>
          <t>Text_25</t>
        </is>
      </c>
      <c r="C55" s="805" t="n"/>
      <c r="D55" s="1726" t="n"/>
      <c r="E55" s="1726" t="n"/>
      <c r="F55" s="1726" t="n"/>
      <c r="G55" s="1726" t="n"/>
      <c r="H55" s="1727" t="n"/>
      <c r="I55" s="197">
        <f t="array" ref="I55">I53/I$73</f>
        <v/>
      </c>
      <c r="J55" s="197">
        <f t="array" ref="J55">J53/J$73</f>
        <v/>
      </c>
      <c r="K55" s="197">
        <f t="array" ref="K55">K53/K$73</f>
        <v/>
      </c>
      <c r="L55" s="197">
        <f t="array" ref="L55">L53/L$73</f>
        <v/>
      </c>
      <c r="M55" s="197">
        <f t="array" ref="M55">M53/M$73</f>
        <v/>
      </c>
      <c r="N55" s="197">
        <f t="array" ref="N55">N53/N$73</f>
        <v/>
      </c>
      <c r="O55" s="197">
        <f t="array" ref="O55">O53/O$73</f>
        <v/>
      </c>
      <c r="P55" s="197">
        <f t="array" ref="P55">P53/P$73</f>
        <v/>
      </c>
      <c r="Q55" s="197">
        <f t="array" ref="Q55">Q53/Q$73</f>
        <v/>
      </c>
      <c r="R55" s="197">
        <f t="array" ref="R55">R53/R$73</f>
        <v/>
      </c>
      <c r="S55" s="197">
        <f t="array" ref="S55">S53/S$73</f>
        <v/>
      </c>
      <c r="T55" s="197">
        <f t="array" ref="T55">T53/T$73</f>
        <v/>
      </c>
      <c r="U55" s="197">
        <f t="array" ref="U55">U53/U$73</f>
        <v/>
      </c>
      <c r="V55" s="197">
        <f t="array" ref="V55">V53/V$73</f>
        <v/>
      </c>
      <c r="W55" s="197">
        <f t="array" ref="W55">W53/W$73</f>
        <v/>
      </c>
      <c r="X55" s="197">
        <f t="array" ref="X55">X53/X$73</f>
        <v/>
      </c>
      <c r="Y55" s="197">
        <f t="array" ref="Y55">Y53/Y$73</f>
        <v/>
      </c>
      <c r="Z55" s="197">
        <f t="array" ref="Z55">Z53/Z$73</f>
        <v/>
      </c>
      <c r="AA55" s="197">
        <f t="array" ref="AA55">AA53/AA$73</f>
        <v/>
      </c>
      <c r="AB55" s="197">
        <f t="array" ref="AB55">AB53/AB$73</f>
        <v/>
      </c>
      <c r="AC55" s="197">
        <f t="array" ref="AC55">AC53/AC$73</f>
        <v/>
      </c>
      <c r="AD55" s="197">
        <f t="array" ref="AD55">AD53/AD$73</f>
        <v/>
      </c>
      <c r="AE55" s="197">
        <f t="array" ref="AE55">AE53/AE$73</f>
        <v/>
      </c>
      <c r="AF55" s="197">
        <f t="array" ref="AF55">AF53/AF$73</f>
        <v/>
      </c>
      <c r="AG55" s="197">
        <f t="array" ref="AG55">AG53/AG$73</f>
        <v/>
      </c>
      <c r="AH55" s="197">
        <f t="array" ref="AH55">AH53/AH$73</f>
        <v/>
      </c>
      <c r="AI55" s="197">
        <f t="array" ref="AI55">AI53/AI$73</f>
        <v/>
      </c>
      <c r="AJ55" s="197">
        <f t="array" ref="AJ55">AJ53/AJ$73</f>
        <v/>
      </c>
      <c r="AK55" s="197">
        <f t="array" ref="AK55">AK53/AK$73</f>
        <v/>
      </c>
      <c r="AL55" s="197">
        <f t="array" ref="AL55">AL53/AL$73</f>
        <v/>
      </c>
      <c r="AM55" s="197">
        <f t="array" ref="AM55">AM53/AM$73</f>
        <v/>
      </c>
      <c r="AN55" s="197">
        <f t="array" ref="AN55">AN53/AN$73</f>
        <v/>
      </c>
      <c r="AO55" s="197">
        <f t="array" ref="AO55">AO53/AO$73</f>
        <v/>
      </c>
      <c r="AP55" s="197">
        <f t="array" ref="AP55">AP53/AP$73</f>
        <v/>
      </c>
      <c r="AQ55" s="197">
        <f t="array" ref="AQ55">AQ53/AQ$73</f>
        <v/>
      </c>
      <c r="AR55" s="197">
        <f t="array" ref="AR55">AR53/AR$73</f>
        <v/>
      </c>
      <c r="AS55" s="197">
        <f t="array" ref="AS55">AS53/AS$73</f>
        <v/>
      </c>
      <c r="AT55" s="197">
        <f t="array" ref="AT55">AT53/AT$73</f>
        <v/>
      </c>
      <c r="AU55" s="197">
        <f t="array" ref="AU55">AU53/AU$73</f>
        <v/>
      </c>
      <c r="AV55" s="197">
        <f t="array" ref="AV55">AV53/AV$73</f>
        <v/>
      </c>
      <c r="AW55" s="198">
        <f t="array" ref="AW55">AW53/AW$73</f>
        <v/>
      </c>
      <c r="AX55" s="199">
        <f t="array" ref="AX55">AX53/AX$73</f>
        <v/>
      </c>
      <c r="AY55" s="199">
        <f t="array" ref="AY55">AY53/AY$73</f>
        <v/>
      </c>
      <c r="AZ55" s="199">
        <f t="array" ref="AZ55">AZ53/AZ$73</f>
        <v/>
      </c>
      <c r="BA55" s="200">
        <f t="array" ref="BA55">BA53/BA$73</f>
        <v/>
      </c>
      <c r="BB55" s="198">
        <f t="array" ref="BB55">BB53/BB$73</f>
        <v/>
      </c>
      <c r="BC55" s="199">
        <f t="array" ref="BC55">BC53/BC$73</f>
        <v/>
      </c>
      <c r="BD55" s="1728" t="n"/>
      <c r="BE55" s="1728" t="n"/>
      <c r="BF55" s="200" t="n"/>
      <c r="BG55" s="1726" t="n"/>
      <c r="BH55" s="1726" t="n"/>
      <c r="BI55" s="1726" t="n"/>
      <c r="BJ55" s="1726" t="n"/>
      <c r="BK55" s="197" t="n"/>
      <c r="BL55" s="1726" t="n"/>
      <c r="BM55" s="1726" t="n"/>
      <c r="BN55" s="1726" t="n"/>
      <c r="BO55" s="1726" t="n"/>
      <c r="BP55" s="197" t="n"/>
      <c r="BQ55" s="1726" t="n"/>
      <c r="BR55" s="1726" t="n"/>
      <c r="BS55" s="1726" t="n"/>
      <c r="BT55" s="1726" t="n"/>
      <c r="BU55" s="197" t="n"/>
      <c r="BV55" s="1726" t="n"/>
      <c r="BW55" s="1726" t="n"/>
      <c r="BX55" s="1726" t="n"/>
      <c r="BY55" s="1726" t="n"/>
      <c r="BZ55" s="197" t="n"/>
      <c r="CA55" s="1688" t="n"/>
      <c r="CB55" s="1688" t="n"/>
      <c r="CC55" s="456" t="n"/>
      <c r="CD55" s="701" t="n"/>
      <c r="CE55" s="701" t="n"/>
      <c r="CF55" s="701" t="n"/>
      <c r="CG55" s="701" t="n"/>
      <c r="CH55" s="701" t="n"/>
      <c r="CI55" s="701" t="n"/>
      <c r="CJ55" s="701" t="n"/>
      <c r="CK55" s="701" t="n"/>
      <c r="CL55" s="701" t="n"/>
      <c r="CM55" s="701" t="n"/>
      <c r="CN55" s="701" t="n"/>
      <c r="CO55" s="701" t="n"/>
      <c r="CP55" s="701" t="n"/>
      <c r="CQ55" s="701" t="n"/>
      <c r="CR55" s="701" t="n"/>
      <c r="CS55" s="701" t="n"/>
      <c r="CT55" s="701" t="n"/>
      <c r="CU55" s="701" t="n"/>
      <c r="CV55" s="701" t="n"/>
      <c r="CW55" s="30" t="n"/>
    </row>
    <row r="56" ht="12.75" customHeight="1" s="1676">
      <c r="A56" s="31" t="n"/>
      <c r="B56" s="201" t="inlineStr">
        <is>
          <t>Text_42</t>
        </is>
      </c>
      <c r="C56" s="33" t="n"/>
      <c r="D56" s="1735" t="n"/>
      <c r="E56" s="1735" t="n"/>
      <c r="F56" s="1735" t="n"/>
      <c r="G56" s="1735" t="n"/>
      <c r="H56" s="1736" t="n"/>
      <c r="I56" s="1768" t="n"/>
      <c r="J56" s="1768" t="n"/>
      <c r="K56" s="1768" t="n"/>
      <c r="L56" s="1768" t="n"/>
      <c r="M56" s="1768" t="n"/>
      <c r="N56" s="1768" t="n"/>
      <c r="O56" s="1768" t="n"/>
      <c r="P56" s="1768" t="n"/>
      <c r="Q56" s="1768" t="n"/>
      <c r="R56" s="1768" t="n"/>
      <c r="S56" s="1768" t="n"/>
      <c r="T56" s="1768" t="n"/>
      <c r="U56" s="1768" t="n"/>
      <c r="V56" s="1768" t="n"/>
      <c r="W56" s="1768" t="n"/>
      <c r="X56" s="1769" t="n">
        <v>0</v>
      </c>
      <c r="Y56" s="1769" t="n">
        <v>0</v>
      </c>
      <c r="Z56" s="1769" t="n">
        <v>0</v>
      </c>
      <c r="AA56" s="1769" t="n">
        <v>40.4985251832462</v>
      </c>
      <c r="AB56" s="1770">
        <f t="array" ref="AB56">AA56+Z56+Y56+X56</f>
        <v/>
      </c>
      <c r="AC56" s="1769" t="n">
        <v>56.2854626374661</v>
      </c>
      <c r="AD56" s="1769" t="n">
        <v>50.1737999266368</v>
      </c>
      <c r="AE56" s="1769" t="n">
        <v>58.4793744889988</v>
      </c>
      <c r="AF56" s="1769" t="n">
        <v>70.3018713929999</v>
      </c>
      <c r="AG56" s="1770">
        <f t="array" ref="AG56">AF56+AE56+AD56+AC56</f>
        <v/>
      </c>
      <c r="AH56" s="1769" t="n">
        <v>78.41662494263549</v>
      </c>
      <c r="AI56" s="1769" t="n">
        <v>79.0860925228442</v>
      </c>
      <c r="AJ56" s="1769" t="n">
        <v>79.5677579649925</v>
      </c>
      <c r="AK56" s="1769" t="n">
        <v>97.159259589965</v>
      </c>
      <c r="AL56" s="1770">
        <f t="array" ref="AL56">AK56+AJ56+AI56+AH56</f>
        <v/>
      </c>
      <c r="AM56" s="1769" t="n">
        <v>88.3451855582818</v>
      </c>
      <c r="AN56" s="1769" t="n">
        <v>95.9999076238382</v>
      </c>
      <c r="AO56" s="1769" t="n">
        <v>121.628603035233</v>
      </c>
      <c r="AP56" s="1769" t="n">
        <v>98.72765523026369</v>
      </c>
      <c r="AQ56" s="1770">
        <f t="array" ref="AQ56">AP56+AO56+AN56+AM56</f>
        <v/>
      </c>
      <c r="AR56" s="1769" t="n">
        <v>135.122947798492</v>
      </c>
      <c r="AS56" s="1769" t="n">
        <v>117.509821321885</v>
      </c>
      <c r="AT56" s="1769" t="n">
        <v>136.614426028551</v>
      </c>
      <c r="AU56" s="1769" t="n">
        <v>95.619883879287</v>
      </c>
      <c r="AV56" s="1770">
        <f t="array" ref="AV56">AU56+AT56+AS56+AR56</f>
        <v/>
      </c>
      <c r="AW56" s="1771" t="n">
        <v>145.713612930383</v>
      </c>
      <c r="AX56" s="1772" t="n">
        <v>137.506940334295</v>
      </c>
      <c r="AY56" s="1772" t="n">
        <v>140.070752458383</v>
      </c>
      <c r="AZ56" s="1772" t="n">
        <v>87.9289743447809</v>
      </c>
      <c r="BA56" s="1773">
        <f t="array" ref="BA56">AZ56+AY56+AX56+AW56</f>
        <v/>
      </c>
      <c r="BB56" s="1771" t="n">
        <v>115.43421365494</v>
      </c>
      <c r="BC56" s="1772" t="n">
        <v>169.844105037412</v>
      </c>
      <c r="BD56" s="1774" t="n"/>
      <c r="BE56" s="1774" t="n"/>
      <c r="BF56" s="1775" t="n"/>
      <c r="BG56" s="1735" t="n"/>
      <c r="BH56" s="1735" t="n"/>
      <c r="BI56" s="1735" t="n"/>
      <c r="BJ56" s="1735" t="n"/>
      <c r="BK56" s="1768" t="n"/>
      <c r="BL56" s="1735" t="n"/>
      <c r="BM56" s="1735" t="n"/>
      <c r="BN56" s="1735" t="n"/>
      <c r="BO56" s="1735" t="n"/>
      <c r="BP56" s="1768" t="n"/>
      <c r="BQ56" s="1735" t="n"/>
      <c r="BR56" s="1735" t="n"/>
      <c r="BS56" s="1735" t="n"/>
      <c r="BT56" s="1735" t="n"/>
      <c r="BU56" s="1768" t="n"/>
      <c r="BV56" s="1735" t="n"/>
      <c r="BW56" s="1735" t="n"/>
      <c r="BX56" s="1735" t="n"/>
      <c r="BY56" s="1735" t="n"/>
      <c r="BZ56" s="1768" t="n"/>
      <c r="CA56" s="1776" t="n"/>
      <c r="CB56" s="189" t="inlineStr">
        <is>
          <t>Text_43</t>
        </is>
      </c>
      <c r="CC56" s="456" t="n"/>
      <c r="CD56" s="701" t="n"/>
      <c r="CE56" s="701" t="n"/>
      <c r="CF56" s="701" t="n"/>
      <c r="CG56" s="701" t="n"/>
      <c r="CH56" s="701" t="n"/>
      <c r="CI56" s="701" t="n"/>
      <c r="CJ56" s="701" t="n"/>
      <c r="CK56" s="701" t="n"/>
      <c r="CL56" s="701" t="n"/>
      <c r="CM56" s="701" t="n"/>
      <c r="CN56" s="701" t="n"/>
      <c r="CO56" s="701" t="n"/>
      <c r="CP56" s="701" t="n"/>
      <c r="CQ56" s="701" t="n"/>
      <c r="CR56" s="701" t="n"/>
      <c r="CS56" s="701" t="n"/>
      <c r="CT56" s="701" t="n"/>
      <c r="CU56" s="701" t="n"/>
      <c r="CV56" s="701" t="n"/>
      <c r="CW56" s="30" t="n"/>
    </row>
    <row r="57" ht="12.75" customHeight="1" s="1676">
      <c r="A57" s="31" t="n"/>
      <c r="B57" s="103" t="inlineStr">
        <is>
          <t>Text_24</t>
        </is>
      </c>
      <c r="C57" s="699" t="n"/>
      <c r="D57" s="1713" t="n"/>
      <c r="E57" s="1713" t="n"/>
      <c r="F57" s="1713" t="n"/>
      <c r="G57" s="1713" t="n"/>
      <c r="H57" s="1714" t="n"/>
      <c r="I57" s="1719" t="n"/>
      <c r="J57" s="1719" t="n"/>
      <c r="K57" s="1719" t="n"/>
      <c r="L57" s="1719" t="n"/>
      <c r="M57" s="1720" t="n"/>
      <c r="N57" s="1720" t="n"/>
      <c r="O57" s="1720" t="n"/>
      <c r="P57" s="1720" t="n"/>
      <c r="Q57" s="1720" t="n"/>
      <c r="R57" s="1720" t="n"/>
      <c r="S57" s="1720" t="n"/>
      <c r="T57" s="1720" t="n"/>
      <c r="U57" s="1720" t="n"/>
      <c r="V57" s="1720" t="n"/>
      <c r="W57" s="1720" t="n"/>
      <c r="X57" s="1720" t="n"/>
      <c r="Y57" s="1720" t="n"/>
      <c r="Z57" s="1720" t="n"/>
      <c r="AA57" s="1720" t="n"/>
      <c r="AB57" s="1720" t="n"/>
      <c r="AC57" s="1720" t="n"/>
      <c r="AD57" s="1720" t="n"/>
      <c r="AE57" s="1720">
        <f t="array" ref="AE57">AE56/Z56-1</f>
        <v/>
      </c>
      <c r="AF57" s="1720">
        <f t="array" ref="AF57">AF56/AA56-1</f>
        <v/>
      </c>
      <c r="AG57" s="1720">
        <f t="array" ref="AG57">AG56/AB56-1</f>
        <v/>
      </c>
      <c r="AH57" s="1720">
        <f t="array" ref="AH57">AH56/AC56-1</f>
        <v/>
      </c>
      <c r="AI57" s="1720">
        <f t="array" ref="AI57">AI56/AD56-1</f>
        <v/>
      </c>
      <c r="AJ57" s="1720">
        <f t="array" ref="AJ57">AJ56/AE56-1</f>
        <v/>
      </c>
      <c r="AK57" s="1720">
        <f t="array" ref="AK57">AK56/AF56-1</f>
        <v/>
      </c>
      <c r="AL57" s="1720">
        <f t="array" ref="AL57">AL56/AG56-1</f>
        <v/>
      </c>
      <c r="AM57" s="1720">
        <f t="array" ref="AM57">AM56/AH56-1</f>
        <v/>
      </c>
      <c r="AN57" s="1720">
        <f t="array" ref="AN57">AN56/AI56-1</f>
        <v/>
      </c>
      <c r="AO57" s="1720">
        <f t="array" ref="AO57">AO56/AJ56-1</f>
        <v/>
      </c>
      <c r="AP57" s="1720">
        <f t="array" ref="AP57">AP56/AK56-1</f>
        <v/>
      </c>
      <c r="AQ57" s="1720">
        <f t="array" ref="AQ57">AQ56/AL56-1</f>
        <v/>
      </c>
      <c r="AR57" s="1720">
        <f t="array" ref="AR57">AR56/AM56-1</f>
        <v/>
      </c>
      <c r="AS57" s="1720">
        <f t="array" ref="AS57">AS56/AN56-1</f>
        <v/>
      </c>
      <c r="AT57" s="1720">
        <f t="array" ref="AT57">AT56/AO56-1</f>
        <v/>
      </c>
      <c r="AU57" s="1720">
        <f t="array" ref="AU57">AU56/AP56-1</f>
        <v/>
      </c>
      <c r="AV57" s="1720">
        <f t="array" ref="AV57">AV56/AQ56-1</f>
        <v/>
      </c>
      <c r="AW57" s="1721">
        <f t="array" ref="AW57">AW56/AR56-1</f>
        <v/>
      </c>
      <c r="AX57" s="1722">
        <f t="array" ref="AX57">AX56/AS56-1</f>
        <v/>
      </c>
      <c r="AY57" s="1722">
        <f t="array" ref="AY57">AY56/AT56-1</f>
        <v/>
      </c>
      <c r="AZ57" s="1722">
        <f t="array" ref="AZ57">AZ56/AU56-1</f>
        <v/>
      </c>
      <c r="BA57" s="1723">
        <f t="array" ref="BA57">BA56/AV56-1</f>
        <v/>
      </c>
      <c r="BB57" s="1721">
        <f t="array" ref="BB57">BB56/AW56-1</f>
        <v/>
      </c>
      <c r="BC57" s="1722">
        <f t="array" ref="BC57">BC56/AX56-1</f>
        <v/>
      </c>
      <c r="BD57" s="1724" t="n"/>
      <c r="BE57" s="1724" t="n"/>
      <c r="BF57" s="1723" t="n"/>
      <c r="BG57" s="1713" t="n"/>
      <c r="BH57" s="1713" t="n"/>
      <c r="BI57" s="1713" t="n"/>
      <c r="BJ57" s="1713" t="n"/>
      <c r="BK57" s="1720" t="n"/>
      <c r="BL57" s="1713" t="n"/>
      <c r="BM57" s="1713" t="n"/>
      <c r="BN57" s="1713" t="n"/>
      <c r="BO57" s="1713" t="n"/>
      <c r="BP57" s="1720" t="n"/>
      <c r="BQ57" s="1713" t="n"/>
      <c r="BR57" s="1713" t="n"/>
      <c r="BS57" s="1713" t="n"/>
      <c r="BT57" s="1713" t="n"/>
      <c r="BU57" s="1720" t="n"/>
      <c r="BV57" s="1713" t="n"/>
      <c r="BW57" s="1713" t="n"/>
      <c r="BX57" s="1713" t="n"/>
      <c r="BY57" s="1713" t="n"/>
      <c r="BZ57" s="1720" t="n"/>
      <c r="CA57" s="1777" t="n"/>
      <c r="CB57" s="1686" t="n"/>
      <c r="CC57" s="456" t="n"/>
      <c r="CD57" s="701" t="n"/>
      <c r="CE57" s="701" t="n"/>
      <c r="CF57" s="701" t="n"/>
      <c r="CG57" s="701" t="n"/>
      <c r="CH57" s="701" t="n"/>
      <c r="CI57" s="701" t="n"/>
      <c r="CJ57" s="701" t="n"/>
      <c r="CK57" s="701" t="n"/>
      <c r="CL57" s="701" t="n"/>
      <c r="CM57" s="701" t="n"/>
      <c r="CN57" s="701" t="n"/>
      <c r="CO57" s="701" t="n"/>
      <c r="CP57" s="701" t="n"/>
      <c r="CQ57" s="701" t="n"/>
      <c r="CR57" s="701" t="n"/>
      <c r="CS57" s="701" t="n"/>
      <c r="CT57" s="701" t="n"/>
      <c r="CU57" s="701" t="n"/>
      <c r="CV57" s="701" t="n"/>
      <c r="CW57" s="30" t="n"/>
    </row>
    <row r="58" ht="12.75" customHeight="1" s="1676">
      <c r="A58" s="31" t="n"/>
      <c r="B58" s="167" t="inlineStr">
        <is>
          <t>Text_25</t>
        </is>
      </c>
      <c r="C58" s="699" t="n"/>
      <c r="D58" s="1713" t="n"/>
      <c r="E58" s="1713" t="n"/>
      <c r="F58" s="1713" t="n"/>
      <c r="G58" s="1713" t="n"/>
      <c r="H58" s="1714" t="n"/>
      <c r="I58" s="192">
        <f t="array" ref="I58">I56/I$73</f>
        <v/>
      </c>
      <c r="J58" s="192">
        <f t="array" ref="J58">J56/J$73</f>
        <v/>
      </c>
      <c r="K58" s="192">
        <f t="array" ref="K58">K56/K$73</f>
        <v/>
      </c>
      <c r="L58" s="192">
        <f t="array" ref="L58">L56/L$73</f>
        <v/>
      </c>
      <c r="M58" s="192">
        <f t="array" ref="M58">M56/M$73</f>
        <v/>
      </c>
      <c r="N58" s="192">
        <f t="array" ref="N58">N56/N$73</f>
        <v/>
      </c>
      <c r="O58" s="192">
        <f t="array" ref="O58">O56/O$73</f>
        <v/>
      </c>
      <c r="P58" s="192">
        <f t="array" ref="P58">P56/P$73</f>
        <v/>
      </c>
      <c r="Q58" s="192">
        <f t="array" ref="Q58">Q56/Q$73</f>
        <v/>
      </c>
      <c r="R58" s="192">
        <f t="array" ref="R58">R56/R$73</f>
        <v/>
      </c>
      <c r="S58" s="192">
        <f t="array" ref="S58">S56/S$73</f>
        <v/>
      </c>
      <c r="T58" s="192">
        <f t="array" ref="T58">T56/T$73</f>
        <v/>
      </c>
      <c r="U58" s="192">
        <f t="array" ref="U58">U56/U$73</f>
        <v/>
      </c>
      <c r="V58" s="192">
        <f t="array" ref="V58">V56/V$73</f>
        <v/>
      </c>
      <c r="W58" s="192">
        <f t="array" ref="W58">W56/W$73</f>
        <v/>
      </c>
      <c r="X58" s="192">
        <f t="array" ref="X58">X56/X$73</f>
        <v/>
      </c>
      <c r="Y58" s="192">
        <f t="array" ref="Y58">Y56/Y$73</f>
        <v/>
      </c>
      <c r="Z58" s="192">
        <f t="array" ref="Z58">Z56/Z$73</f>
        <v/>
      </c>
      <c r="AA58" s="192">
        <f t="array" ref="AA58">AA56/AA$73</f>
        <v/>
      </c>
      <c r="AB58" s="192">
        <f t="array" ref="AB58">AB56/AB$73</f>
        <v/>
      </c>
      <c r="AC58" s="192">
        <f t="array" ref="AC58">AC56/AC$73</f>
        <v/>
      </c>
      <c r="AD58" s="192">
        <f t="array" ref="AD58">AD56/AD$73</f>
        <v/>
      </c>
      <c r="AE58" s="192">
        <f t="array" ref="AE58">AE56/AE$73</f>
        <v/>
      </c>
      <c r="AF58" s="192">
        <f t="array" ref="AF58">AF56/AF$73</f>
        <v/>
      </c>
      <c r="AG58" s="192">
        <f t="array" ref="AG58">AG56/AG$73</f>
        <v/>
      </c>
      <c r="AH58" s="192">
        <f t="array" ref="AH58">AH56/AH$73</f>
        <v/>
      </c>
      <c r="AI58" s="192">
        <f t="array" ref="AI58">AI56/AI$73</f>
        <v/>
      </c>
      <c r="AJ58" s="192">
        <f t="array" ref="AJ58">AJ56/AJ$73</f>
        <v/>
      </c>
      <c r="AK58" s="192">
        <f t="array" ref="AK58">AK56/AK$73</f>
        <v/>
      </c>
      <c r="AL58" s="192">
        <f t="array" ref="AL58">AL56/AL$73</f>
        <v/>
      </c>
      <c r="AM58" s="192">
        <f t="array" ref="AM58">AM56/AM$73</f>
        <v/>
      </c>
      <c r="AN58" s="192">
        <f t="array" ref="AN58">AN56/AN$73</f>
        <v/>
      </c>
      <c r="AO58" s="192">
        <f t="array" ref="AO58">AO56/AO$73</f>
        <v/>
      </c>
      <c r="AP58" s="192">
        <f t="array" ref="AP58">AP56/AP$73</f>
        <v/>
      </c>
      <c r="AQ58" s="192">
        <f t="array" ref="AQ58">AQ56/AQ$73</f>
        <v/>
      </c>
      <c r="AR58" s="192">
        <f t="array" ref="AR58">AR56/AR$73</f>
        <v/>
      </c>
      <c r="AS58" s="192">
        <f t="array" ref="AS58">AS56/AS$73</f>
        <v/>
      </c>
      <c r="AT58" s="192">
        <f t="array" ref="AT58">AT56/AT$73</f>
        <v/>
      </c>
      <c r="AU58" s="192">
        <f t="array" ref="AU58">AU56/AU$73</f>
        <v/>
      </c>
      <c r="AV58" s="192">
        <f t="array" ref="AV58">AV56/AV$73</f>
        <v/>
      </c>
      <c r="AW58" s="193">
        <f t="array" ref="AW58">AW56/AW$73</f>
        <v/>
      </c>
      <c r="AX58" s="194">
        <f t="array" ref="AX58">AX56/AX$73</f>
        <v/>
      </c>
      <c r="AY58" s="194">
        <f t="array" ref="AY58">AY56/AY$73</f>
        <v/>
      </c>
      <c r="AZ58" s="194">
        <f t="array" ref="AZ58">AZ56/AZ$73</f>
        <v/>
      </c>
      <c r="BA58" s="195">
        <f t="array" ref="BA58">BA56/BA$73</f>
        <v/>
      </c>
      <c r="BB58" s="193">
        <f t="array" ref="BB58">BB56/BB$73</f>
        <v/>
      </c>
      <c r="BC58" s="194">
        <f t="array" ref="BC58">BC56/BC$73</f>
        <v/>
      </c>
      <c r="BD58" s="1724" t="n"/>
      <c r="BE58" s="1724" t="n"/>
      <c r="BF58" s="195" t="n"/>
      <c r="BG58" s="1713" t="n"/>
      <c r="BH58" s="1713" t="n"/>
      <c r="BI58" s="1713" t="n"/>
      <c r="BJ58" s="1713" t="n"/>
      <c r="BK58" s="192" t="n"/>
      <c r="BL58" s="1713" t="n"/>
      <c r="BM58" s="1713" t="n"/>
      <c r="BN58" s="1713" t="n"/>
      <c r="BO58" s="1713" t="n"/>
      <c r="BP58" s="192" t="n"/>
      <c r="BQ58" s="1713" t="n"/>
      <c r="BR58" s="1713" t="n"/>
      <c r="BS58" s="1713" t="n"/>
      <c r="BT58" s="1713" t="n"/>
      <c r="BU58" s="192" t="n"/>
      <c r="BV58" s="1713" t="n"/>
      <c r="BW58" s="1713" t="n"/>
      <c r="BX58" s="1713" t="n"/>
      <c r="BY58" s="1713" t="n"/>
      <c r="BZ58" s="192" t="n"/>
      <c r="CA58" s="1777" t="n"/>
      <c r="CB58" s="1686" t="n"/>
      <c r="CC58" s="456" t="n"/>
      <c r="CD58" s="701" t="n"/>
      <c r="CE58" s="701" t="n"/>
      <c r="CF58" s="701" t="n"/>
      <c r="CG58" s="701" t="n"/>
      <c r="CH58" s="701" t="n"/>
      <c r="CI58" s="701" t="n"/>
      <c r="CJ58" s="701" t="n"/>
      <c r="CK58" s="701" t="n"/>
      <c r="CL58" s="701" t="n"/>
      <c r="CM58" s="701" t="n"/>
      <c r="CN58" s="701" t="n"/>
      <c r="CO58" s="701" t="n"/>
      <c r="CP58" s="701" t="n"/>
      <c r="CQ58" s="701" t="n"/>
      <c r="CR58" s="701" t="n"/>
      <c r="CS58" s="701" t="n"/>
      <c r="CT58" s="701" t="n"/>
      <c r="CU58" s="701" t="n"/>
      <c r="CV58" s="701" t="n"/>
      <c r="CW58" s="30" t="n"/>
    </row>
    <row r="59" ht="12.75" customHeight="1" s="1676">
      <c r="A59" s="31" t="n"/>
      <c r="B59" s="183" t="inlineStr">
        <is>
          <t>Text_44</t>
        </is>
      </c>
      <c r="C59" s="699" t="n"/>
      <c r="D59" s="1713" t="n"/>
      <c r="E59" s="1713" t="n"/>
      <c r="F59" s="1713" t="n"/>
      <c r="G59" s="1713" t="n"/>
      <c r="H59" s="1714" t="n"/>
      <c r="I59" s="1761" t="n"/>
      <c r="J59" s="1761" t="n"/>
      <c r="K59" s="1761" t="n"/>
      <c r="L59" s="1761" t="n"/>
      <c r="M59" s="1761" t="n"/>
      <c r="N59" s="1761" t="n"/>
      <c r="O59" s="1761" t="n"/>
      <c r="P59" s="1761" t="n"/>
      <c r="Q59" s="1761" t="n"/>
      <c r="R59" s="1761" t="n"/>
      <c r="S59" s="1761" t="n"/>
      <c r="T59" s="1761" t="n"/>
      <c r="U59" s="1761" t="n"/>
      <c r="V59" s="1761" t="n"/>
      <c r="W59" s="1761" t="n"/>
      <c r="X59" s="1761" t="n"/>
      <c r="Y59" s="1761" t="n"/>
      <c r="Z59" s="1761" t="n">
        <v>166.117381109051</v>
      </c>
      <c r="AA59" s="1761" t="n">
        <v>132.35709100727</v>
      </c>
      <c r="AB59" s="1715">
        <f t="array" ref="AB59">AA59+Z59+Y59+X59</f>
        <v/>
      </c>
      <c r="AC59" s="1761" t="n">
        <v>129.395937071262</v>
      </c>
      <c r="AD59" s="1761" t="n">
        <v>126.654318942017</v>
      </c>
      <c r="AE59" s="1761" t="n">
        <v>109.306416131497</v>
      </c>
      <c r="AF59" s="1761" t="n">
        <v>148.856504366771</v>
      </c>
      <c r="AG59" s="1715">
        <f t="array" ref="AG59">AF59+AE59+AD59+AC59</f>
        <v/>
      </c>
      <c r="AH59" s="1761" t="n">
        <v>140.416047707764</v>
      </c>
      <c r="AI59" s="1761" t="n">
        <v>94.90871204784369</v>
      </c>
      <c r="AJ59" s="1761" t="n">
        <v>129.558709168839</v>
      </c>
      <c r="AK59" s="1761" t="n">
        <v>217.150285228035</v>
      </c>
      <c r="AL59" s="1715">
        <f t="array" ref="AL59">AK59+AJ59+AI59+AH59</f>
        <v/>
      </c>
      <c r="AM59" s="1761" t="n">
        <v>159.542560870779</v>
      </c>
      <c r="AN59" s="1761" t="n">
        <v>119.836049535943</v>
      </c>
      <c r="AO59" s="1761" t="n">
        <v>128.910523811836</v>
      </c>
      <c r="AP59" s="1761" t="n">
        <v>163.060492701449</v>
      </c>
      <c r="AQ59" s="1715">
        <f t="array" ref="AQ59">AP59+AO59+AN59+AM59</f>
        <v/>
      </c>
      <c r="AR59" s="1761" t="n">
        <v>117.283294161194</v>
      </c>
      <c r="AS59" s="1761" t="n">
        <v>107.417250455383</v>
      </c>
      <c r="AT59" s="1761" t="n">
        <v>64.9525214935191</v>
      </c>
      <c r="AU59" s="1761" t="n">
        <v>67.17505890812269</v>
      </c>
      <c r="AV59" s="1715">
        <f t="array" ref="AV59">AU59+AT59+AS59+AR59</f>
        <v/>
      </c>
      <c r="AW59" s="1762" t="n">
        <v>59.0076636898056</v>
      </c>
      <c r="AX59" s="1763" t="n">
        <v>91.6113600761179</v>
      </c>
      <c r="AY59" s="1763" t="n">
        <v>81.2249322498452</v>
      </c>
      <c r="AZ59" s="1763" t="n">
        <v>79.8655867349844</v>
      </c>
      <c r="BA59" s="1718">
        <f t="array" ref="BA59">AZ59+AY59+AX59+AW59</f>
        <v/>
      </c>
      <c r="BB59" s="1762" t="n">
        <v>74.0540138972483</v>
      </c>
      <c r="BC59" s="1763" t="n">
        <v>85.91442732585141</v>
      </c>
      <c r="BD59" s="1724" t="n"/>
      <c r="BE59" s="1724" t="n"/>
      <c r="BF59" s="1764" t="n"/>
      <c r="BG59" s="1713" t="n"/>
      <c r="BH59" s="1713" t="n"/>
      <c r="BI59" s="1713" t="n"/>
      <c r="BJ59" s="1713" t="n"/>
      <c r="BK59" s="1761" t="n"/>
      <c r="BL59" s="1713" t="n"/>
      <c r="BM59" s="1713" t="n"/>
      <c r="BN59" s="1713" t="n"/>
      <c r="BO59" s="1713" t="n"/>
      <c r="BP59" s="1761" t="n"/>
      <c r="BQ59" s="1713" t="n"/>
      <c r="BR59" s="1713" t="n"/>
      <c r="BS59" s="1713" t="n"/>
      <c r="BT59" s="1713" t="n"/>
      <c r="BU59" s="1761" t="n"/>
      <c r="BV59" s="1713" t="n"/>
      <c r="BW59" s="1713" t="n"/>
      <c r="BX59" s="1713" t="n"/>
      <c r="BY59" s="1713" t="n"/>
      <c r="BZ59" s="1761" t="n"/>
      <c r="CA59" s="213" t="inlineStr">
        <is>
          <t>Text_45</t>
        </is>
      </c>
      <c r="CB59" s="1686" t="n"/>
      <c r="CC59" s="456" t="n"/>
      <c r="CD59" s="701" t="n"/>
      <c r="CE59" s="701" t="n"/>
      <c r="CF59" s="701" t="n"/>
      <c r="CG59" s="701" t="n"/>
      <c r="CH59" s="701" t="n"/>
      <c r="CI59" s="701" t="n"/>
      <c r="CJ59" s="701" t="n"/>
      <c r="CK59" s="701" t="n"/>
      <c r="CL59" s="701" t="n"/>
      <c r="CM59" s="701" t="n"/>
      <c r="CN59" s="701" t="n"/>
      <c r="CO59" s="701" t="n"/>
      <c r="CP59" s="701" t="n"/>
      <c r="CQ59" s="701" t="n"/>
      <c r="CR59" s="701" t="n"/>
      <c r="CS59" s="701" t="n"/>
      <c r="CT59" s="701" t="n"/>
      <c r="CU59" s="701" t="n"/>
      <c r="CV59" s="701" t="n"/>
      <c r="CW59" s="30" t="n"/>
    </row>
    <row r="60" ht="12.75" customHeight="1" s="1676">
      <c r="A60" s="31" t="n"/>
      <c r="B60" s="103" t="inlineStr">
        <is>
          <t>Text_24</t>
        </is>
      </c>
      <c r="C60" s="699" t="n"/>
      <c r="D60" s="1713" t="n"/>
      <c r="E60" s="1713" t="n"/>
      <c r="F60" s="1713" t="n"/>
      <c r="G60" s="1713" t="n"/>
      <c r="H60" s="1714" t="n"/>
      <c r="I60" s="1719" t="n"/>
      <c r="J60" s="1719" t="n"/>
      <c r="K60" s="1719" t="n"/>
      <c r="L60" s="1719" t="n"/>
      <c r="M60" s="1720" t="n"/>
      <c r="N60" s="1720" t="n"/>
      <c r="O60" s="1720" t="n"/>
      <c r="P60" s="1720" t="n"/>
      <c r="Q60" s="1720" t="n"/>
      <c r="R60" s="1720" t="n"/>
      <c r="S60" s="1720" t="n"/>
      <c r="T60" s="1720" t="n"/>
      <c r="U60" s="1720" t="n"/>
      <c r="V60" s="1720" t="n"/>
      <c r="W60" s="1720" t="n"/>
      <c r="X60" s="1720" t="n"/>
      <c r="Y60" s="1720" t="n"/>
      <c r="Z60" s="1720" t="n"/>
      <c r="AA60" s="1720" t="n"/>
      <c r="AB60" s="1720" t="n"/>
      <c r="AC60" s="1720">
        <f t="array" ref="AC60">AC59/X59-1</f>
        <v/>
      </c>
      <c r="AD60" s="1720">
        <f t="array" ref="AD60">AD59/Y59-1</f>
        <v/>
      </c>
      <c r="AE60" s="1720">
        <f t="array" ref="AE60">AE59/Z59-1</f>
        <v/>
      </c>
      <c r="AF60" s="1720">
        <f t="array" ref="AF60">AF59/AA59-1</f>
        <v/>
      </c>
      <c r="AG60" s="1720">
        <f t="array" ref="AG60">AG59/AB59-1</f>
        <v/>
      </c>
      <c r="AH60" s="1720">
        <f t="array" ref="AH60">AH59/AC59-1</f>
        <v/>
      </c>
      <c r="AI60" s="1720">
        <f t="array" ref="AI60">AI59/AD59-1</f>
        <v/>
      </c>
      <c r="AJ60" s="1720">
        <f t="array" ref="AJ60">AJ59/AE59-1</f>
        <v/>
      </c>
      <c r="AK60" s="1720">
        <f t="array" ref="AK60">AK59/AF59-1</f>
        <v/>
      </c>
      <c r="AL60" s="1720">
        <f t="array" ref="AL60">AL59/AG59-1</f>
        <v/>
      </c>
      <c r="AM60" s="1720">
        <f t="array" ref="AM60">AM59/AH59-1</f>
        <v/>
      </c>
      <c r="AN60" s="1720">
        <f t="array" ref="AN60">AN59/AI59-1</f>
        <v/>
      </c>
      <c r="AO60" s="1720">
        <f t="array" ref="AO60">AO59/AJ59-1</f>
        <v/>
      </c>
      <c r="AP60" s="1720">
        <f t="array" ref="AP60">AP59/AK59-1</f>
        <v/>
      </c>
      <c r="AQ60" s="1720">
        <f t="array" ref="AQ60">AQ59/AL59-1</f>
        <v/>
      </c>
      <c r="AR60" s="1720">
        <f t="array" ref="AR60">AR59/AM59-1</f>
        <v/>
      </c>
      <c r="AS60" s="1720">
        <f t="array" ref="AS60">AS59/AN59-1</f>
        <v/>
      </c>
      <c r="AT60" s="1720">
        <f t="array" ref="AT60">AT59/AO59-1</f>
        <v/>
      </c>
      <c r="AU60" s="1720">
        <f t="array" ref="AU60">AU59/AP59-1</f>
        <v/>
      </c>
      <c r="AV60" s="1720">
        <f t="array" ref="AV60">AV59/AQ59-1</f>
        <v/>
      </c>
      <c r="AW60" s="1721">
        <f t="array" ref="AW60">AW59/AR59-1</f>
        <v/>
      </c>
      <c r="AX60" s="1722">
        <f t="array" ref="AX60">AX59/AS59-1</f>
        <v/>
      </c>
      <c r="AY60" s="1722">
        <f t="array" ref="AY60">AY59/AT59-1</f>
        <v/>
      </c>
      <c r="AZ60" s="1722">
        <f t="array" ref="AZ60">AZ59/AU59-1</f>
        <v/>
      </c>
      <c r="BA60" s="1723">
        <f t="array" ref="BA60">BA59/AV59-1</f>
        <v/>
      </c>
      <c r="BB60" s="1721">
        <f t="array" ref="BB60">BB59/AW59-1</f>
        <v/>
      </c>
      <c r="BC60" s="1722">
        <f t="array" ref="BC60">BC59/AX59-1</f>
        <v/>
      </c>
      <c r="BD60" s="1724" t="n"/>
      <c r="BE60" s="1724" t="n"/>
      <c r="BF60" s="1723" t="n"/>
      <c r="BG60" s="1713" t="n"/>
      <c r="BH60" s="1713" t="n"/>
      <c r="BI60" s="1713" t="n"/>
      <c r="BJ60" s="1713" t="n"/>
      <c r="BK60" s="1720" t="n"/>
      <c r="BL60" s="1713" t="n"/>
      <c r="BM60" s="1713" t="n"/>
      <c r="BN60" s="1713" t="n"/>
      <c r="BO60" s="1713" t="n"/>
      <c r="BP60" s="1720" t="n"/>
      <c r="BQ60" s="1713" t="n"/>
      <c r="BR60" s="1713" t="n"/>
      <c r="BS60" s="1713" t="n"/>
      <c r="BT60" s="1713" t="n"/>
      <c r="BU60" s="1720" t="n"/>
      <c r="BV60" s="1713" t="n"/>
      <c r="BW60" s="1713" t="n"/>
      <c r="BX60" s="1713" t="n"/>
      <c r="BY60" s="1713" t="n"/>
      <c r="BZ60" s="1720" t="n"/>
      <c r="CA60" s="1686" t="n"/>
      <c r="CB60" s="1686" t="n"/>
      <c r="CC60" s="456" t="n"/>
      <c r="CD60" s="701" t="n"/>
      <c r="CE60" s="701" t="n"/>
      <c r="CF60" s="701" t="n"/>
      <c r="CG60" s="701" t="n"/>
      <c r="CH60" s="701" t="n"/>
      <c r="CI60" s="701" t="n"/>
      <c r="CJ60" s="701" t="n"/>
      <c r="CK60" s="701" t="n"/>
      <c r="CL60" s="701" t="n"/>
      <c r="CM60" s="701" t="n"/>
      <c r="CN60" s="701" t="n"/>
      <c r="CO60" s="701" t="n"/>
      <c r="CP60" s="701" t="n"/>
      <c r="CQ60" s="701" t="n"/>
      <c r="CR60" s="701" t="n"/>
      <c r="CS60" s="701" t="n"/>
      <c r="CT60" s="701" t="n"/>
      <c r="CU60" s="701" t="n"/>
      <c r="CV60" s="701" t="n"/>
      <c r="CW60" s="30" t="n"/>
    </row>
    <row r="61" ht="12.75" customHeight="1" s="1676">
      <c r="A61" s="31" t="n"/>
      <c r="B61" s="196" t="inlineStr">
        <is>
          <t>Text_25</t>
        </is>
      </c>
      <c r="C61" s="805" t="n"/>
      <c r="D61" s="1726" t="n"/>
      <c r="E61" s="1726" t="n"/>
      <c r="F61" s="1726" t="n"/>
      <c r="G61" s="1726" t="n"/>
      <c r="H61" s="1727" t="n"/>
      <c r="I61" s="197">
        <f t="array" ref="I61">I59/I$73</f>
        <v/>
      </c>
      <c r="J61" s="197">
        <f t="array" ref="J61">J59/J$73</f>
        <v/>
      </c>
      <c r="K61" s="197">
        <f t="array" ref="K61">K59/K$73</f>
        <v/>
      </c>
      <c r="L61" s="197">
        <f t="array" ref="L61">L59/L$73</f>
        <v/>
      </c>
      <c r="M61" s="197">
        <f t="array" ref="M61">M59/M$73</f>
        <v/>
      </c>
      <c r="N61" s="197">
        <f t="array" ref="N61">N59/N$73</f>
        <v/>
      </c>
      <c r="O61" s="197">
        <f t="array" ref="O61">O59/O$73</f>
        <v/>
      </c>
      <c r="P61" s="197">
        <f t="array" ref="P61">P59/P$73</f>
        <v/>
      </c>
      <c r="Q61" s="197">
        <f t="array" ref="Q61">Q59/Q$73</f>
        <v/>
      </c>
      <c r="R61" s="197">
        <f t="array" ref="R61">R59/R$73</f>
        <v/>
      </c>
      <c r="S61" s="197">
        <f t="array" ref="S61">S59/S$73</f>
        <v/>
      </c>
      <c r="T61" s="197">
        <f t="array" ref="T61">T59/T$73</f>
        <v/>
      </c>
      <c r="U61" s="197">
        <f t="array" ref="U61">U59/U$73</f>
        <v/>
      </c>
      <c r="V61" s="197">
        <f t="array" ref="V61">V59/V$73</f>
        <v/>
      </c>
      <c r="W61" s="197">
        <f t="array" ref="W61">W59/W$73</f>
        <v/>
      </c>
      <c r="X61" s="197">
        <f t="array" ref="X61">X59/X$73</f>
        <v/>
      </c>
      <c r="Y61" s="197">
        <f t="array" ref="Y61">Y59/Y$73</f>
        <v/>
      </c>
      <c r="Z61" s="197">
        <f t="array" ref="Z61">Z59/Z$73</f>
        <v/>
      </c>
      <c r="AA61" s="197">
        <f t="array" ref="AA61">AA59/AA$73</f>
        <v/>
      </c>
      <c r="AB61" s="197">
        <f t="array" ref="AB61">AB59/AB$73</f>
        <v/>
      </c>
      <c r="AC61" s="197">
        <f t="array" ref="AC61">AC59/AC$73</f>
        <v/>
      </c>
      <c r="AD61" s="197">
        <f t="array" ref="AD61">AD59/AD$73</f>
        <v/>
      </c>
      <c r="AE61" s="197">
        <f t="array" ref="AE61">AE59/AE$73</f>
        <v/>
      </c>
      <c r="AF61" s="197">
        <f t="array" ref="AF61">AF59/AF$73</f>
        <v/>
      </c>
      <c r="AG61" s="197">
        <f t="array" ref="AG61">AG59/AG$73</f>
        <v/>
      </c>
      <c r="AH61" s="197">
        <f t="array" ref="AH61">AH59/AH$73</f>
        <v/>
      </c>
      <c r="AI61" s="197">
        <f t="array" ref="AI61">AI59/AI$73</f>
        <v/>
      </c>
      <c r="AJ61" s="197">
        <f t="array" ref="AJ61">AJ59/AJ$73</f>
        <v/>
      </c>
      <c r="AK61" s="197">
        <f t="array" ref="AK61">AK59/AK$73</f>
        <v/>
      </c>
      <c r="AL61" s="197">
        <f t="array" ref="AL61">AL59/AL$73</f>
        <v/>
      </c>
      <c r="AM61" s="197">
        <f t="array" ref="AM61">AM59/AM$73</f>
        <v/>
      </c>
      <c r="AN61" s="197">
        <f t="array" ref="AN61">AN59/AN$73</f>
        <v/>
      </c>
      <c r="AO61" s="197">
        <f t="array" ref="AO61">AO59/AO$73</f>
        <v/>
      </c>
      <c r="AP61" s="197">
        <f t="array" ref="AP61">AP59/AP$73</f>
        <v/>
      </c>
      <c r="AQ61" s="197">
        <f t="array" ref="AQ61">AQ59/AQ$73</f>
        <v/>
      </c>
      <c r="AR61" s="197">
        <f t="array" ref="AR61">AR59/AR$73</f>
        <v/>
      </c>
      <c r="AS61" s="197">
        <f t="array" ref="AS61">AS59/AS$73</f>
        <v/>
      </c>
      <c r="AT61" s="197">
        <f t="array" ref="AT61">AT59/AT$73</f>
        <v/>
      </c>
      <c r="AU61" s="197">
        <f t="array" ref="AU61">AU59/AU$73</f>
        <v/>
      </c>
      <c r="AV61" s="197">
        <f t="array" ref="AV61">AV59/AV$73</f>
        <v/>
      </c>
      <c r="AW61" s="198">
        <f t="array" ref="AW61">AW59/AW$73</f>
        <v/>
      </c>
      <c r="AX61" s="199">
        <f t="array" ref="AX61">AX59/AX$73</f>
        <v/>
      </c>
      <c r="AY61" s="199">
        <f t="array" ref="AY61">AY59/AY$73</f>
        <v/>
      </c>
      <c r="AZ61" s="199">
        <f t="array" ref="AZ61">AZ59/AZ$73</f>
        <v/>
      </c>
      <c r="BA61" s="200">
        <f t="array" ref="BA61">BA59/BA$73</f>
        <v/>
      </c>
      <c r="BB61" s="198">
        <f t="array" ref="BB61">BB59/BB$73</f>
        <v/>
      </c>
      <c r="BC61" s="199">
        <f t="array" ref="BC61">BC59/BC$73</f>
        <v/>
      </c>
      <c r="BD61" s="1728" t="n"/>
      <c r="BE61" s="1728" t="n"/>
      <c r="BF61" s="200" t="n"/>
      <c r="BG61" s="1726" t="n"/>
      <c r="BH61" s="1726" t="n"/>
      <c r="BI61" s="1726" t="n"/>
      <c r="BJ61" s="1726" t="n"/>
      <c r="BK61" s="197" t="n"/>
      <c r="BL61" s="1726" t="n"/>
      <c r="BM61" s="1726" t="n"/>
      <c r="BN61" s="1726" t="n"/>
      <c r="BO61" s="1726" t="n"/>
      <c r="BP61" s="197" t="n"/>
      <c r="BQ61" s="1726" t="n"/>
      <c r="BR61" s="1726" t="n"/>
      <c r="BS61" s="1726" t="n"/>
      <c r="BT61" s="1726" t="n"/>
      <c r="BU61" s="197" t="n"/>
      <c r="BV61" s="1726" t="n"/>
      <c r="BW61" s="1726" t="n"/>
      <c r="BX61" s="1726" t="n"/>
      <c r="BY61" s="1726" t="n"/>
      <c r="BZ61" s="197" t="n"/>
      <c r="CA61" s="1778" t="n"/>
      <c r="CB61" s="1688" t="n"/>
      <c r="CC61" s="456" t="n"/>
      <c r="CD61" s="701" t="n"/>
      <c r="CE61" s="701" t="n"/>
      <c r="CF61" s="701" t="n"/>
      <c r="CG61" s="701" t="n"/>
      <c r="CH61" s="701" t="n"/>
      <c r="CI61" s="701" t="n"/>
      <c r="CJ61" s="701" t="n"/>
      <c r="CK61" s="701" t="n"/>
      <c r="CL61" s="701" t="n"/>
      <c r="CM61" s="701" t="n"/>
      <c r="CN61" s="701" t="n"/>
      <c r="CO61" s="701" t="n"/>
      <c r="CP61" s="701" t="n"/>
      <c r="CQ61" s="701" t="n"/>
      <c r="CR61" s="701" t="n"/>
      <c r="CS61" s="701" t="n"/>
      <c r="CT61" s="701" t="n"/>
      <c r="CU61" s="701" t="n"/>
      <c r="CV61" s="701" t="n"/>
      <c r="CW61" s="30" t="n"/>
    </row>
    <row r="62" ht="12.75" customHeight="1" s="1676">
      <c r="A62" s="31" t="n"/>
      <c r="B62" s="201" t="inlineStr">
        <is>
          <t>Text_46</t>
        </is>
      </c>
      <c r="C62" s="33" t="n"/>
      <c r="D62" s="1735" t="n"/>
      <c r="E62" s="1735" t="n"/>
      <c r="F62" s="1735" t="n"/>
      <c r="G62" s="1735" t="n"/>
      <c r="H62" s="1736" t="n"/>
      <c r="I62" s="1769" t="n">
        <v>21.6992218397346</v>
      </c>
      <c r="J62" s="1769" t="n">
        <v>15.2545351332042</v>
      </c>
      <c r="K62" s="1769" t="n">
        <v>24.6515147831728</v>
      </c>
      <c r="L62" s="1769" t="n">
        <v>21.4051188087871</v>
      </c>
      <c r="M62" s="1770">
        <f t="array" ref="M62">L62+K62+J62+I62</f>
        <v/>
      </c>
      <c r="N62" s="1769" t="n">
        <v>8.475209999027459</v>
      </c>
      <c r="O62" s="1769" t="n">
        <v>10.346541187868</v>
      </c>
      <c r="P62" s="1769" t="n">
        <v>9.96314807296344</v>
      </c>
      <c r="Q62" s="1769" t="n">
        <v>19.6245946673563</v>
      </c>
      <c r="R62" s="1770">
        <f t="array" ref="R62">Q62+P62+O62+N62</f>
        <v/>
      </c>
      <c r="S62" s="1769" t="n">
        <v>28.1361900164363</v>
      </c>
      <c r="T62" s="1769" t="n">
        <v>34.3418516890018</v>
      </c>
      <c r="U62" s="1769" t="n">
        <v>11.7083754158537</v>
      </c>
      <c r="V62" s="1769" t="n">
        <v>17.5071372631064</v>
      </c>
      <c r="W62" s="1770">
        <f t="array" ref="W62">V62+U62+T62+S62</f>
        <v/>
      </c>
      <c r="X62" s="1769" t="n">
        <v>35.4455353366219</v>
      </c>
      <c r="Y62" s="1769" t="n">
        <v>31.9367588596799</v>
      </c>
      <c r="Z62" s="1769" t="n">
        <v>37.0086130314425</v>
      </c>
      <c r="AA62" s="1769" t="n">
        <v>60.1486853727112</v>
      </c>
      <c r="AB62" s="1770">
        <f t="array" ref="AB62">AA62+Z62+Y62+X62</f>
        <v/>
      </c>
      <c r="AC62" s="1769" t="n">
        <v>43.0083378220706</v>
      </c>
      <c r="AD62" s="1769" t="n">
        <v>61.2214848823104</v>
      </c>
      <c r="AE62" s="1769" t="n">
        <v>40.9513227340536</v>
      </c>
      <c r="AF62" s="1769" t="n">
        <v>60.5862537154179</v>
      </c>
      <c r="AG62" s="1770">
        <f t="array" ref="AG62">AF62+AE62+AD62+AC62</f>
        <v/>
      </c>
      <c r="AH62" s="1769" t="n">
        <v>65.7659876677377</v>
      </c>
      <c r="AI62" s="1769" t="n">
        <v>63.5785629855295</v>
      </c>
      <c r="AJ62" s="1769" t="n">
        <v>41.8749608537062</v>
      </c>
      <c r="AK62" s="1769" t="n">
        <v>46.2878840173461</v>
      </c>
      <c r="AL62" s="1769" t="n">
        <v>187.717950017805</v>
      </c>
      <c r="AM62" s="1769" t="n">
        <v>59.0410081594441</v>
      </c>
      <c r="AN62" s="1769" t="n">
        <v>64.4791712447487</v>
      </c>
      <c r="AO62" s="1769" t="n">
        <v>46.7504147717419</v>
      </c>
      <c r="AP62" s="1769" t="n">
        <v>107.754658372715</v>
      </c>
      <c r="AQ62" s="1769" t="n">
        <v>310.933435524258</v>
      </c>
      <c r="AR62" s="1769" t="n">
        <v>113.266954919131</v>
      </c>
      <c r="AS62" s="1769" t="n">
        <v>101.256331798321</v>
      </c>
      <c r="AT62" s="1769" t="n">
        <v>94.551715961357</v>
      </c>
      <c r="AU62" s="1769" t="n">
        <v>112.846036670825</v>
      </c>
      <c r="AV62" s="1769" t="n">
        <v>342.579452055048</v>
      </c>
      <c r="AW62" s="1771" t="n">
        <v>99.0019830665278</v>
      </c>
      <c r="AX62" s="1772" t="n">
        <v>115.826272184241</v>
      </c>
      <c r="AY62" s="1772" t="n">
        <v>68.5339838324024</v>
      </c>
      <c r="AZ62" s="1772" t="n">
        <v>66.7180706419425</v>
      </c>
      <c r="BA62" s="1773">
        <f t="array" ref="BA62">AZ62+AY62+AX62+AW62</f>
        <v/>
      </c>
      <c r="BB62" s="1771" t="n">
        <v>58.8361700652914</v>
      </c>
      <c r="BC62" s="1772" t="n">
        <v>85.4944219009874</v>
      </c>
      <c r="BD62" s="1774" t="n"/>
      <c r="BE62" s="1774" t="n"/>
      <c r="BF62" s="1779" t="n"/>
      <c r="BG62" s="1735" t="n"/>
      <c r="BH62" s="1735" t="n"/>
      <c r="BI62" s="1735" t="n"/>
      <c r="BJ62" s="1735" t="n"/>
      <c r="BK62" s="1769" t="n"/>
      <c r="BL62" s="1735" t="n"/>
      <c r="BM62" s="1735" t="n"/>
      <c r="BN62" s="1735" t="n"/>
      <c r="BO62" s="1735" t="n"/>
      <c r="BP62" s="1769" t="n"/>
      <c r="BQ62" s="1735" t="n"/>
      <c r="BR62" s="1735" t="n"/>
      <c r="BS62" s="1735" t="n"/>
      <c r="BT62" s="1735" t="n"/>
      <c r="BU62" s="1769" t="n"/>
      <c r="BV62" s="1735" t="n"/>
      <c r="BW62" s="1735" t="n"/>
      <c r="BX62" s="1735" t="n"/>
      <c r="BY62" s="1735" t="n"/>
      <c r="BZ62" s="1769" t="n"/>
      <c r="CA62" s="1780" t="n"/>
      <c r="CB62" s="1781" t="n"/>
      <c r="CC62" s="456" t="n"/>
      <c r="CD62" s="701" t="n"/>
      <c r="CE62" s="701" t="n"/>
      <c r="CF62" s="701" t="n"/>
      <c r="CG62" s="701" t="n"/>
      <c r="CH62" s="701" t="n"/>
      <c r="CI62" s="701" t="n"/>
      <c r="CJ62" s="701" t="n"/>
      <c r="CK62" s="701" t="n"/>
      <c r="CL62" s="701" t="n"/>
      <c r="CM62" s="701" t="n"/>
      <c r="CN62" s="701" t="n"/>
      <c r="CO62" s="701" t="n"/>
      <c r="CP62" s="701" t="n"/>
      <c r="CQ62" s="701" t="n"/>
      <c r="CR62" s="701" t="n"/>
      <c r="CS62" s="701" t="n"/>
      <c r="CT62" s="701" t="n"/>
      <c r="CU62" s="701" t="n"/>
      <c r="CV62" s="701" t="n"/>
      <c r="CW62" s="30" t="n"/>
    </row>
    <row r="63" ht="13.15" customHeight="1" s="1676">
      <c r="A63" s="31" t="n"/>
      <c r="B63" s="103" t="inlineStr">
        <is>
          <t>Text_24</t>
        </is>
      </c>
      <c r="C63" s="699" t="n"/>
      <c r="D63" s="1782" t="n"/>
      <c r="E63" s="1782" t="n"/>
      <c r="F63" s="1782" t="n"/>
      <c r="G63" s="1782" t="n"/>
      <c r="H63" s="1751" t="n"/>
      <c r="I63" s="1783" t="n"/>
      <c r="J63" s="1783" t="n"/>
      <c r="K63" s="1783" t="n"/>
      <c r="L63" s="1783" t="n"/>
      <c r="M63" s="1751" t="n"/>
      <c r="N63" s="1751">
        <f t="array" ref="N63">N62/I62-1</f>
        <v/>
      </c>
      <c r="O63" s="1751">
        <f t="array" ref="O63">O62/J62-1</f>
        <v/>
      </c>
      <c r="P63" s="1751">
        <f t="array" ref="P63">P62/K62-1</f>
        <v/>
      </c>
      <c r="Q63" s="1751">
        <f t="array" ref="Q63">Q62/L62-1</f>
        <v/>
      </c>
      <c r="R63" s="1751">
        <f t="array" ref="R63">R62/M62-1</f>
        <v/>
      </c>
      <c r="S63" s="1751">
        <f t="array" ref="S63">S62/N62-1</f>
        <v/>
      </c>
      <c r="T63" s="1751">
        <f t="array" ref="T63">T62/O62-1</f>
        <v/>
      </c>
      <c r="U63" s="1751">
        <f t="array" ref="U63">U62/P62-1</f>
        <v/>
      </c>
      <c r="V63" s="1751">
        <f t="array" ref="V63">V62/Q62-1</f>
        <v/>
      </c>
      <c r="W63" s="1751">
        <f t="array" ref="W63">W62/R62-1</f>
        <v/>
      </c>
      <c r="X63" s="1751">
        <f t="array" ref="X63">X62/S62-1</f>
        <v/>
      </c>
      <c r="Y63" s="1751">
        <f t="array" ref="Y63">Y62/T62-1</f>
        <v/>
      </c>
      <c r="Z63" s="1751">
        <f t="array" ref="Z63">Z62/U62-1</f>
        <v/>
      </c>
      <c r="AA63" s="1751">
        <f t="array" ref="AA63">AA62/V62-1</f>
        <v/>
      </c>
      <c r="AB63" s="1751">
        <f t="array" ref="AB63">AB62/W62-1</f>
        <v/>
      </c>
      <c r="AC63" s="1751">
        <f t="array" ref="AC63">AC62/X62-1</f>
        <v/>
      </c>
      <c r="AD63" s="1751">
        <f t="array" ref="AD63">AD62/Y62-1</f>
        <v/>
      </c>
      <c r="AE63" s="1751">
        <f t="array" ref="AE63">AE62/Z62-1</f>
        <v/>
      </c>
      <c r="AF63" s="1751">
        <f t="array" ref="AF63">AF62/AA62-1</f>
        <v/>
      </c>
      <c r="AG63" s="1751">
        <f t="array" ref="AG63">AG62/AB62-1</f>
        <v/>
      </c>
      <c r="AH63" s="1751">
        <f t="array" ref="AH63">AH62/AC62-1</f>
        <v/>
      </c>
      <c r="AI63" s="1751">
        <f t="array" ref="AI63">AI62/AD62-1</f>
        <v/>
      </c>
      <c r="AJ63" s="1751">
        <f t="array" ref="AJ63">AJ62/AE62-1</f>
        <v/>
      </c>
      <c r="AK63" s="1751">
        <f t="array" ref="AK63">AK62/AF62-1</f>
        <v/>
      </c>
      <c r="AL63" s="1751">
        <f t="array" ref="AL63">AL62/AG62-1</f>
        <v/>
      </c>
      <c r="AM63" s="1751">
        <f t="array" ref="AM63">AM62/AH62-1</f>
        <v/>
      </c>
      <c r="AN63" s="1751">
        <f t="array" ref="AN63">AN62/AI62-1</f>
        <v/>
      </c>
      <c r="AO63" s="1751">
        <f t="array" ref="AO63">AO62/AJ62-1</f>
        <v/>
      </c>
      <c r="AP63" s="1751">
        <f t="array" ref="AP63">AP62/AK62-1</f>
        <v/>
      </c>
      <c r="AQ63" s="1751">
        <f t="array" ref="AQ63">AQ62/AL62-1</f>
        <v/>
      </c>
      <c r="AR63" s="1751">
        <f t="array" ref="AR63">AR62/AM62-1</f>
        <v/>
      </c>
      <c r="AS63" s="1751">
        <f t="array" ref="AS63">AS62/AN62-1</f>
        <v/>
      </c>
      <c r="AT63" s="1751">
        <f t="array" ref="AT63">AT62/AO62-1</f>
        <v/>
      </c>
      <c r="AU63" s="1751">
        <f t="array" ref="AU63">AU62/AP62-1</f>
        <v/>
      </c>
      <c r="AV63" s="1751">
        <f t="array" ref="AV63">AV62/AQ62-1</f>
        <v/>
      </c>
      <c r="AW63" s="1749">
        <f t="array" ref="AW63">AW62/AR62-1</f>
        <v/>
      </c>
      <c r="AX63" s="1750">
        <f t="array" ref="AX63">AX62/AS62-1</f>
        <v/>
      </c>
      <c r="AY63" s="1750">
        <f t="array" ref="AY63">AY62/AT62-1</f>
        <v/>
      </c>
      <c r="AZ63" s="1750">
        <f t="array" ref="AZ63">AZ62/AU62-1</f>
        <v/>
      </c>
      <c r="BA63" s="1784">
        <f t="array" ref="BA63">BA62/AV62-1</f>
        <v/>
      </c>
      <c r="BB63" s="1749">
        <f t="array" ref="BB63">BB62/AW62-1</f>
        <v/>
      </c>
      <c r="BC63" s="1750">
        <f t="array" ref="BC63">BC62/AX62-1</f>
        <v/>
      </c>
      <c r="BD63" s="701" t="n"/>
      <c r="BE63" s="701" t="n"/>
      <c r="BF63" s="1784" t="n"/>
      <c r="BG63" s="699" t="n"/>
      <c r="BH63" s="699" t="n"/>
      <c r="BI63" s="699" t="n"/>
      <c r="BJ63" s="699" t="n"/>
      <c r="BK63" s="1751" t="n"/>
      <c r="BL63" s="699" t="n"/>
      <c r="BM63" s="699" t="n"/>
      <c r="BN63" s="699" t="n"/>
      <c r="BO63" s="699" t="n"/>
      <c r="BP63" s="1751" t="n"/>
      <c r="BQ63" s="699" t="n"/>
      <c r="BR63" s="699" t="n"/>
      <c r="BS63" s="699" t="n"/>
      <c r="BT63" s="699" t="n"/>
      <c r="BU63" s="1751" t="n"/>
      <c r="BV63" s="699" t="n"/>
      <c r="BW63" s="699" t="n"/>
      <c r="BX63" s="699" t="n"/>
      <c r="BY63" s="699" t="n"/>
      <c r="BZ63" s="1751" t="n"/>
      <c r="CA63" s="110" t="n"/>
      <c r="CB63" s="1785" t="n"/>
      <c r="CC63" s="456" t="n"/>
      <c r="CD63" s="701" t="n"/>
      <c r="CE63" s="701" t="n"/>
      <c r="CF63" s="701" t="n"/>
      <c r="CG63" s="701" t="n"/>
      <c r="CH63" s="701" t="n"/>
      <c r="CI63" s="701" t="n"/>
      <c r="CJ63" s="701" t="n"/>
      <c r="CK63" s="701" t="n"/>
      <c r="CL63" s="701" t="n"/>
      <c r="CM63" s="701" t="n"/>
      <c r="CN63" s="701" t="n"/>
      <c r="CO63" s="701" t="n"/>
      <c r="CP63" s="701" t="n"/>
      <c r="CQ63" s="701" t="n"/>
      <c r="CR63" s="701" t="n"/>
      <c r="CS63" s="701" t="n"/>
      <c r="CT63" s="701" t="n"/>
      <c r="CU63" s="701" t="n"/>
      <c r="CV63" s="701" t="n"/>
      <c r="CW63" s="30" t="n"/>
    </row>
    <row r="64" ht="12.75" customHeight="1" s="1676">
      <c r="A64" s="31" t="n"/>
      <c r="B64" s="196" t="inlineStr">
        <is>
          <t>Text_25</t>
        </is>
      </c>
      <c r="C64" s="805" t="n"/>
      <c r="D64" s="1726" t="n"/>
      <c r="E64" s="1726" t="n"/>
      <c r="F64" s="1726" t="n"/>
      <c r="G64" s="1726" t="n"/>
      <c r="H64" s="1727" t="n"/>
      <c r="I64" s="197">
        <f t="array" ref="I64">I62/I$73</f>
        <v/>
      </c>
      <c r="J64" s="197">
        <f t="array" ref="J64">J62/J$73</f>
        <v/>
      </c>
      <c r="K64" s="197">
        <f t="array" ref="K64">K62/K$73</f>
        <v/>
      </c>
      <c r="L64" s="197">
        <f t="array" ref="L64">L62/L$73</f>
        <v/>
      </c>
      <c r="M64" s="197">
        <f t="array" ref="M64">M62/M$73</f>
        <v/>
      </c>
      <c r="N64" s="197">
        <f t="array" ref="N64">N62/N$73</f>
        <v/>
      </c>
      <c r="O64" s="197">
        <f t="array" ref="O64">O62/O$73</f>
        <v/>
      </c>
      <c r="P64" s="197">
        <f t="array" ref="P64">P62/P$73</f>
        <v/>
      </c>
      <c r="Q64" s="197">
        <f t="array" ref="Q64">Q62/Q$73</f>
        <v/>
      </c>
      <c r="R64" s="197">
        <f t="array" ref="R64">R62/R$73</f>
        <v/>
      </c>
      <c r="S64" s="197">
        <f t="array" ref="S64">S62/S$73</f>
        <v/>
      </c>
      <c r="T64" s="197">
        <f t="array" ref="T64">T62/T$73</f>
        <v/>
      </c>
      <c r="U64" s="197">
        <f t="array" ref="U64">U62/U$73</f>
        <v/>
      </c>
      <c r="V64" s="197">
        <f t="array" ref="V64">V62/V$73</f>
        <v/>
      </c>
      <c r="W64" s="197">
        <f t="array" ref="W64">W62/W$73</f>
        <v/>
      </c>
      <c r="X64" s="197">
        <f t="array" ref="X64">X62/X$73</f>
        <v/>
      </c>
      <c r="Y64" s="197">
        <f t="array" ref="Y64">Y62/Y$73</f>
        <v/>
      </c>
      <c r="Z64" s="197">
        <f t="array" ref="Z64">Z62/Z$73</f>
        <v/>
      </c>
      <c r="AA64" s="197">
        <f t="array" ref="AA64">AA62/AA$73</f>
        <v/>
      </c>
      <c r="AB64" s="197">
        <f t="array" ref="AB64">AB62/AB$73</f>
        <v/>
      </c>
      <c r="AC64" s="197">
        <f t="array" ref="AC64">AC62/AC$73</f>
        <v/>
      </c>
      <c r="AD64" s="197">
        <f t="array" ref="AD64">AD62/AD$73</f>
        <v/>
      </c>
      <c r="AE64" s="197">
        <f t="array" ref="AE64">AE62/AE$73</f>
        <v/>
      </c>
      <c r="AF64" s="197">
        <f t="array" ref="AF64">AF62/AF$73</f>
        <v/>
      </c>
      <c r="AG64" s="197">
        <f t="array" ref="AG64">AG62/AG$73</f>
        <v/>
      </c>
      <c r="AH64" s="197">
        <f t="array" ref="AH64">AH62/AH$73</f>
        <v/>
      </c>
      <c r="AI64" s="197">
        <f t="array" ref="AI64">AI62/AI$73</f>
        <v/>
      </c>
      <c r="AJ64" s="197">
        <f t="array" ref="AJ64">AJ62/AJ$73</f>
        <v/>
      </c>
      <c r="AK64" s="197">
        <f t="array" ref="AK64">AK62/AK$73</f>
        <v/>
      </c>
      <c r="AL64" s="197">
        <f t="array" ref="AL64">AL62/AL$73</f>
        <v/>
      </c>
      <c r="AM64" s="197">
        <f t="array" ref="AM64">AM62/AM$73</f>
        <v/>
      </c>
      <c r="AN64" s="197">
        <f t="array" ref="AN64">AN62/AN$73</f>
        <v/>
      </c>
      <c r="AO64" s="197">
        <f t="array" ref="AO64">AO62/AO$73</f>
        <v/>
      </c>
      <c r="AP64" s="197">
        <f t="array" ref="AP64">AP62/AP$73</f>
        <v/>
      </c>
      <c r="AQ64" s="197">
        <f t="array" ref="AQ64">AQ62/AQ$73</f>
        <v/>
      </c>
      <c r="AR64" s="197">
        <f t="array" ref="AR64">AR62/AR$73</f>
        <v/>
      </c>
      <c r="AS64" s="197">
        <f t="array" ref="AS64">AS62/AS$73</f>
        <v/>
      </c>
      <c r="AT64" s="197">
        <f t="array" ref="AT64">AT62/AT$73</f>
        <v/>
      </c>
      <c r="AU64" s="197">
        <f t="array" ref="AU64">AU62/AU$73</f>
        <v/>
      </c>
      <c r="AV64" s="197">
        <f t="array" ref="AV64">AV62/AV$73</f>
        <v/>
      </c>
      <c r="AW64" s="198">
        <f t="array" ref="AW64">AW62/AW$73</f>
        <v/>
      </c>
      <c r="AX64" s="199">
        <f t="array" ref="AX64">AX62/AX$73</f>
        <v/>
      </c>
      <c r="AY64" s="199">
        <f t="array" ref="AY64">AY62/AY$73</f>
        <v/>
      </c>
      <c r="AZ64" s="199">
        <f t="array" ref="AZ64">AZ62/AZ$73</f>
        <v/>
      </c>
      <c r="BA64" s="200">
        <f t="array" ref="BA64">BA62/BA$73</f>
        <v/>
      </c>
      <c r="BB64" s="198">
        <f t="array" ref="BB64">BB62/BB$73</f>
        <v/>
      </c>
      <c r="BC64" s="199">
        <f t="array" ref="BC64">BC62/BC$73</f>
        <v/>
      </c>
      <c r="BD64" s="1728" t="n"/>
      <c r="BE64" s="1728" t="n"/>
      <c r="BF64" s="200" t="n"/>
      <c r="BG64" s="1726" t="n"/>
      <c r="BH64" s="1726" t="n"/>
      <c r="BI64" s="1726" t="n"/>
      <c r="BJ64" s="1726" t="n"/>
      <c r="BK64" s="197" t="n"/>
      <c r="BL64" s="1726" t="n"/>
      <c r="BM64" s="1726" t="n"/>
      <c r="BN64" s="1726" t="n"/>
      <c r="BO64" s="1726" t="n"/>
      <c r="BP64" s="197" t="n"/>
      <c r="BQ64" s="1726" t="n"/>
      <c r="BR64" s="1726" t="n"/>
      <c r="BS64" s="1726" t="n"/>
      <c r="BT64" s="1726" t="n"/>
      <c r="BU64" s="197" t="n"/>
      <c r="BV64" s="1726" t="n"/>
      <c r="BW64" s="1726" t="n"/>
      <c r="BX64" s="1726" t="n"/>
      <c r="BY64" s="1726" t="n"/>
      <c r="BZ64" s="197" t="n"/>
      <c r="CA64" s="1786" t="n"/>
      <c r="CB64" s="1787" t="n"/>
      <c r="CC64" s="456" t="n"/>
      <c r="CD64" s="701" t="n"/>
      <c r="CE64" s="701" t="n"/>
      <c r="CF64" s="701" t="n"/>
      <c r="CG64" s="701" t="n"/>
      <c r="CH64" s="701" t="n"/>
      <c r="CI64" s="701" t="n"/>
      <c r="CJ64" s="701" t="n"/>
      <c r="CK64" s="701" t="n"/>
      <c r="CL64" s="701" t="n"/>
      <c r="CM64" s="701" t="n"/>
      <c r="CN64" s="701" t="n"/>
      <c r="CO64" s="701" t="n"/>
      <c r="CP64" s="701" t="n"/>
      <c r="CQ64" s="701" t="n"/>
      <c r="CR64" s="701" t="n"/>
      <c r="CS64" s="701" t="n"/>
      <c r="CT64" s="701" t="n"/>
      <c r="CU64" s="701" t="n"/>
      <c r="CV64" s="701" t="n"/>
      <c r="CW64" s="30" t="n"/>
    </row>
    <row r="65" ht="12.75" customHeight="1" s="1676">
      <c r="A65" s="31" t="n"/>
      <c r="B65" s="144" t="inlineStr">
        <is>
          <t>Text_47</t>
        </is>
      </c>
      <c r="C65" s="33" t="n"/>
      <c r="D65" s="1735" t="n"/>
      <c r="E65" s="1735" t="n"/>
      <c r="F65" s="1735" t="n"/>
      <c r="G65" s="1735" t="n"/>
      <c r="H65" s="1736" t="n"/>
      <c r="I65" s="1737" t="n"/>
      <c r="J65" s="1737" t="n"/>
      <c r="K65" s="1737" t="n"/>
      <c r="L65" s="1737" t="n"/>
      <c r="M65" s="1737">
        <f t="array" ref="M65">M73-M69</f>
        <v/>
      </c>
      <c r="N65" s="1737">
        <f t="array" ref="N65">N73-N69</f>
        <v/>
      </c>
      <c r="O65" s="1737">
        <f t="array" ref="O65">O73-O69</f>
        <v/>
      </c>
      <c r="P65" s="1737">
        <f t="array" ref="P65">P73-P69</f>
        <v/>
      </c>
      <c r="Q65" s="1737">
        <f t="array" ref="Q65">Q73-Q69</f>
        <v/>
      </c>
      <c r="R65" s="1737">
        <f t="array" ref="R65">R73-R69</f>
        <v/>
      </c>
      <c r="S65" s="1737">
        <f t="array" ref="S65">S73-S69</f>
        <v/>
      </c>
      <c r="T65" s="1737">
        <f t="array" ref="T65">T73-T69</f>
        <v/>
      </c>
      <c r="U65" s="1737">
        <f t="array" ref="U65">U73-U69</f>
        <v/>
      </c>
      <c r="V65" s="1737">
        <f t="array" ref="V65">V73-V69</f>
        <v/>
      </c>
      <c r="W65" s="1737">
        <f t="array" ref="W65">W73-W69</f>
        <v/>
      </c>
      <c r="X65" s="1737">
        <f t="array" ref="X65">X73-X69</f>
        <v/>
      </c>
      <c r="Y65" s="1737">
        <f t="array" ref="Y65">Y73-Y69</f>
        <v/>
      </c>
      <c r="Z65" s="1737">
        <f t="array" ref="Z65">Z73-Z69</f>
        <v/>
      </c>
      <c r="AA65" s="1737">
        <f t="array" ref="AA65">AA73-AA69</f>
        <v/>
      </c>
      <c r="AB65" s="1737">
        <f t="array" ref="AB65">AB73-AB69</f>
        <v/>
      </c>
      <c r="AC65" s="1737">
        <f t="array" ref="AC65">AC73-AC69</f>
        <v/>
      </c>
      <c r="AD65" s="1737">
        <f t="array" ref="AD65">AD73-AD69</f>
        <v/>
      </c>
      <c r="AE65" s="1737">
        <f t="array" ref="AE65">AE73-AE69</f>
        <v/>
      </c>
      <c r="AF65" s="1737">
        <f t="array" ref="AF65">AF73-AF69</f>
        <v/>
      </c>
      <c r="AG65" s="1737">
        <f t="array" ref="AG65">AG73-AG69</f>
        <v/>
      </c>
      <c r="AH65" s="1737">
        <f t="array" ref="AH65">AH73-AH69</f>
        <v/>
      </c>
      <c r="AI65" s="1737">
        <f t="array" ref="AI65">AI73-AI69</f>
        <v/>
      </c>
      <c r="AJ65" s="1737">
        <f t="array" ref="AJ65">AJ73-AJ69</f>
        <v/>
      </c>
      <c r="AK65" s="1737">
        <f t="array" ref="AK65">AK73-AK69</f>
        <v/>
      </c>
      <c r="AL65" s="1737">
        <f t="array" ref="AL65">AL73-AL69</f>
        <v/>
      </c>
      <c r="AM65" s="1737">
        <f t="array" ref="AM65">AM73-AM69</f>
        <v/>
      </c>
      <c r="AN65" s="1737">
        <f t="array" ref="AN65">AN73-AN69</f>
        <v/>
      </c>
      <c r="AO65" s="1737">
        <f t="array" ref="AO65">AO73-AO69</f>
        <v/>
      </c>
      <c r="AP65" s="1737">
        <f t="array" ref="AP65">AP73-AP69</f>
        <v/>
      </c>
      <c r="AQ65" s="1737">
        <f t="array" ref="AQ65">AQ73-AQ69</f>
        <v/>
      </c>
      <c r="AR65" s="1737">
        <f t="array" ref="AR65">AR73-AR69</f>
        <v/>
      </c>
      <c r="AS65" s="1737">
        <f t="array" ref="AS65">AS73-AS69</f>
        <v/>
      </c>
      <c r="AT65" s="1737">
        <f t="array" ref="AT65">AT73-AT69</f>
        <v/>
      </c>
      <c r="AU65" s="1737">
        <f t="array" ref="AU65">AU73-AU69</f>
        <v/>
      </c>
      <c r="AV65" s="1737">
        <f t="array" ref="AV65">AV73-AV69</f>
        <v/>
      </c>
      <c r="AW65" s="1738">
        <f t="array" ref="AW65">AW73-AW69</f>
        <v/>
      </c>
      <c r="AX65" s="1739">
        <f t="array" ref="AX65">AX73-AX69</f>
        <v/>
      </c>
      <c r="AY65" s="1739">
        <f t="array" ref="AY65">AY73-AY69</f>
        <v/>
      </c>
      <c r="AZ65" s="1739">
        <f t="array" ref="AZ65">AZ73-AZ69</f>
        <v/>
      </c>
      <c r="BA65" s="1788">
        <f t="array" ref="BA65">BA73-BA69</f>
        <v/>
      </c>
      <c r="BB65" s="1738">
        <f t="array" ref="BB65">BB73-BB69</f>
        <v/>
      </c>
      <c r="BC65" s="1739">
        <f t="array" ref="BC65">BC73-BC69</f>
        <v/>
      </c>
      <c r="BD65" s="1739">
        <f t="array" ref="BD65">BD73-BD69</f>
        <v/>
      </c>
      <c r="BE65" s="1739">
        <f t="array" ref="BE65">BE73-BE69</f>
        <v/>
      </c>
      <c r="BF65" s="1788">
        <f t="array" ref="BF65">BF73-BF69</f>
        <v/>
      </c>
      <c r="BG65" s="1737">
        <f t="array" ref="BG65">BG73-BG69</f>
        <v/>
      </c>
      <c r="BH65" s="1737">
        <f t="array" ref="BH65">BH73-BH69</f>
        <v/>
      </c>
      <c r="BI65" s="1737">
        <f t="array" ref="BI65">BI73-BI69</f>
        <v/>
      </c>
      <c r="BJ65" s="1737">
        <f t="array" ref="BJ65">BJ73-BJ69</f>
        <v/>
      </c>
      <c r="BK65" s="1737">
        <f t="array" ref="BK65">BK73-BK69</f>
        <v/>
      </c>
      <c r="BL65" s="1737">
        <f t="array" ref="BL65">BL73-BL69</f>
        <v/>
      </c>
      <c r="BM65" s="1737">
        <f t="array" ref="BM65">BM73-BM69</f>
        <v/>
      </c>
      <c r="BN65" s="1737">
        <f t="array" ref="BN65">BN73-BN69</f>
        <v/>
      </c>
      <c r="BO65" s="1737">
        <f t="array" ref="BO65">BO73-BO69</f>
        <v/>
      </c>
      <c r="BP65" s="1737">
        <f t="array" ref="BP65">BP73-BP69</f>
        <v/>
      </c>
      <c r="BQ65" s="1737">
        <f t="array" ref="BQ65">BQ73-BQ69</f>
        <v/>
      </c>
      <c r="BR65" s="1737">
        <f t="array" ref="BR65">BR73-BR69</f>
        <v/>
      </c>
      <c r="BS65" s="1737">
        <f t="array" ref="BS65">BS73-BS69</f>
        <v/>
      </c>
      <c r="BT65" s="1737">
        <f t="array" ref="BT65">BT73-BT69</f>
        <v/>
      </c>
      <c r="BU65" s="1737">
        <f t="array" ref="BU65">BU73-BU69</f>
        <v/>
      </c>
      <c r="BV65" s="1737">
        <f t="array" ref="BV65">BV73-BV69</f>
        <v/>
      </c>
      <c r="BW65" s="1737">
        <f t="array" ref="BW65">BW73-BW69</f>
        <v/>
      </c>
      <c r="BX65" s="1737">
        <f t="array" ref="BX65">BX73-BX69</f>
        <v/>
      </c>
      <c r="BY65" s="1737">
        <f t="array" ref="BY65">BY73-BY69</f>
        <v/>
      </c>
      <c r="BZ65" s="1737">
        <f t="array" ref="BZ65">BZ73-BZ69</f>
        <v/>
      </c>
      <c r="CA65" s="1743" t="n"/>
      <c r="CB65" s="225" t="inlineStr">
        <is>
          <t>Text_48</t>
        </is>
      </c>
      <c r="CC65" s="1789">
        <f t="array" ref="CC65">BD65+BE65+BG65+BH65</f>
        <v/>
      </c>
      <c r="CD65" s="701" t="n"/>
      <c r="CE65" s="701" t="n"/>
      <c r="CF65" s="701" t="n"/>
      <c r="CG65" s="701" t="n"/>
      <c r="CH65" s="701" t="n"/>
      <c r="CI65" s="701" t="n"/>
      <c r="CJ65" s="701" t="n"/>
      <c r="CK65" s="701" t="n"/>
      <c r="CL65" s="701" t="n"/>
      <c r="CM65" s="701" t="n"/>
      <c r="CN65" s="701" t="n"/>
      <c r="CO65" s="701" t="n"/>
      <c r="CP65" s="701" t="n"/>
      <c r="CQ65" s="701" t="n"/>
      <c r="CR65" s="701" t="n"/>
      <c r="CS65" s="701" t="n"/>
      <c r="CT65" s="701" t="n"/>
      <c r="CU65" s="701" t="n"/>
      <c r="CV65" s="701" t="n"/>
      <c r="CW65" s="30" t="n"/>
    </row>
    <row r="66" ht="12.75" customHeight="1" s="1676">
      <c r="A66" s="31" t="n"/>
      <c r="B66" s="103" t="inlineStr">
        <is>
          <t>Text_49</t>
        </is>
      </c>
      <c r="C66" s="699" t="n"/>
      <c r="D66" s="1713" t="n"/>
      <c r="E66" s="1713" t="n"/>
      <c r="F66" s="1713" t="n"/>
      <c r="G66" s="1713" t="n"/>
      <c r="H66" s="1714" t="n"/>
      <c r="I66" s="1715" t="n"/>
      <c r="J66" s="1715" t="n"/>
      <c r="K66" s="1715" t="n"/>
      <c r="L66" s="1715" t="n"/>
      <c r="M66" s="1761" t="n"/>
      <c r="N66" s="1761" t="n"/>
      <c r="O66" s="1761" t="n"/>
      <c r="P66" s="1761" t="n"/>
      <c r="Q66" s="1761" t="n"/>
      <c r="R66" s="1761" t="n"/>
      <c r="S66" s="1761" t="n"/>
      <c r="T66" s="1761" t="n"/>
      <c r="U66" s="1761" t="n"/>
      <c r="V66" s="1761" t="n"/>
      <c r="W66" s="1761" t="n"/>
      <c r="X66" s="1761" t="n"/>
      <c r="Y66" s="1761" t="n"/>
      <c r="Z66" s="1761" t="n"/>
      <c r="AA66" s="1761" t="n"/>
      <c r="AB66" s="1761" t="n"/>
      <c r="AC66" s="1761" t="n"/>
      <c r="AD66" s="1761" t="n"/>
      <c r="AE66" s="1761" t="n"/>
      <c r="AF66" s="1761" t="n"/>
      <c r="AG66" s="1761" t="n"/>
      <c r="AH66" s="1761" t="n"/>
      <c r="AI66" s="1761" t="n"/>
      <c r="AJ66" s="1761" t="n"/>
      <c r="AK66" s="1761" t="n"/>
      <c r="AL66" s="1761" t="n"/>
      <c r="AM66" s="1790">
        <f t="array" ref="AM66">AM65/AK65-1</f>
        <v/>
      </c>
      <c r="AN66" s="1790">
        <f t="array" ref="AN66">AN65/AM65-1</f>
        <v/>
      </c>
      <c r="AO66" s="1790">
        <f t="array" ref="AO66">AO65/AN65-1</f>
        <v/>
      </c>
      <c r="AP66" s="1790">
        <f t="array" ref="AP66">AP65/AO65-1</f>
        <v/>
      </c>
      <c r="AQ66" s="1761" t="n"/>
      <c r="AR66" s="1790">
        <f t="array" ref="AR66">AR65/AP65-1</f>
        <v/>
      </c>
      <c r="AS66" s="1790">
        <f t="array" ref="AS66">AS65/AR65-1</f>
        <v/>
      </c>
      <c r="AT66" s="1790">
        <f t="array" ref="AT66">AT65/AS65-1</f>
        <v/>
      </c>
      <c r="AU66" s="1790">
        <f t="array" ref="AU66">AU65/AT65-1</f>
        <v/>
      </c>
      <c r="AV66" s="1761" t="n"/>
      <c r="AW66" s="1791">
        <f t="array" ref="AW66">AW65/AU65-1</f>
        <v/>
      </c>
      <c r="AX66" s="1792">
        <f t="array" ref="AX66">AX65/AW65-1</f>
        <v/>
      </c>
      <c r="AY66" s="1792">
        <f t="array" ref="AY66">AY65/AX65-1</f>
        <v/>
      </c>
      <c r="AZ66" s="1792">
        <f t="array" ref="AZ66">AZ65/AY65-1</f>
        <v/>
      </c>
      <c r="BA66" s="1718" t="n"/>
      <c r="BB66" s="1793">
        <f t="array" ref="BB66">BB65/AZ65-1</f>
        <v/>
      </c>
      <c r="BC66" s="1794">
        <f t="array" ref="BC66">BC65/BB65-1</f>
        <v/>
      </c>
      <c r="BD66" s="1794">
        <f t="array" ref="BD66">BD65/BC65-1</f>
        <v/>
      </c>
      <c r="BE66" s="1794">
        <f t="array" ref="BE66">BE65/BD65-1</f>
        <v/>
      </c>
      <c r="BF66" s="1795" t="n"/>
      <c r="BG66" s="1796">
        <f t="array" ref="BG66">BG65/BE65-1</f>
        <v/>
      </c>
      <c r="BH66" s="1796">
        <f t="array" ref="BH66">BH65/BG65-1</f>
        <v/>
      </c>
      <c r="BI66" s="1790">
        <f t="array" ref="BI66">BI65/BH65-1</f>
        <v/>
      </c>
      <c r="BJ66" s="1790">
        <f t="array" ref="BJ66">BJ65/BI65-1</f>
        <v/>
      </c>
      <c r="BK66" s="1797" t="n"/>
      <c r="BL66" s="1790">
        <f t="array" ref="BL66">BL65/BJ65-1</f>
        <v/>
      </c>
      <c r="BM66" s="1790">
        <f t="array" ref="BM66">BM65/BL65-1</f>
        <v/>
      </c>
      <c r="BN66" s="1790">
        <f t="array" ref="BN66">BN65/BM65-1</f>
        <v/>
      </c>
      <c r="BO66" s="1790">
        <f t="array" ref="BO66">BO65/BN65-1</f>
        <v/>
      </c>
      <c r="BP66" s="1797" t="n"/>
      <c r="BQ66" s="1790">
        <f t="array" ref="BQ66">BQ65/BO65-1</f>
        <v/>
      </c>
      <c r="BR66" s="1790">
        <f t="array" ref="BR66">BR65/BQ65-1</f>
        <v/>
      </c>
      <c r="BS66" s="1790">
        <f t="array" ref="BS66">BS65/BR65-1</f>
        <v/>
      </c>
      <c r="BT66" s="1790">
        <f t="array" ref="BT66">BT65/BS65-1</f>
        <v/>
      </c>
      <c r="BU66" s="1797" t="n"/>
      <c r="BV66" s="1790">
        <f t="array" ref="BV66">BV65/BT65-1</f>
        <v/>
      </c>
      <c r="BW66" s="1790">
        <f t="array" ref="BW66">BW65/BV65-1</f>
        <v/>
      </c>
      <c r="BX66" s="1790">
        <f t="array" ref="BX66">BX65/BW65-1</f>
        <v/>
      </c>
      <c r="BY66" s="1790">
        <f t="array" ref="BY66">BY65/BX65-1</f>
        <v/>
      </c>
      <c r="BZ66" s="1797" t="n"/>
      <c r="CA66" s="235" t="n"/>
      <c r="CB66" s="1785" t="n"/>
      <c r="CC66" s="1789">
        <f t="array" ref="CC66">AY65+AZ65+BB65+BC65</f>
        <v/>
      </c>
      <c r="CD66" s="701" t="n"/>
      <c r="CE66" s="701" t="n"/>
      <c r="CF66" s="701" t="n"/>
      <c r="CG66" s="701" t="n"/>
      <c r="CH66" s="701" t="n"/>
      <c r="CI66" s="701" t="n"/>
      <c r="CJ66" s="701" t="n"/>
      <c r="CK66" s="701" t="n"/>
      <c r="CL66" s="701" t="n"/>
      <c r="CM66" s="701" t="n"/>
      <c r="CN66" s="701" t="n"/>
      <c r="CO66" s="701" t="n"/>
      <c r="CP66" s="701" t="n"/>
      <c r="CQ66" s="701" t="n"/>
      <c r="CR66" s="701" t="n"/>
      <c r="CS66" s="701" t="n"/>
      <c r="CT66" s="701" t="n"/>
      <c r="CU66" s="701" t="n"/>
      <c r="CV66" s="701" t="n"/>
      <c r="CW66" s="30" t="n"/>
    </row>
    <row r="67" ht="12.75" customHeight="1" s="1676">
      <c r="A67" s="31" t="n"/>
      <c r="B67" s="103" t="inlineStr">
        <is>
          <t>Text_24</t>
        </is>
      </c>
      <c r="C67" s="699" t="n"/>
      <c r="D67" s="1713" t="n"/>
      <c r="E67" s="1713" t="n"/>
      <c r="F67" s="1713" t="n"/>
      <c r="G67" s="1713" t="n"/>
      <c r="H67" s="1714" t="n"/>
      <c r="I67" s="1719" t="n"/>
      <c r="J67" s="1719" t="n"/>
      <c r="K67" s="1719" t="n"/>
      <c r="L67" s="1719" t="n"/>
      <c r="M67" s="1720" t="n"/>
      <c r="N67" s="1720" t="n"/>
      <c r="O67" s="1720" t="n"/>
      <c r="P67" s="1720" t="n"/>
      <c r="Q67" s="1720" t="n"/>
      <c r="R67" s="1720">
        <f t="array" ref="R67">R65/M65-1</f>
        <v/>
      </c>
      <c r="S67" s="1720">
        <f t="array" ref="S67">S65/N65-1</f>
        <v/>
      </c>
      <c r="T67" s="1720">
        <f t="array" ref="T67">T65/O65-1</f>
        <v/>
      </c>
      <c r="U67" s="1720">
        <f t="array" ref="U67">U65/P65-1</f>
        <v/>
      </c>
      <c r="V67" s="1720">
        <f t="array" ref="V67">V65/Q65-1</f>
        <v/>
      </c>
      <c r="W67" s="1720">
        <f t="array" ref="W67">W65/R65-1</f>
        <v/>
      </c>
      <c r="X67" s="1720">
        <f t="array" ref="X67">X65/S65-1</f>
        <v/>
      </c>
      <c r="Y67" s="1720">
        <f t="array" ref="Y67">Y65/T65-1</f>
        <v/>
      </c>
      <c r="Z67" s="1720">
        <f t="array" ref="Z67">Z65/U65-1</f>
        <v/>
      </c>
      <c r="AA67" s="1720">
        <f t="array" ref="AA67">AA65/V65-1</f>
        <v/>
      </c>
      <c r="AB67" s="1720">
        <f t="array" ref="AB67">AB65/W65-1</f>
        <v/>
      </c>
      <c r="AC67" s="1720">
        <f t="array" ref="AC67">AC65/X65-1</f>
        <v/>
      </c>
      <c r="AD67" s="1720">
        <f t="array" ref="AD67">AD65/Y65-1</f>
        <v/>
      </c>
      <c r="AE67" s="1720">
        <f t="array" ref="AE67">AE65/Z65-1</f>
        <v/>
      </c>
      <c r="AF67" s="1720">
        <f t="array" ref="AF67">AF65/AA65-1</f>
        <v/>
      </c>
      <c r="AG67" s="1720">
        <f t="array" ref="AG67">AG65/AB65-1</f>
        <v/>
      </c>
      <c r="AH67" s="1720">
        <f t="array" ref="AH67">AH65/AC65-1</f>
        <v/>
      </c>
      <c r="AI67" s="1720">
        <f t="array" ref="AI67">AI65/AD65-1</f>
        <v/>
      </c>
      <c r="AJ67" s="1720">
        <f t="array" ref="AJ67">AJ65/AE65-1</f>
        <v/>
      </c>
      <c r="AK67" s="1720">
        <f t="array" ref="AK67">AK65/AF65-1</f>
        <v/>
      </c>
      <c r="AL67" s="1720">
        <f t="array" ref="AL67">AL65/AG65-1</f>
        <v/>
      </c>
      <c r="AM67" s="1720">
        <f t="array" ref="AM67">AM65/AH65-1</f>
        <v/>
      </c>
      <c r="AN67" s="1720">
        <f t="array" ref="AN67">AN65/AI65-1</f>
        <v/>
      </c>
      <c r="AO67" s="1720">
        <f t="array" ref="AO67">AO65/AJ65-1</f>
        <v/>
      </c>
      <c r="AP67" s="1720">
        <f t="array" ref="AP67">AP65/AK65-1</f>
        <v/>
      </c>
      <c r="AQ67" s="1720">
        <f t="array" ref="AQ67">AQ65/AL65-1</f>
        <v/>
      </c>
      <c r="AR67" s="1720">
        <f t="array" ref="AR67">AR65/AM65-1</f>
        <v/>
      </c>
      <c r="AS67" s="1720">
        <f t="array" ref="AS67">AS65/AN65-1</f>
        <v/>
      </c>
      <c r="AT67" s="1720">
        <f t="array" ref="AT67">AT65/AO65-1</f>
        <v/>
      </c>
      <c r="AU67" s="1720">
        <f t="array" ref="AU67">AU65/AP65-1</f>
        <v/>
      </c>
      <c r="AV67" s="1720">
        <f t="array" ref="AV67">AV65/AQ65-1</f>
        <v/>
      </c>
      <c r="AW67" s="1721">
        <f t="array" ref="AW67">AW65/AR65-1</f>
        <v/>
      </c>
      <c r="AX67" s="1722">
        <f t="array" ref="AX67">AX65/AS65-1</f>
        <v/>
      </c>
      <c r="AY67" s="1722">
        <f t="array" ref="AY67">AY65/AT65-1</f>
        <v/>
      </c>
      <c r="AZ67" s="1722">
        <f t="array" ref="AZ67">AZ65/AU65-1</f>
        <v/>
      </c>
      <c r="BA67" s="1723">
        <f t="array" ref="BA67">BA65/AV65-1</f>
        <v/>
      </c>
      <c r="BB67" s="1767">
        <f t="array" ref="BB67">BB65/AW65-1</f>
        <v/>
      </c>
      <c r="BC67" s="1766">
        <f t="array" ref="BC67">BC65/AX65-1</f>
        <v/>
      </c>
      <c r="BD67" s="1722">
        <f t="array" ref="BD67">BD65/AY65-1</f>
        <v/>
      </c>
      <c r="BE67" s="1722">
        <f t="array" ref="BE67">BE65/AZ65-1</f>
        <v/>
      </c>
      <c r="BF67" s="1798">
        <f t="array" ref="BF67">BF65/BA65-1</f>
        <v/>
      </c>
      <c r="BG67" s="1720">
        <f t="array" ref="BG67">BG65/BB65-1</f>
        <v/>
      </c>
      <c r="BH67" s="1720">
        <f t="array" ref="BH67">BH65/BC65-1</f>
        <v/>
      </c>
      <c r="BI67" s="1799">
        <f t="array" ref="BI67">BI65/BD65-1</f>
        <v/>
      </c>
      <c r="BJ67" s="1799">
        <f t="array" ref="BJ67">BJ65/BE65-1</f>
        <v/>
      </c>
      <c r="BK67" s="1799">
        <f t="array" ref="BK67">BK65/BF65-1</f>
        <v/>
      </c>
      <c r="BL67" s="1799">
        <f t="array" ref="BL67">BL65/BG65-1</f>
        <v/>
      </c>
      <c r="BM67" s="1799">
        <f t="array" ref="BM67">BM65/BH65-1</f>
        <v/>
      </c>
      <c r="BN67" s="1799">
        <f t="array" ref="BN67">BN65/BI65-1</f>
        <v/>
      </c>
      <c r="BO67" s="1799">
        <f t="array" ref="BO67">BO65/BJ65-1</f>
        <v/>
      </c>
      <c r="BP67" s="1799">
        <f t="array" ref="BP67">BP65/BK65-1</f>
        <v/>
      </c>
      <c r="BQ67" s="1799">
        <f t="array" ref="BQ67">BQ65/BL65-1</f>
        <v/>
      </c>
      <c r="BR67" s="1799">
        <f t="array" ref="BR67">BR65/BM65-1</f>
        <v/>
      </c>
      <c r="BS67" s="1799">
        <f t="array" ref="BS67">BS65/BN65-1</f>
        <v/>
      </c>
      <c r="BT67" s="1799">
        <f t="array" ref="BT67">BT65/BO65-1</f>
        <v/>
      </c>
      <c r="BU67" s="1799">
        <f t="array" ref="BU67">BU65/BP65-1</f>
        <v/>
      </c>
      <c r="BV67" s="1799">
        <f t="array" ref="BV67">BV65/BQ65-1</f>
        <v/>
      </c>
      <c r="BW67" s="1799">
        <f t="array" ref="BW67">BW65/BR65-1</f>
        <v/>
      </c>
      <c r="BX67" s="1799">
        <f t="array" ref="BX67">BX65/BS65-1</f>
        <v/>
      </c>
      <c r="BY67" s="1799">
        <f t="array" ref="BY67">BY65/BT65-1</f>
        <v/>
      </c>
      <c r="BZ67" s="1799">
        <f t="array" ref="BZ67">BZ65/BU65-1</f>
        <v/>
      </c>
      <c r="CA67" s="238" t="inlineStr">
        <is>
          <t>Text_50</t>
        </is>
      </c>
      <c r="CB67" s="1785" t="n"/>
      <c r="CC67" s="1800">
        <f t="array" ref="CC67">CC65/CC66-1</f>
        <v/>
      </c>
      <c r="CD67" s="701" t="n"/>
      <c r="CE67" s="701" t="n"/>
      <c r="CF67" s="701" t="n"/>
      <c r="CG67" s="701" t="n"/>
      <c r="CH67" s="701" t="n"/>
      <c r="CI67" s="701" t="n"/>
      <c r="CJ67" s="701" t="n"/>
      <c r="CK67" s="701" t="n"/>
      <c r="CL67" s="701" t="n"/>
      <c r="CM67" s="701" t="n"/>
      <c r="CN67" s="701" t="n"/>
      <c r="CO67" s="701" t="n"/>
      <c r="CP67" s="701" t="n"/>
      <c r="CQ67" s="701" t="n"/>
      <c r="CR67" s="701" t="n"/>
      <c r="CS67" s="701" t="n"/>
      <c r="CT67" s="701" t="n"/>
      <c r="CU67" s="701" t="n"/>
      <c r="CV67" s="701" t="n"/>
      <c r="CW67" s="30" t="n"/>
    </row>
    <row r="68" ht="12.75" customHeight="1" s="1676">
      <c r="A68" s="31" t="n"/>
      <c r="B68" s="196" t="inlineStr">
        <is>
          <t>Text_25</t>
        </is>
      </c>
      <c r="C68" s="805" t="n"/>
      <c r="D68" s="1726" t="n"/>
      <c r="E68" s="1726" t="n"/>
      <c r="F68" s="1726" t="n"/>
      <c r="G68" s="1726" t="n"/>
      <c r="H68" s="1727" t="n"/>
      <c r="I68" s="197">
        <f t="array" ref="I68">I65/I$73</f>
        <v/>
      </c>
      <c r="J68" s="197">
        <f t="array" ref="J68">J65/J$73</f>
        <v/>
      </c>
      <c r="K68" s="197">
        <f t="array" ref="K68">K65/K$73</f>
        <v/>
      </c>
      <c r="L68" s="197">
        <f t="array" ref="L68">L65/L$73</f>
        <v/>
      </c>
      <c r="M68" s="197">
        <f t="array" ref="M68">M65/M$73</f>
        <v/>
      </c>
      <c r="N68" s="197">
        <f t="array" ref="N68">N65/N$73</f>
        <v/>
      </c>
      <c r="O68" s="197">
        <f t="array" ref="O68">O65/O$73</f>
        <v/>
      </c>
      <c r="P68" s="197">
        <f t="array" ref="P68">P65/P$73</f>
        <v/>
      </c>
      <c r="Q68" s="197">
        <f t="array" ref="Q68">Q65/Q$73</f>
        <v/>
      </c>
      <c r="R68" s="197">
        <f t="array" ref="R68">R65/R$73</f>
        <v/>
      </c>
      <c r="S68" s="197">
        <f t="array" ref="S68">S65/S$73</f>
        <v/>
      </c>
      <c r="T68" s="197">
        <f t="array" ref="T68">T65/T$73</f>
        <v/>
      </c>
      <c r="U68" s="197">
        <f t="array" ref="U68">U65/U$73</f>
        <v/>
      </c>
      <c r="V68" s="197">
        <f t="array" ref="V68">V65/V$73</f>
        <v/>
      </c>
      <c r="W68" s="197">
        <f t="array" ref="W68">W65/W$73</f>
        <v/>
      </c>
      <c r="X68" s="197">
        <f t="array" ref="X68">X65/X$73</f>
        <v/>
      </c>
      <c r="Y68" s="197">
        <f t="array" ref="Y68">Y65/Y$73</f>
        <v/>
      </c>
      <c r="Z68" s="197">
        <f t="array" ref="Z68">Z65/Z$73</f>
        <v/>
      </c>
      <c r="AA68" s="197">
        <f t="array" ref="AA68">AA65/AA$73</f>
        <v/>
      </c>
      <c r="AB68" s="197">
        <f t="array" ref="AB68">AB65/AB$73</f>
        <v/>
      </c>
      <c r="AC68" s="197">
        <f t="array" ref="AC68">AC65/AC$73</f>
        <v/>
      </c>
      <c r="AD68" s="197">
        <f t="array" ref="AD68">AD65/AD$73</f>
        <v/>
      </c>
      <c r="AE68" s="197">
        <f t="array" ref="AE68">AE65/AE$73</f>
        <v/>
      </c>
      <c r="AF68" s="197">
        <f t="array" ref="AF68">AF65/AF$73</f>
        <v/>
      </c>
      <c r="AG68" s="197">
        <f t="array" ref="AG68">AG65/AG$73</f>
        <v/>
      </c>
      <c r="AH68" s="197">
        <f t="array" ref="AH68">AH65/AH$73</f>
        <v/>
      </c>
      <c r="AI68" s="197">
        <f t="array" ref="AI68">AI65/AI$73</f>
        <v/>
      </c>
      <c r="AJ68" s="197">
        <f t="array" ref="AJ68">AJ65/AJ$73</f>
        <v/>
      </c>
      <c r="AK68" s="197">
        <f t="array" ref="AK68">AK65/AK$73</f>
        <v/>
      </c>
      <c r="AL68" s="197">
        <f t="array" ref="AL68">AL65/AL$73</f>
        <v/>
      </c>
      <c r="AM68" s="197">
        <f t="array" ref="AM68">AM65/AM$73</f>
        <v/>
      </c>
      <c r="AN68" s="197">
        <f t="array" ref="AN68">AN65/AN$73</f>
        <v/>
      </c>
      <c r="AO68" s="197">
        <f t="array" ref="AO68">AO65/AO$73</f>
        <v/>
      </c>
      <c r="AP68" s="197">
        <f t="array" ref="AP68">AP65/AP$73</f>
        <v/>
      </c>
      <c r="AQ68" s="197">
        <f t="array" ref="AQ68">AQ65/AQ$73</f>
        <v/>
      </c>
      <c r="AR68" s="197">
        <f t="array" ref="AR68">AR65/AR$73</f>
        <v/>
      </c>
      <c r="AS68" s="197">
        <f t="array" ref="AS68">AS65/AS$73</f>
        <v/>
      </c>
      <c r="AT68" s="197">
        <f t="array" ref="AT68">AT65/AT$73</f>
        <v/>
      </c>
      <c r="AU68" s="197">
        <f t="array" ref="AU68">AU65/AU$73</f>
        <v/>
      </c>
      <c r="AV68" s="197">
        <f t="array" ref="AV68">AV65/AV$73</f>
        <v/>
      </c>
      <c r="AW68" s="198">
        <f t="array" ref="AW68">AW65/AW$73</f>
        <v/>
      </c>
      <c r="AX68" s="199">
        <f t="array" ref="AX68">AX65/AX$73</f>
        <v/>
      </c>
      <c r="AY68" s="199">
        <f t="array" ref="AY68">AY65/AY$73</f>
        <v/>
      </c>
      <c r="AZ68" s="199">
        <f t="array" ref="AZ68">AZ65/AZ$73</f>
        <v/>
      </c>
      <c r="BA68" s="200">
        <f t="array" ref="BA68">BA65/BA$73</f>
        <v/>
      </c>
      <c r="BB68" s="198">
        <f t="array" ref="BB68">BB65/BB$73</f>
        <v/>
      </c>
      <c r="BC68" s="199">
        <f t="array" ref="BC68">BC65/BC$73</f>
        <v/>
      </c>
      <c r="BD68" s="199">
        <f t="array" ref="BD68">BD65/BD$73</f>
        <v/>
      </c>
      <c r="BE68" s="199">
        <f t="array" ref="BE68">BE65/BE$73</f>
        <v/>
      </c>
      <c r="BF68" s="240">
        <f t="array" ref="BF68">BF65/BF$73</f>
        <v/>
      </c>
      <c r="BG68" s="241">
        <f t="array" ref="BG68">BG65/BG$73</f>
        <v/>
      </c>
      <c r="BH68" s="241">
        <f t="array" ref="BH68">BH65/BH$73</f>
        <v/>
      </c>
      <c r="BI68" s="241">
        <f t="array" ref="BI68">BI65/BI$73</f>
        <v/>
      </c>
      <c r="BJ68" s="241">
        <f t="array" ref="BJ68">BJ65/BJ$73</f>
        <v/>
      </c>
      <c r="BK68" s="241">
        <f t="array" ref="BK68">BK65/BK$73</f>
        <v/>
      </c>
      <c r="BL68" s="241">
        <f t="array" ref="BL68">BL65/BL$73</f>
        <v/>
      </c>
      <c r="BM68" s="241">
        <f t="array" ref="BM68">BM65/BM$73</f>
        <v/>
      </c>
      <c r="BN68" s="241">
        <f t="array" ref="BN68">BN65/BN$73</f>
        <v/>
      </c>
      <c r="BO68" s="241">
        <f t="array" ref="BO68">BO65/BO$73</f>
        <v/>
      </c>
      <c r="BP68" s="241">
        <f t="array" ref="BP68">BP65/BP$73</f>
        <v/>
      </c>
      <c r="BQ68" s="241">
        <f t="array" ref="BQ68">BQ65/BQ$73</f>
        <v/>
      </c>
      <c r="BR68" s="241">
        <f t="array" ref="BR68">BR65/BR$73</f>
        <v/>
      </c>
      <c r="BS68" s="241">
        <f t="array" ref="BS68">BS65/BS$73</f>
        <v/>
      </c>
      <c r="BT68" s="241">
        <f t="array" ref="BT68">BT65/BT$73</f>
        <v/>
      </c>
      <c r="BU68" s="241">
        <f t="array" ref="BU68">BU65/BU$73</f>
        <v/>
      </c>
      <c r="BV68" s="241">
        <f t="array" ref="BV68">BV65/BV$73</f>
        <v/>
      </c>
      <c r="BW68" s="241">
        <f t="array" ref="BW68">BW65/BW$73</f>
        <v/>
      </c>
      <c r="BX68" s="241">
        <f t="array" ref="BX68">BX65/BX$73</f>
        <v/>
      </c>
      <c r="BY68" s="241">
        <f t="array" ref="BY68">BY65/BY$73</f>
        <v/>
      </c>
      <c r="BZ68" s="241">
        <f t="array" ref="BZ68">BZ65/BZ$73</f>
        <v/>
      </c>
      <c r="CA68" s="1786" t="n"/>
      <c r="CB68" s="1787" t="n"/>
      <c r="CC68" s="456" t="n"/>
      <c r="CD68" s="701" t="n"/>
      <c r="CE68" s="701" t="n"/>
      <c r="CF68" s="701" t="n"/>
      <c r="CG68" s="701" t="n"/>
      <c r="CH68" s="701" t="n"/>
      <c r="CI68" s="701" t="n"/>
      <c r="CJ68" s="701" t="n"/>
      <c r="CK68" s="701" t="n"/>
      <c r="CL68" s="701" t="n"/>
      <c r="CM68" s="701" t="n"/>
      <c r="CN68" s="701" t="n"/>
      <c r="CO68" s="701" t="n"/>
      <c r="CP68" s="701" t="n"/>
      <c r="CQ68" s="701" t="n"/>
      <c r="CR68" s="701" t="n"/>
      <c r="CS68" s="701" t="n"/>
      <c r="CT68" s="701" t="n"/>
      <c r="CU68" s="701" t="n"/>
      <c r="CV68" s="701" t="n"/>
      <c r="CW68" s="30" t="n"/>
    </row>
    <row r="69" ht="12.75" customHeight="1" s="1676">
      <c r="A69" s="31" t="n"/>
      <c r="B69" s="242" t="inlineStr">
        <is>
          <t>Text_51</t>
        </is>
      </c>
      <c r="C69" s="33" t="n"/>
      <c r="D69" s="1735" t="n"/>
      <c r="E69" s="1735" t="n"/>
      <c r="F69" s="1735" t="n"/>
      <c r="G69" s="1735" t="n"/>
      <c r="H69" s="1736" t="n"/>
      <c r="I69" s="1801" t="n">
        <v>208.633026215142</v>
      </c>
      <c r="J69" s="1801" t="n">
        <v>200.984793560308</v>
      </c>
      <c r="K69" s="1801" t="n">
        <v>168.646035721358</v>
      </c>
      <c r="L69" s="1801" t="n">
        <v>284.853382268883</v>
      </c>
      <c r="M69" s="1737">
        <f t="array" ref="M69">L69+K69+J69+I69</f>
        <v/>
      </c>
      <c r="N69" s="1801" t="n">
        <v>211.895817589182</v>
      </c>
      <c r="O69" s="1801" t="n">
        <v>233.376423641962</v>
      </c>
      <c r="P69" s="1801" t="n">
        <v>230.294808878765</v>
      </c>
      <c r="Q69" s="1801" t="n">
        <v>278.427927307868</v>
      </c>
      <c r="R69" s="1737">
        <f t="array" ref="R69">Q69+P69+O69+N69</f>
        <v/>
      </c>
      <c r="S69" s="1801" t="n">
        <v>267.222281541747</v>
      </c>
      <c r="T69" s="1801" t="n">
        <v>279.890196685076</v>
      </c>
      <c r="U69" s="1801" t="n">
        <v>305.542542705229</v>
      </c>
      <c r="V69" s="1801" t="n">
        <v>277.747518324103</v>
      </c>
      <c r="W69" s="1737">
        <f t="array" ref="W69">V69+U69+T69+S69</f>
        <v/>
      </c>
      <c r="X69" s="1801" t="n">
        <v>233.303348865595</v>
      </c>
      <c r="Y69" s="1801" t="n">
        <v>236.291084810347</v>
      </c>
      <c r="Z69" s="1801" t="n">
        <v>314.417211384689</v>
      </c>
      <c r="AA69" s="1801" t="n">
        <v>303.36901102369</v>
      </c>
      <c r="AB69" s="1737">
        <f t="array" ref="AB69">AA69+Z69+Y69+X69</f>
        <v/>
      </c>
      <c r="AC69" s="1801" t="n">
        <v>383.97932707009</v>
      </c>
      <c r="AD69" s="1801" t="n">
        <v>323.092767580301</v>
      </c>
      <c r="AE69" s="1801" t="n">
        <v>318.746624157546</v>
      </c>
      <c r="AF69" s="1801" t="n">
        <v>309.434060646587</v>
      </c>
      <c r="AG69" s="1737">
        <f t="array" ref="AG69">AF69+AE69+AD69+AC69</f>
        <v/>
      </c>
      <c r="AH69" s="1801" t="n">
        <v>367.277291274195</v>
      </c>
      <c r="AI69" s="1801" t="n">
        <v>427.854401868385</v>
      </c>
      <c r="AJ69" s="1801" t="n">
        <v>409.985655142046</v>
      </c>
      <c r="AK69" s="1801" t="n">
        <v>432.692590462239</v>
      </c>
      <c r="AL69" s="1801" t="n">
        <v>1949.75689107792</v>
      </c>
      <c r="AM69" s="1801" t="n">
        <v>426.396227702091</v>
      </c>
      <c r="AN69" s="1801" t="n">
        <v>459.417500802816</v>
      </c>
      <c r="AO69" s="1801" t="n">
        <v>543.387996927558</v>
      </c>
      <c r="AP69" s="1801" t="n">
        <v>490.454397636274</v>
      </c>
      <c r="AQ69" s="1801" t="n">
        <v>2003.75145875354</v>
      </c>
      <c r="AR69" s="1801" t="n">
        <v>605.464345856364</v>
      </c>
      <c r="AS69" s="1801" t="n">
        <v>614.065417872282</v>
      </c>
      <c r="AT69" s="1801" t="n">
        <v>454.427243409238</v>
      </c>
      <c r="AU69" s="1801" t="n">
        <v>630.972291984818</v>
      </c>
      <c r="AV69" s="1801" t="n">
        <v>2110.35497922179</v>
      </c>
      <c r="AW69" s="1802" t="n">
        <v>506.11050592352</v>
      </c>
      <c r="AX69" s="1803" t="n">
        <v>555.68303760274</v>
      </c>
      <c r="AY69" s="1803" t="n">
        <v>703.287687767373</v>
      </c>
      <c r="AZ69" s="1803" t="n">
        <v>612.187003884649</v>
      </c>
      <c r="BA69" s="1788">
        <f t="array" ref="BA69">AW69+AX69+AY69+AZ69</f>
        <v/>
      </c>
      <c r="BB69" s="1802" t="n">
        <v>599.886414810062</v>
      </c>
      <c r="BC69" s="1803" t="n">
        <v>703.001105104634</v>
      </c>
      <c r="BD69" s="1739">
        <f t="array" ref="BD69">AY69*(1+BD71)</f>
        <v/>
      </c>
      <c r="BE69" s="1739">
        <f t="array" ref="BE69">AZ69*(1+BE71)</f>
        <v/>
      </c>
      <c r="BF69" s="1788">
        <f t="array" ref="BF69">BB69+BC69+BD69+BE69</f>
        <v/>
      </c>
      <c r="BG69" s="1737">
        <f t="array" ref="BG69">BB69*(1+BG71)</f>
        <v/>
      </c>
      <c r="BH69" s="1737">
        <f t="array" ref="BH69">BC69*(1+BH71)</f>
        <v/>
      </c>
      <c r="BI69" s="1737">
        <f t="array" ref="BI69">BD69*(1+BI71)</f>
        <v/>
      </c>
      <c r="BJ69" s="1737">
        <f t="array" ref="BJ69">BE69*(1+BJ71)</f>
        <v/>
      </c>
      <c r="BK69" s="1737">
        <f t="array" ref="BK69">BG69+BH69+BI69+BJ69</f>
        <v/>
      </c>
      <c r="BL69" s="1737">
        <f t="array" ref="BL69">BG69*(1+BL71)</f>
        <v/>
      </c>
      <c r="BM69" s="1737">
        <f t="array" ref="BM69">BH69*(1+BM71)</f>
        <v/>
      </c>
      <c r="BN69" s="1737">
        <f t="array" ref="BN69">BI69*(1+BN71)</f>
        <v/>
      </c>
      <c r="BO69" s="1737">
        <f t="array" ref="BO69">BJ69*(1+BO71)</f>
        <v/>
      </c>
      <c r="BP69" s="1737">
        <f t="array" ref="BP69">BL69+BM69+BN69+BO69</f>
        <v/>
      </c>
      <c r="BQ69" s="1737">
        <f t="array" ref="BQ69">BL69*(1+BQ71)</f>
        <v/>
      </c>
      <c r="BR69" s="1737">
        <f t="array" ref="BR69">BM69*(1+BR71)</f>
        <v/>
      </c>
      <c r="BS69" s="1737">
        <f t="array" ref="BS69">BN69*(1+BS71)</f>
        <v/>
      </c>
      <c r="BT69" s="1737">
        <f t="array" ref="BT69">BO69*(1+BT71)</f>
        <v/>
      </c>
      <c r="BU69" s="1737">
        <f t="array" ref="BU69">BQ69+BR69+BS69+BT69</f>
        <v/>
      </c>
      <c r="BV69" s="1737">
        <f t="array" ref="BV69">BQ69*(1+BV71)</f>
        <v/>
      </c>
      <c r="BW69" s="1737">
        <f t="array" ref="BW69">BR69*(1+BW71)</f>
        <v/>
      </c>
      <c r="BX69" s="1737">
        <f t="array" ref="BX69">BS69*(1+BX71)</f>
        <v/>
      </c>
      <c r="BY69" s="1737">
        <f t="array" ref="BY69">BT69*(1+BY71)</f>
        <v/>
      </c>
      <c r="BZ69" s="1737">
        <f t="array" ref="BZ69">BV69+BW69+BX69+BY69</f>
        <v/>
      </c>
      <c r="CA69" s="246" t="inlineStr">
        <is>
          <t>Text_52</t>
        </is>
      </c>
      <c r="CB69" s="189" t="inlineStr">
        <is>
          <t>Text_53</t>
        </is>
      </c>
      <c r="CC69" s="456" t="n"/>
      <c r="CD69" s="701" t="n"/>
      <c r="CE69" s="701" t="n"/>
      <c r="CF69" s="701" t="n"/>
      <c r="CG69" s="701" t="n"/>
      <c r="CH69" s="701" t="n"/>
      <c r="CI69" s="701" t="n"/>
      <c r="CJ69" s="701" t="n"/>
      <c r="CK69" s="701" t="n"/>
      <c r="CL69" s="701" t="n"/>
      <c r="CM69" s="701" t="n"/>
      <c r="CN69" s="701" t="n"/>
      <c r="CO69" s="701" t="n"/>
      <c r="CP69" s="701" t="n"/>
      <c r="CQ69" s="701" t="n"/>
      <c r="CR69" s="701" t="n"/>
      <c r="CS69" s="701" t="n"/>
      <c r="CT69" s="701" t="n"/>
      <c r="CU69" s="701" t="n"/>
      <c r="CV69" s="701" t="n"/>
      <c r="CW69" s="30" t="n"/>
    </row>
    <row r="70" ht="12.75" customHeight="1" s="1676">
      <c r="A70" s="31" t="n"/>
      <c r="B70" s="103" t="inlineStr">
        <is>
          <t>Text_49</t>
        </is>
      </c>
      <c r="C70" s="699" t="n"/>
      <c r="D70" s="1713" t="n"/>
      <c r="E70" s="1713" t="n"/>
      <c r="F70" s="1713" t="n"/>
      <c r="G70" s="1713" t="n"/>
      <c r="H70" s="1714" t="n"/>
      <c r="I70" s="1715" t="n"/>
      <c r="J70" s="1715" t="n"/>
      <c r="K70" s="1715" t="n"/>
      <c r="L70" s="1715" t="n"/>
      <c r="M70" s="1761" t="n"/>
      <c r="N70" s="1761" t="n"/>
      <c r="O70" s="1761" t="n"/>
      <c r="P70" s="1761" t="n"/>
      <c r="Q70" s="1761" t="n"/>
      <c r="R70" s="1761" t="n"/>
      <c r="S70" s="1761" t="n"/>
      <c r="T70" s="1761" t="n"/>
      <c r="U70" s="1761" t="n"/>
      <c r="V70" s="1761" t="n"/>
      <c r="W70" s="1761" t="n"/>
      <c r="X70" s="1761" t="n"/>
      <c r="Y70" s="1761" t="n"/>
      <c r="Z70" s="1761" t="n"/>
      <c r="AA70" s="1761" t="n"/>
      <c r="AB70" s="1761" t="n"/>
      <c r="AC70" s="1761" t="n"/>
      <c r="AD70" s="1761" t="n"/>
      <c r="AE70" s="1761" t="n"/>
      <c r="AF70" s="1761" t="n"/>
      <c r="AG70" s="1761" t="n"/>
      <c r="AH70" s="1761" t="n"/>
      <c r="AI70" s="1761" t="n"/>
      <c r="AJ70" s="1761" t="n"/>
      <c r="AK70" s="1761" t="n"/>
      <c r="AL70" s="1761" t="n"/>
      <c r="AM70" s="1790">
        <f t="array" ref="AM70">AM69/AK69-1</f>
        <v/>
      </c>
      <c r="AN70" s="1790">
        <f t="array" ref="AN70">AN69/AM69-1</f>
        <v/>
      </c>
      <c r="AO70" s="1790">
        <f t="array" ref="AO70">AO69/AN69-1</f>
        <v/>
      </c>
      <c r="AP70" s="1790">
        <f t="array" ref="AP70">AP69/AO69-1</f>
        <v/>
      </c>
      <c r="AQ70" s="1761" t="n"/>
      <c r="AR70" s="1790">
        <f t="array" ref="AR70">AR69/AP69-1</f>
        <v/>
      </c>
      <c r="AS70" s="1790">
        <f t="array" ref="AS70">AS69/AR69-1</f>
        <v/>
      </c>
      <c r="AT70" s="1790">
        <f t="array" ref="AT70">AT69/AS69-1</f>
        <v/>
      </c>
      <c r="AU70" s="1790">
        <f t="array" ref="AU70">AU69/AT69-1</f>
        <v/>
      </c>
      <c r="AV70" s="1761" t="n"/>
      <c r="AW70" s="1791">
        <f t="array" ref="AW70">AW69/AU69-1</f>
        <v/>
      </c>
      <c r="AX70" s="1792">
        <f t="array" ref="AX70">AX69/AW69-1</f>
        <v/>
      </c>
      <c r="AY70" s="1792">
        <f t="array" ref="AY70">AY69/AX69-1</f>
        <v/>
      </c>
      <c r="AZ70" s="1792">
        <f t="array" ref="AZ70">AZ69/AY69-1</f>
        <v/>
      </c>
      <c r="BA70" s="1718" t="n"/>
      <c r="BB70" s="1791">
        <f t="array" ref="BB70">BB69/BA69-1</f>
        <v/>
      </c>
      <c r="BC70" s="1792">
        <f t="array" ref="BC70">BC69/BB69-1</f>
        <v/>
      </c>
      <c r="BD70" s="1792">
        <f t="array" ref="BD70">BD69/BC69-1</f>
        <v/>
      </c>
      <c r="BE70" s="1792">
        <f t="array" ref="BE70">BE69/BD69-1</f>
        <v/>
      </c>
      <c r="BF70" s="1795" t="n"/>
      <c r="BG70" s="1790">
        <f t="array" ref="BG70">BG69/BE69-1</f>
        <v/>
      </c>
      <c r="BH70" s="1790">
        <f t="array" ref="BH70">BH69/BG69-1</f>
        <v/>
      </c>
      <c r="BI70" s="1790">
        <f t="array" ref="BI70">BI69/BH69-1</f>
        <v/>
      </c>
      <c r="BJ70" s="1790">
        <f t="array" ref="BJ70">BJ69/BI69-1</f>
        <v/>
      </c>
      <c r="BK70" s="1797" t="n"/>
      <c r="BL70" s="1790">
        <f t="array" ref="BL70">BL69/BJ69-1</f>
        <v/>
      </c>
      <c r="BM70" s="1790">
        <f t="array" ref="BM70">BM69/BL69-1</f>
        <v/>
      </c>
      <c r="BN70" s="1790">
        <f t="array" ref="BN70">BN69/BM69-1</f>
        <v/>
      </c>
      <c r="BO70" s="1790">
        <f t="array" ref="BO70">BO69/BN69-1</f>
        <v/>
      </c>
      <c r="BP70" s="1797" t="n"/>
      <c r="BQ70" s="1790">
        <f t="array" ref="BQ70">BQ69/BO69-1</f>
        <v/>
      </c>
      <c r="BR70" s="1790">
        <f t="array" ref="BR70">BR69/BQ69-1</f>
        <v/>
      </c>
      <c r="BS70" s="1790">
        <f t="array" ref="BS70">BS69/BR69-1</f>
        <v/>
      </c>
      <c r="BT70" s="1790">
        <f t="array" ref="BT70">BT69/BS69-1</f>
        <v/>
      </c>
      <c r="BU70" s="1797" t="n"/>
      <c r="BV70" s="1790">
        <f t="array" ref="BV70">BV69/BT69-1</f>
        <v/>
      </c>
      <c r="BW70" s="1790">
        <f t="array" ref="BW70">BW69/BV69-1</f>
        <v/>
      </c>
      <c r="BX70" s="1790">
        <f t="array" ref="BX70">BX69/BW69-1</f>
        <v/>
      </c>
      <c r="BY70" s="1790">
        <f t="array" ref="BY70">BY69/BX69-1</f>
        <v/>
      </c>
      <c r="BZ70" s="1797" t="n"/>
      <c r="CA70" s="1686" t="n"/>
      <c r="CB70" s="1686" t="n"/>
      <c r="CC70" s="456" t="n"/>
      <c r="CD70" s="701" t="n"/>
      <c r="CE70" s="701" t="n"/>
      <c r="CF70" s="701" t="n"/>
      <c r="CG70" s="701" t="n"/>
      <c r="CH70" s="701" t="n"/>
      <c r="CI70" s="701" t="n"/>
      <c r="CJ70" s="701" t="n"/>
      <c r="CK70" s="701" t="n"/>
      <c r="CL70" s="701" t="n"/>
      <c r="CM70" s="701" t="n"/>
      <c r="CN70" s="701" t="n"/>
      <c r="CO70" s="701" t="n"/>
      <c r="CP70" s="701" t="n"/>
      <c r="CQ70" s="701" t="n"/>
      <c r="CR70" s="701" t="n"/>
      <c r="CS70" s="701" t="n"/>
      <c r="CT70" s="701" t="n"/>
      <c r="CU70" s="701" t="n"/>
      <c r="CV70" s="701" t="n"/>
      <c r="CW70" s="30" t="n"/>
    </row>
    <row r="71" ht="12.75" customHeight="1" s="1676">
      <c r="A71" s="31" t="n"/>
      <c r="B71" s="103" t="inlineStr">
        <is>
          <t>Text_24</t>
        </is>
      </c>
      <c r="C71" s="699" t="n"/>
      <c r="D71" s="1713" t="n"/>
      <c r="E71" s="1713" t="n"/>
      <c r="F71" s="1713" t="n"/>
      <c r="G71" s="1713" t="n"/>
      <c r="H71" s="1714" t="n"/>
      <c r="I71" s="1719" t="n"/>
      <c r="J71" s="1719" t="n"/>
      <c r="K71" s="1719" t="n"/>
      <c r="L71" s="1719" t="n"/>
      <c r="M71" s="1720" t="n"/>
      <c r="N71" s="1720">
        <f t="array" ref="N71">N69/I69-1</f>
        <v/>
      </c>
      <c r="O71" s="1720">
        <f t="array" ref="O71">O69/J69-1</f>
        <v/>
      </c>
      <c r="P71" s="1720">
        <f t="array" ref="P71">P69/K69-1</f>
        <v/>
      </c>
      <c r="Q71" s="1720">
        <f t="array" ref="Q71">Q69/L69-1</f>
        <v/>
      </c>
      <c r="R71" s="1720">
        <f t="array" ref="R71">R69/M69-1</f>
        <v/>
      </c>
      <c r="S71" s="1720">
        <f t="array" ref="S71">S69/N69-1</f>
        <v/>
      </c>
      <c r="T71" s="1720">
        <f t="array" ref="T71">T69/O69-1</f>
        <v/>
      </c>
      <c r="U71" s="1720">
        <f t="array" ref="U71">U69/P69-1</f>
        <v/>
      </c>
      <c r="V71" s="1720">
        <f t="array" ref="V71">V69/Q69-1</f>
        <v/>
      </c>
      <c r="W71" s="1720">
        <f t="array" ref="W71">W69/R69-1</f>
        <v/>
      </c>
      <c r="X71" s="1720">
        <f t="array" ref="X71">X69/S69-1</f>
        <v/>
      </c>
      <c r="Y71" s="1720">
        <f t="array" ref="Y71">Y69/T69-1</f>
        <v/>
      </c>
      <c r="Z71" s="1720">
        <f t="array" ref="Z71">Z69/U69-1</f>
        <v/>
      </c>
      <c r="AA71" s="1720">
        <f t="array" ref="AA71">AA69/V69-1</f>
        <v/>
      </c>
      <c r="AB71" s="1720">
        <f t="array" ref="AB71">AB69/W69-1</f>
        <v/>
      </c>
      <c r="AC71" s="1720">
        <f t="array" ref="AC71">AC69/X69-1</f>
        <v/>
      </c>
      <c r="AD71" s="1720">
        <f t="array" ref="AD71">AD69/Y69-1</f>
        <v/>
      </c>
      <c r="AE71" s="1720">
        <f t="array" ref="AE71">AE69/Z69-1</f>
        <v/>
      </c>
      <c r="AF71" s="1720">
        <f t="array" ref="AF71">AF69/AA69-1</f>
        <v/>
      </c>
      <c r="AG71" s="1720">
        <f t="array" ref="AG71">AG69/AB69-1</f>
        <v/>
      </c>
      <c r="AH71" s="1720">
        <f t="array" ref="AH71">AH69/AC69-1</f>
        <v/>
      </c>
      <c r="AI71" s="1720">
        <f t="array" ref="AI71">AI69/AD69-1</f>
        <v/>
      </c>
      <c r="AJ71" s="1720">
        <f t="array" ref="AJ71">AJ69/AE69-1</f>
        <v/>
      </c>
      <c r="AK71" s="1720">
        <f t="array" ref="AK71">AK69/AF69-1</f>
        <v/>
      </c>
      <c r="AL71" s="1720">
        <f t="array" ref="AL71">AL69/AG69-1</f>
        <v/>
      </c>
      <c r="AM71" s="1720">
        <f t="array" ref="AM71">AM69/AH69-1</f>
        <v/>
      </c>
      <c r="AN71" s="1720">
        <f t="array" ref="AN71">AN69/AI69-1</f>
        <v/>
      </c>
      <c r="AO71" s="1720">
        <f t="array" ref="AO71">AO69/AJ69-1</f>
        <v/>
      </c>
      <c r="AP71" s="1720">
        <f t="array" ref="AP71">AP69/AK69-1</f>
        <v/>
      </c>
      <c r="AQ71" s="1720">
        <f t="array" ref="AQ71">AQ69/AL69-1</f>
        <v/>
      </c>
      <c r="AR71" s="1720">
        <f t="array" ref="AR71">AR69/AM69-1</f>
        <v/>
      </c>
      <c r="AS71" s="1720">
        <f t="array" ref="AS71">AS69/AN69-1</f>
        <v/>
      </c>
      <c r="AT71" s="1720">
        <f t="array" ref="AT71">AT69/AO69-1</f>
        <v/>
      </c>
      <c r="AU71" s="1720">
        <f t="array" ref="AU71">AU69/AP69-1</f>
        <v/>
      </c>
      <c r="AV71" s="1720">
        <f t="array" ref="AV71">AV69/AQ69-1</f>
        <v/>
      </c>
      <c r="AW71" s="1721">
        <f t="array" ref="AW71">AW69/AR69-1</f>
        <v/>
      </c>
      <c r="AX71" s="1722">
        <f t="array" ref="AX71">AX69/AS69-1</f>
        <v/>
      </c>
      <c r="AY71" s="1722">
        <f t="array" ref="AY71">AY69/AT69-1</f>
        <v/>
      </c>
      <c r="AZ71" s="1722">
        <f t="array" ref="AZ71">AZ69/AU69-1</f>
        <v/>
      </c>
      <c r="BA71" s="1723">
        <f t="array" ref="BA71">BA69/AV69-1</f>
        <v/>
      </c>
      <c r="BB71" s="1767">
        <f t="array" ref="BB71">BB69/AW69-1</f>
        <v/>
      </c>
      <c r="BC71" s="1766">
        <f t="array" ref="BC71">BC69/AX69-1</f>
        <v/>
      </c>
      <c r="BD71" s="1804" t="n">
        <v>0.0868817474253383</v>
      </c>
      <c r="BE71" s="1804" t="n">
        <v>0.084910359937304</v>
      </c>
      <c r="BF71" s="1798">
        <f t="array" ref="BF71">BF69/BA69-1</f>
        <v/>
      </c>
      <c r="BG71" s="1805" t="n">
        <v>0.08554655666292781</v>
      </c>
      <c r="BH71" s="1805" t="n">
        <v>0.08553655006749331</v>
      </c>
      <c r="BI71" s="1805" t="n">
        <v>0.123966313354213</v>
      </c>
      <c r="BJ71" s="1805" t="n">
        <v>0.12373967099259</v>
      </c>
      <c r="BK71" s="1799">
        <f t="array" ref="BK71">BK69/BF69-1</f>
        <v/>
      </c>
      <c r="BL71" s="1805" t="n">
        <v>0.132441828909922</v>
      </c>
      <c r="BM71" s="1805">
        <f t="array" ref="BM71">BL71</f>
        <v/>
      </c>
      <c r="BN71" s="1805">
        <f t="array" ref="BN71">BM71</f>
        <v/>
      </c>
      <c r="BO71" s="1805">
        <f t="array" ref="BO71">BN71</f>
        <v/>
      </c>
      <c r="BP71" s="1799">
        <f t="array" ref="BP71">BP69/BK69-1</f>
        <v/>
      </c>
      <c r="BQ71" s="1805" t="n">
        <v>0.124485921462918</v>
      </c>
      <c r="BR71" s="1805">
        <f t="array" ref="BR71">BQ71</f>
        <v/>
      </c>
      <c r="BS71" s="1805">
        <f t="array" ref="BS71">BR71</f>
        <v/>
      </c>
      <c r="BT71" s="1805">
        <f t="array" ref="BT71">BS71</f>
        <v/>
      </c>
      <c r="BU71" s="1799">
        <f t="array" ref="BU71">BU69/BP69-1</f>
        <v/>
      </c>
      <c r="BV71" s="1805" t="n">
        <v>0.127324899577614</v>
      </c>
      <c r="BW71" s="1805">
        <f t="array" ref="BW71">BV71</f>
        <v/>
      </c>
      <c r="BX71" s="1805">
        <f t="array" ref="BX71">BW71</f>
        <v/>
      </c>
      <c r="BY71" s="1805">
        <f t="array" ref="BY71">BX71</f>
        <v/>
      </c>
      <c r="BZ71" s="1799">
        <f t="array" ref="BZ71">BZ69/BU69-1</f>
        <v/>
      </c>
      <c r="CA71" s="1686" t="n"/>
      <c r="CB71" s="1686" t="n"/>
      <c r="CC71" s="456" t="n"/>
      <c r="CD71" s="701" t="n"/>
      <c r="CE71" s="701" t="n"/>
      <c r="CF71" s="701" t="n"/>
      <c r="CG71" s="701" t="n"/>
      <c r="CH71" s="701" t="n"/>
      <c r="CI71" s="701" t="n"/>
      <c r="CJ71" s="701" t="n"/>
      <c r="CK71" s="701" t="n"/>
      <c r="CL71" s="701" t="n"/>
      <c r="CM71" s="701" t="n"/>
      <c r="CN71" s="701" t="n"/>
      <c r="CO71" s="701" t="n"/>
      <c r="CP71" s="701" t="n"/>
      <c r="CQ71" s="701" t="n"/>
      <c r="CR71" s="701" t="n"/>
      <c r="CS71" s="701" t="n"/>
      <c r="CT71" s="701" t="n"/>
      <c r="CU71" s="701" t="n"/>
      <c r="CV71" s="701" t="n"/>
      <c r="CW71" s="30" t="n"/>
    </row>
    <row r="72" ht="12.75" customHeight="1" s="1676">
      <c r="A72" s="31" t="n"/>
      <c r="B72" s="196" t="inlineStr">
        <is>
          <t>Text_25</t>
        </is>
      </c>
      <c r="C72" s="805" t="n"/>
      <c r="D72" s="1726" t="n"/>
      <c r="E72" s="1726" t="n"/>
      <c r="F72" s="1726" t="n"/>
      <c r="G72" s="1726" t="n"/>
      <c r="H72" s="1727" t="n"/>
      <c r="I72" s="197">
        <f t="array" ref="I72">I69/I$73</f>
        <v/>
      </c>
      <c r="J72" s="197">
        <f t="array" ref="J72">J69/J$73</f>
        <v/>
      </c>
      <c r="K72" s="197">
        <f t="array" ref="K72">K69/K$73</f>
        <v/>
      </c>
      <c r="L72" s="197">
        <f t="array" ref="L72">L69/L$73</f>
        <v/>
      </c>
      <c r="M72" s="197">
        <f t="array" ref="M72">M69/M$73</f>
        <v/>
      </c>
      <c r="N72" s="197">
        <f t="array" ref="N72">N69/N$73</f>
        <v/>
      </c>
      <c r="O72" s="197">
        <f t="array" ref="O72">O69/O$73</f>
        <v/>
      </c>
      <c r="P72" s="197">
        <f t="array" ref="P72">P69/P$73</f>
        <v/>
      </c>
      <c r="Q72" s="197">
        <f t="array" ref="Q72">Q69/Q$73</f>
        <v/>
      </c>
      <c r="R72" s="197">
        <f t="array" ref="R72">R69/R$73</f>
        <v/>
      </c>
      <c r="S72" s="197">
        <f t="array" ref="S72">S69/S$73</f>
        <v/>
      </c>
      <c r="T72" s="197">
        <f t="array" ref="T72">T69/T$73</f>
        <v/>
      </c>
      <c r="U72" s="197">
        <f t="array" ref="U72">U69/U$73</f>
        <v/>
      </c>
      <c r="V72" s="197">
        <f t="array" ref="V72">V69/V$73</f>
        <v/>
      </c>
      <c r="W72" s="197">
        <f t="array" ref="W72">W69/W$73</f>
        <v/>
      </c>
      <c r="X72" s="197">
        <f t="array" ref="X72">X69/X$73</f>
        <v/>
      </c>
      <c r="Y72" s="197">
        <f t="array" ref="Y72">Y69/Y$73</f>
        <v/>
      </c>
      <c r="Z72" s="197">
        <f t="array" ref="Z72">Z69/Z$73</f>
        <v/>
      </c>
      <c r="AA72" s="197">
        <f t="array" ref="AA72">AA69/AA$73</f>
        <v/>
      </c>
      <c r="AB72" s="197">
        <f t="array" ref="AB72">AB69/AB$73</f>
        <v/>
      </c>
      <c r="AC72" s="197">
        <f t="array" ref="AC72">AC69/AC$73</f>
        <v/>
      </c>
      <c r="AD72" s="197">
        <f t="array" ref="AD72">AD69/AD$73</f>
        <v/>
      </c>
      <c r="AE72" s="197">
        <f t="array" ref="AE72">AE69/AE$73</f>
        <v/>
      </c>
      <c r="AF72" s="197">
        <f t="array" ref="AF72">AF69/AF$73</f>
        <v/>
      </c>
      <c r="AG72" s="197">
        <f t="array" ref="AG72">AG69/AG$73</f>
        <v/>
      </c>
      <c r="AH72" s="197">
        <f t="array" ref="AH72">AH69/AH$73</f>
        <v/>
      </c>
      <c r="AI72" s="197">
        <f t="array" ref="AI72">AI69/AI$73</f>
        <v/>
      </c>
      <c r="AJ72" s="197">
        <f t="array" ref="AJ72">AJ69/AJ$73</f>
        <v/>
      </c>
      <c r="AK72" s="197">
        <f t="array" ref="AK72">AK69/AK$73</f>
        <v/>
      </c>
      <c r="AL72" s="197">
        <f t="array" ref="AL72">AL69/AL$73</f>
        <v/>
      </c>
      <c r="AM72" s="197">
        <f t="array" ref="AM72">AM69/AM$73</f>
        <v/>
      </c>
      <c r="AN72" s="197">
        <f t="array" ref="AN72">AN69/AN$73</f>
        <v/>
      </c>
      <c r="AO72" s="197">
        <f t="array" ref="AO72">AO69/AO$73</f>
        <v/>
      </c>
      <c r="AP72" s="197">
        <f t="array" ref="AP72">AP69/AP$73</f>
        <v/>
      </c>
      <c r="AQ72" s="197">
        <f t="array" ref="AQ72">AQ69/AQ$73</f>
        <v/>
      </c>
      <c r="AR72" s="197">
        <f t="array" ref="AR72">AR69/AR$73</f>
        <v/>
      </c>
      <c r="AS72" s="197">
        <f t="array" ref="AS72">AS69/AS$73</f>
        <v/>
      </c>
      <c r="AT72" s="197">
        <f t="array" ref="AT72">AT69/AT$73</f>
        <v/>
      </c>
      <c r="AU72" s="197">
        <f t="array" ref="AU72">AU69/AU$73</f>
        <v/>
      </c>
      <c r="AV72" s="197">
        <f t="array" ref="AV72">AV69/AV$73</f>
        <v/>
      </c>
      <c r="AW72" s="198">
        <f t="array" ref="AW72">AW69/AW$73</f>
        <v/>
      </c>
      <c r="AX72" s="199">
        <f t="array" ref="AX72">AX69/AX$73</f>
        <v/>
      </c>
      <c r="AY72" s="199">
        <f t="array" ref="AY72">AY69/AY$73</f>
        <v/>
      </c>
      <c r="AZ72" s="199">
        <f t="array" ref="AZ72">AZ69/AZ$73</f>
        <v/>
      </c>
      <c r="BA72" s="200">
        <f t="array" ref="BA72">BA69/BA$73</f>
        <v/>
      </c>
      <c r="BB72" s="198">
        <f t="array" ref="BB72">BB69/BB$73</f>
        <v/>
      </c>
      <c r="BC72" s="199">
        <f t="array" ref="BC72">BC69/BC$73</f>
        <v/>
      </c>
      <c r="BD72" s="199">
        <f t="array" ref="BD72">BD69/BD$73</f>
        <v/>
      </c>
      <c r="BE72" s="199">
        <f t="array" ref="BE72">BE69/BE$73</f>
        <v/>
      </c>
      <c r="BF72" s="240">
        <f t="array" ref="BF72">BF69/BF$73</f>
        <v/>
      </c>
      <c r="BG72" s="241">
        <f t="array" ref="BG72">BG69/BG$73</f>
        <v/>
      </c>
      <c r="BH72" s="241">
        <f t="array" ref="BH72">BH69/BH$73</f>
        <v/>
      </c>
      <c r="BI72" s="241">
        <f t="array" ref="BI72">BI69/BI$73</f>
        <v/>
      </c>
      <c r="BJ72" s="241">
        <f t="array" ref="BJ72">BJ69/BJ$73</f>
        <v/>
      </c>
      <c r="BK72" s="241">
        <f t="array" ref="BK72">BK69/BK$73</f>
        <v/>
      </c>
      <c r="BL72" s="241">
        <f t="array" ref="BL72">BL69/BL$73</f>
        <v/>
      </c>
      <c r="BM72" s="241">
        <f t="array" ref="BM72">BM69/BM$73</f>
        <v/>
      </c>
      <c r="BN72" s="241">
        <f t="array" ref="BN72">BN69/BN$73</f>
        <v/>
      </c>
      <c r="BO72" s="241">
        <f t="array" ref="BO72">BO69/BO$73</f>
        <v/>
      </c>
      <c r="BP72" s="241">
        <f t="array" ref="BP72">BP69/BP$73</f>
        <v/>
      </c>
      <c r="BQ72" s="241">
        <f t="array" ref="BQ72">BQ69/BQ$73</f>
        <v/>
      </c>
      <c r="BR72" s="241">
        <f t="array" ref="BR72">BR69/BR$73</f>
        <v/>
      </c>
      <c r="BS72" s="241">
        <f t="array" ref="BS72">BS69/BS$73</f>
        <v/>
      </c>
      <c r="BT72" s="241">
        <f t="array" ref="BT72">BT69/BT$73</f>
        <v/>
      </c>
      <c r="BU72" s="241">
        <f t="array" ref="BU72">BU69/BU$73</f>
        <v/>
      </c>
      <c r="BV72" s="241">
        <f t="array" ref="BV72">BV69/BV$73</f>
        <v/>
      </c>
      <c r="BW72" s="241">
        <f t="array" ref="BW72">BW69/BW$73</f>
        <v/>
      </c>
      <c r="BX72" s="241">
        <f t="array" ref="BX72">BX69/BX$73</f>
        <v/>
      </c>
      <c r="BY72" s="241">
        <f t="array" ref="BY72">BY69/BY$73</f>
        <v/>
      </c>
      <c r="BZ72" s="241">
        <f t="array" ref="BZ72">BZ69/BZ$73</f>
        <v/>
      </c>
      <c r="CA72" s="249" t="inlineStr">
        <is>
          <t>Text_54</t>
        </is>
      </c>
      <c r="CB72" s="1688" t="n"/>
      <c r="CC72" s="456" t="n"/>
      <c r="CD72" s="701" t="n"/>
      <c r="CE72" s="701" t="n"/>
      <c r="CF72" s="701" t="n"/>
      <c r="CG72" s="701" t="n"/>
      <c r="CH72" s="701" t="n"/>
      <c r="CI72" s="701" t="n"/>
      <c r="CJ72" s="701" t="n"/>
      <c r="CK72" s="701" t="n"/>
      <c r="CL72" s="701" t="n"/>
      <c r="CM72" s="701" t="n"/>
      <c r="CN72" s="701" t="n"/>
      <c r="CO72" s="701" t="n"/>
      <c r="CP72" s="701" t="n"/>
      <c r="CQ72" s="701" t="n"/>
      <c r="CR72" s="701" t="n"/>
      <c r="CS72" s="701" t="n"/>
      <c r="CT72" s="701" t="n"/>
      <c r="CU72" s="701" t="n"/>
      <c r="CV72" s="701" t="n"/>
      <c r="CW72" s="30" t="n"/>
    </row>
    <row r="73" ht="12.75" customHeight="1" s="1676">
      <c r="A73" s="31" t="n"/>
      <c r="B73" s="250" t="inlineStr">
        <is>
          <t>Text_33</t>
        </is>
      </c>
      <c r="C73" s="66" t="n"/>
      <c r="D73" s="1806" t="n"/>
      <c r="E73" s="1806" t="n"/>
      <c r="F73" s="1806" t="n"/>
      <c r="G73" s="1806" t="n"/>
      <c r="H73" s="1807" t="n"/>
      <c r="I73" s="1806">
        <f t="array" ref="I73">I69+I62+I59+I56+I53+I50</f>
        <v/>
      </c>
      <c r="J73" s="1806">
        <f t="array" ref="J73">J69+J62+J59+J56+J53+J50</f>
        <v/>
      </c>
      <c r="K73" s="1806">
        <f t="array" ref="K73">K69+K62+K59+K56+K53+K50</f>
        <v/>
      </c>
      <c r="L73" s="1806">
        <f t="array" ref="L73">L69+L62+L59+L56+L53+L50</f>
        <v/>
      </c>
      <c r="M73" s="1807">
        <f t="array" ref="M73">M69+M62+M59+M56+M53+M50</f>
        <v/>
      </c>
      <c r="N73" s="1806">
        <f t="array" ref="N73">N69+N62+N59+N56+N53+N50</f>
        <v/>
      </c>
      <c r="O73" s="1806">
        <f t="array" ref="O73">O69+O62+O59+O56+O53+O50</f>
        <v/>
      </c>
      <c r="P73" s="1806">
        <f t="array" ref="P73">P69+P62+P59+P56+P53+P50</f>
        <v/>
      </c>
      <c r="Q73" s="1806">
        <f t="array" ref="Q73">Q69+Q62+Q59+Q56+Q53+Q50</f>
        <v/>
      </c>
      <c r="R73" s="1807">
        <f t="array" ref="R73">R69+R62+R59+R56+R53+R50</f>
        <v/>
      </c>
      <c r="S73" s="1806">
        <f t="array" ref="S73">S69+S62+S59+S56+S53+S50</f>
        <v/>
      </c>
      <c r="T73" s="1806">
        <f t="array" ref="T73">T69+T62+T59+T56+T53+T50</f>
        <v/>
      </c>
      <c r="U73" s="1806">
        <f t="array" ref="U73">U69+U62+U59+U56+U53+U50</f>
        <v/>
      </c>
      <c r="V73" s="1806">
        <f t="array" ref="V73">V69+V62+V59+V56+V53+V50</f>
        <v/>
      </c>
      <c r="W73" s="1807">
        <f t="array" ref="W73">W69+W62+W59+W56+W53+W50</f>
        <v/>
      </c>
      <c r="X73" s="1807">
        <f t="array" ref="X73">X69+X62+X59+X56+X53+X50</f>
        <v/>
      </c>
      <c r="Y73" s="1807">
        <f t="array" ref="Y73">Y69+Y62+Y59+Y56+Y53+Y50</f>
        <v/>
      </c>
      <c r="Z73" s="1807">
        <f t="array" ref="Z73">Z69+Z62+Z59+Z56+Z53+Z50</f>
        <v/>
      </c>
      <c r="AA73" s="1807">
        <f t="array" ref="AA73">AA69+AA62+AA59+AA56+AA53+AA50</f>
        <v/>
      </c>
      <c r="AB73" s="1807">
        <f t="array" ref="AB73">AB69+AB62+AB59+AB56+AB53+AB50</f>
        <v/>
      </c>
      <c r="AC73" s="1807">
        <f t="array" ref="AC73">AC69+AC62+AC59+AC56+AC53+AC50</f>
        <v/>
      </c>
      <c r="AD73" s="1807">
        <f t="array" ref="AD73">AD69+AD62+AD59+AD56+AD53+AD50</f>
        <v/>
      </c>
      <c r="AE73" s="1807">
        <f t="array" ref="AE73">AE69+AE62+AE59+AE56+AE53+AE50</f>
        <v/>
      </c>
      <c r="AF73" s="1807">
        <f t="array" ref="AF73">AF69+AF62+AF59+AF56+AF53+AF50</f>
        <v/>
      </c>
      <c r="AG73" s="1807">
        <f t="array" ref="AG73">AG69+AG62+AG59+AG56+AG53+AG50</f>
        <v/>
      </c>
      <c r="AH73" s="1807">
        <f t="array" ref="AH73">AH69+AH62+AH59+AH56+AH53+AH50</f>
        <v/>
      </c>
      <c r="AI73" s="1807">
        <f t="array" ref="AI73">AI69+AI62+AI59+AI56+AI53+AI50</f>
        <v/>
      </c>
      <c r="AJ73" s="1807">
        <f t="array" ref="AJ73">AJ69+AJ62+AJ59+AJ56+AJ53+AJ50</f>
        <v/>
      </c>
      <c r="AK73" s="1807">
        <f t="array" ref="AK73">AK69+AK62+AK59+AK56+AK53+AK50</f>
        <v/>
      </c>
      <c r="AL73" s="1807">
        <f t="array" ref="AL73">AL69+AL62+AL59+AL56+AL53+AL50</f>
        <v/>
      </c>
      <c r="AM73" s="1807">
        <f t="array" ref="AM73">AM69+AM62+AM59+AM56+AM53+AM50</f>
        <v/>
      </c>
      <c r="AN73" s="1807">
        <f t="array" ref="AN73">AN69+AN62+AN59+AN56+AN53+AN50</f>
        <v/>
      </c>
      <c r="AO73" s="1807">
        <f t="array" ref="AO73">AO69+AO62+AO59+AO56+AO53+AO50</f>
        <v/>
      </c>
      <c r="AP73" s="1807">
        <f t="array" ref="AP73">AP69+AP62+AP59+AP56+AP53+AP50</f>
        <v/>
      </c>
      <c r="AQ73" s="1807">
        <f t="array" ref="AQ73">AQ69+AQ62+AQ59+AQ56+AQ53+AQ50</f>
        <v/>
      </c>
      <c r="AR73" s="1807">
        <f t="array" ref="AR73">AR69+AR62+AR59+AR56+AR53+AR50</f>
        <v/>
      </c>
      <c r="AS73" s="1807">
        <f t="array" ref="AS73">AS69+AS62+AS59+AS56+AS53+AS50</f>
        <v/>
      </c>
      <c r="AT73" s="1807">
        <f t="array" ref="AT73">AT69+AT62+AT59+AT56+AT53+AT50</f>
        <v/>
      </c>
      <c r="AU73" s="1807">
        <f t="array" ref="AU73">AU69+AU62+AU59+AU56+AU53+AU50</f>
        <v/>
      </c>
      <c r="AV73" s="1807">
        <f t="array" ref="AV73">AV69+AV62+AV59+AV56+AV53+AV50</f>
        <v/>
      </c>
      <c r="AW73" s="1808">
        <f t="array" ref="AW73">AW69+AW62+AW59+AW56+AW53+AW50</f>
        <v/>
      </c>
      <c r="AX73" s="1809">
        <f t="array" ref="AX73">AX195</f>
        <v/>
      </c>
      <c r="AY73" s="1809">
        <f t="array" ref="AY73">AY195</f>
        <v/>
      </c>
      <c r="AZ73" s="1809">
        <f t="array" ref="AZ73">AZ195</f>
        <v/>
      </c>
      <c r="BA73" s="1810">
        <f t="array" ref="BA73">BA195</f>
        <v/>
      </c>
      <c r="BB73" s="1808">
        <f t="array" ref="BB73">BB195</f>
        <v/>
      </c>
      <c r="BC73" s="1809">
        <f t="array" ref="BC73">BC212</f>
        <v/>
      </c>
      <c r="BD73" s="1809">
        <f t="array" ref="BD73">BD195</f>
        <v/>
      </c>
      <c r="BE73" s="1809">
        <f t="array" ref="BE73">BE195</f>
        <v/>
      </c>
      <c r="BF73" s="1810">
        <f t="array" ref="BF73">BF195</f>
        <v/>
      </c>
      <c r="BG73" s="1807">
        <f t="array" ref="BG73">BG195</f>
        <v/>
      </c>
      <c r="BH73" s="1807">
        <f t="array" ref="BH73">BH195</f>
        <v/>
      </c>
      <c r="BI73" s="1807">
        <f t="array" ref="BI73">BI195</f>
        <v/>
      </c>
      <c r="BJ73" s="1807">
        <f t="array" ref="BJ73">BJ195</f>
        <v/>
      </c>
      <c r="BK73" s="1807">
        <f t="array" ref="BK73">BK195</f>
        <v/>
      </c>
      <c r="BL73" s="1807">
        <f t="array" ref="BL73">BL195</f>
        <v/>
      </c>
      <c r="BM73" s="1807">
        <f t="array" ref="BM73">BM195</f>
        <v/>
      </c>
      <c r="BN73" s="1807">
        <f t="array" ref="BN73">BN195</f>
        <v/>
      </c>
      <c r="BO73" s="1807">
        <f t="array" ref="BO73">BO195</f>
        <v/>
      </c>
      <c r="BP73" s="1807">
        <f t="array" ref="BP73">BP195</f>
        <v/>
      </c>
      <c r="BQ73" s="1807">
        <f t="array" ref="BQ73">BQ195</f>
        <v/>
      </c>
      <c r="BR73" s="1807">
        <f t="array" ref="BR73">BR195</f>
        <v/>
      </c>
      <c r="BS73" s="1807">
        <f t="array" ref="BS73">BS195</f>
        <v/>
      </c>
      <c r="BT73" s="1807">
        <f t="array" ref="BT73">BT195</f>
        <v/>
      </c>
      <c r="BU73" s="1807">
        <f t="array" ref="BU73">BU195</f>
        <v/>
      </c>
      <c r="BV73" s="1807">
        <f t="array" ref="BV73">BV195</f>
        <v/>
      </c>
      <c r="BW73" s="1807">
        <f t="array" ref="BW73">BW195</f>
        <v/>
      </c>
      <c r="BX73" s="1807">
        <f t="array" ref="BX73">BX195</f>
        <v/>
      </c>
      <c r="BY73" s="1807">
        <f t="array" ref="BY73">BY195</f>
        <v/>
      </c>
      <c r="BZ73" s="1807">
        <f t="array" ref="BZ73">BZ195</f>
        <v/>
      </c>
      <c r="CA73" s="256" t="n"/>
      <c r="CB73" s="66" t="n"/>
      <c r="CC73" s="456" t="n"/>
      <c r="CD73" s="701" t="n"/>
      <c r="CE73" s="701" t="n"/>
      <c r="CF73" s="701" t="n"/>
      <c r="CG73" s="701" t="n"/>
      <c r="CH73" s="701" t="n"/>
      <c r="CI73" s="701" t="n"/>
      <c r="CJ73" s="701" t="n"/>
      <c r="CK73" s="701" t="n"/>
      <c r="CL73" s="701" t="n"/>
      <c r="CM73" s="701" t="n"/>
      <c r="CN73" s="701" t="n"/>
      <c r="CO73" s="701" t="n"/>
      <c r="CP73" s="701" t="n"/>
      <c r="CQ73" s="701" t="n"/>
      <c r="CR73" s="701" t="n"/>
      <c r="CS73" s="701" t="n"/>
      <c r="CT73" s="701" t="n"/>
      <c r="CU73" s="701" t="n"/>
      <c r="CV73" s="701" t="n"/>
      <c r="CW73" s="30" t="n"/>
    </row>
    <row r="74" hidden="1" ht="12.75" customHeight="1" s="1676">
      <c r="A74" s="31" t="n"/>
      <c r="B74" s="257" t="inlineStr">
        <is>
          <t>Text_35</t>
        </is>
      </c>
      <c r="C74" s="66" t="n"/>
      <c r="D74" s="1703" t="n"/>
      <c r="E74" s="1703" t="n"/>
      <c r="F74" s="1703" t="n"/>
      <c r="G74" s="1703" t="n"/>
      <c r="H74" s="1708" t="n"/>
      <c r="I74" s="1811">
        <f t="array" ref="I74">I73-I$212</f>
        <v/>
      </c>
      <c r="J74" s="1811">
        <f t="array" ref="J74">J73-J$212</f>
        <v/>
      </c>
      <c r="K74" s="1811">
        <f t="array" ref="K74">K73-K$212</f>
        <v/>
      </c>
      <c r="L74" s="1811">
        <f t="array" ref="L74">L73-L$212</f>
        <v/>
      </c>
      <c r="M74" s="1811">
        <f t="array" ref="M74">M73-M$212</f>
        <v/>
      </c>
      <c r="N74" s="1811">
        <f t="array" ref="N74">N73-N$212</f>
        <v/>
      </c>
      <c r="O74" s="1811">
        <f t="array" ref="O74">O73-O$212</f>
        <v/>
      </c>
      <c r="P74" s="1811">
        <f t="array" ref="P74">P73-P$212</f>
        <v/>
      </c>
      <c r="Q74" s="1811">
        <f t="array" ref="Q74">Q73-Q$212</f>
        <v/>
      </c>
      <c r="R74" s="1811">
        <f t="array" ref="R74">R73-R$212</f>
        <v/>
      </c>
      <c r="S74" s="1811">
        <f t="array" ref="S74">S73-S$212</f>
        <v/>
      </c>
      <c r="T74" s="1811">
        <f t="array" ref="T74">T73-T$212</f>
        <v/>
      </c>
      <c r="U74" s="1811">
        <f t="array" ref="U74">U73-U$212</f>
        <v/>
      </c>
      <c r="V74" s="1811">
        <f t="array" ref="V74">V73-V$212</f>
        <v/>
      </c>
      <c r="W74" s="1811">
        <f t="array" ref="W74">W73-W$212</f>
        <v/>
      </c>
      <c r="X74" s="1811">
        <f t="array" ref="X74">X73-X$212</f>
        <v/>
      </c>
      <c r="Y74" s="1811">
        <f t="array" ref="Y74">Y73-Y$212</f>
        <v/>
      </c>
      <c r="Z74" s="1811">
        <f t="array" ref="Z74">Z73-Z$212</f>
        <v/>
      </c>
      <c r="AA74" s="1811">
        <f t="array" ref="AA74">AA73-AA$212</f>
        <v/>
      </c>
      <c r="AB74" s="1811">
        <f t="array" ref="AB74">AB73-AB$212</f>
        <v/>
      </c>
      <c r="AC74" s="1811">
        <f t="array" ref="AC74">AC73-AC$212</f>
        <v/>
      </c>
      <c r="AD74" s="1811">
        <f t="array" ref="AD74">AD73-AD$212</f>
        <v/>
      </c>
      <c r="AE74" s="1811">
        <f t="array" ref="AE74">AE73-AE$212</f>
        <v/>
      </c>
      <c r="AF74" s="1811">
        <f t="array" ref="AF74">AF73-AF$212</f>
        <v/>
      </c>
      <c r="AG74" s="1811">
        <f t="array" ref="AG74">AG73-AG$212</f>
        <v/>
      </c>
      <c r="AH74" s="1811">
        <f t="array" ref="AH74">AH73-AH$212</f>
        <v/>
      </c>
      <c r="AI74" s="1811">
        <f t="array" ref="AI74">AI73-AI$212</f>
        <v/>
      </c>
      <c r="AJ74" s="1811">
        <f t="array" ref="AJ74">AJ73-AJ$212</f>
        <v/>
      </c>
      <c r="AK74" s="1811">
        <f t="array" ref="AK74">AK73-AK$212</f>
        <v/>
      </c>
      <c r="AL74" s="1811">
        <f t="array" ref="AL74">AL73-AL$212</f>
        <v/>
      </c>
      <c r="AM74" s="1811">
        <f t="array" ref="AM74">AM73-AM$212</f>
        <v/>
      </c>
      <c r="AN74" s="1811">
        <f t="array" ref="AN74">AN73-AN$212</f>
        <v/>
      </c>
      <c r="AO74" s="1811">
        <f t="array" ref="AO74">AO73-AO$212</f>
        <v/>
      </c>
      <c r="AP74" s="1811">
        <f t="array" ref="AP74">AP73-AP$212</f>
        <v/>
      </c>
      <c r="AQ74" s="1811">
        <f t="array" ref="AQ74">AQ73-AQ$212</f>
        <v/>
      </c>
      <c r="AR74" s="1811">
        <f t="array" ref="AR74">AR73-AR$212</f>
        <v/>
      </c>
      <c r="AS74" s="1811">
        <f t="array" ref="AS74">AS73-AS$212</f>
        <v/>
      </c>
      <c r="AT74" s="1811">
        <f t="array" ref="AT74">AT73-AT$212</f>
        <v/>
      </c>
      <c r="AU74" s="1811">
        <f t="array" ref="AU74">AU73-AU$212</f>
        <v/>
      </c>
      <c r="AV74" s="1811">
        <f t="array" ref="AV74">AV73-AV$212</f>
        <v/>
      </c>
      <c r="AW74" s="1812">
        <f t="array" ref="AW74">AW73-AW$212</f>
        <v/>
      </c>
      <c r="AX74" s="1813">
        <f t="array" ref="AX74">AX73-AX$212</f>
        <v/>
      </c>
      <c r="AY74" s="1813" t="n"/>
      <c r="AZ74" s="1813" t="n"/>
      <c r="BA74" s="1814" t="n"/>
      <c r="BB74" s="1815" t="n"/>
      <c r="BC74" s="1816" t="n"/>
      <c r="BD74" s="1816" t="n"/>
      <c r="BE74" s="1816" t="n"/>
      <c r="BF74" s="1814" t="n"/>
      <c r="BG74" s="1703" t="n"/>
      <c r="BH74" s="1703" t="n"/>
      <c r="BI74" s="1703" t="n"/>
      <c r="BJ74" s="1703" t="n"/>
      <c r="BK74" s="1811" t="n"/>
      <c r="BL74" s="1703" t="n"/>
      <c r="BM74" s="1703" t="n"/>
      <c r="BN74" s="1703" t="n"/>
      <c r="BO74" s="1703" t="n"/>
      <c r="BP74" s="1811" t="n"/>
      <c r="BQ74" s="1703" t="n"/>
      <c r="BR74" s="1703" t="n"/>
      <c r="BS74" s="1703" t="n"/>
      <c r="BT74" s="1703" t="n"/>
      <c r="BU74" s="1811" t="n"/>
      <c r="BV74" s="1703" t="n"/>
      <c r="BW74" s="1703" t="n"/>
      <c r="BX74" s="1703" t="n"/>
      <c r="BY74" s="1703" t="n"/>
      <c r="BZ74" s="1811" t="n"/>
      <c r="CA74" s="1709" t="n"/>
      <c r="CB74" s="264" t="n"/>
      <c r="CC74" s="701" t="n"/>
      <c r="CD74" s="701" t="n"/>
      <c r="CE74" s="701" t="n"/>
      <c r="CF74" s="701" t="n"/>
      <c r="CG74" s="701" t="n"/>
      <c r="CH74" s="701" t="n"/>
      <c r="CI74" s="701" t="n"/>
      <c r="CJ74" s="701" t="n"/>
      <c r="CK74" s="701" t="n"/>
      <c r="CL74" s="701" t="n"/>
      <c r="CM74" s="701" t="n"/>
      <c r="CN74" s="701" t="n"/>
      <c r="CO74" s="701" t="n"/>
      <c r="CP74" s="701" t="n"/>
      <c r="CQ74" s="701" t="n"/>
      <c r="CR74" s="701" t="n"/>
      <c r="CS74" s="701" t="n"/>
      <c r="CT74" s="701" t="n"/>
      <c r="CU74" s="701" t="n"/>
      <c r="CV74" s="701" t="n"/>
      <c r="CW74" s="30" t="n"/>
    </row>
    <row r="75" ht="12.75" customHeight="1" s="1676">
      <c r="A75" s="74" t="n"/>
      <c r="B75" s="1817" t="n"/>
      <c r="C75" s="266" t="n"/>
      <c r="D75" s="1817" t="n"/>
      <c r="E75" s="1817" t="n"/>
      <c r="F75" s="1817" t="n"/>
      <c r="G75" s="1817" t="n"/>
      <c r="H75" s="1817" t="n"/>
      <c r="I75" s="1817" t="n"/>
      <c r="J75" s="1817" t="n"/>
      <c r="K75" s="1817" t="n"/>
      <c r="L75" s="1817" t="n"/>
      <c r="M75" s="1817" t="n"/>
      <c r="N75" s="1817" t="n"/>
      <c r="O75" s="1817" t="n"/>
      <c r="P75" s="1817" t="n"/>
      <c r="Q75" s="1817" t="n"/>
      <c r="R75" s="267" t="n">
        <v>2337.12888911217</v>
      </c>
      <c r="S75" s="267" t="n"/>
      <c r="T75" s="267" t="n"/>
      <c r="U75" s="267" t="n"/>
      <c r="V75" s="267" t="n"/>
      <c r="W75" s="267" t="n">
        <v>1996.98183602019</v>
      </c>
      <c r="X75" s="267" t="n"/>
      <c r="Y75" s="267" t="n"/>
      <c r="Z75" s="267" t="n"/>
      <c r="AA75" s="267" t="n"/>
      <c r="AB75" s="267" t="n">
        <v>2154.31962962958</v>
      </c>
      <c r="AC75" s="267" t="n"/>
      <c r="AD75" s="267" t="n"/>
      <c r="AE75" s="267" t="n"/>
      <c r="AF75" s="267" t="n"/>
      <c r="AG75" s="267" t="n">
        <v>1755.23445593092</v>
      </c>
      <c r="AH75" s="267" t="n"/>
      <c r="AI75" s="267" t="n"/>
      <c r="AJ75" s="267" t="n"/>
      <c r="AK75" s="267" t="n"/>
      <c r="AL75" s="267" t="n">
        <v>1772.24644280493</v>
      </c>
      <c r="AM75" s="267" t="n"/>
      <c r="AN75" s="267" t="n"/>
      <c r="AO75" s="267" t="n"/>
      <c r="AP75" s="267" t="n"/>
      <c r="AQ75" s="267" t="n">
        <v>1650.65453683633</v>
      </c>
      <c r="AR75" s="1817" t="n"/>
      <c r="AS75" s="1817" t="n"/>
      <c r="AT75" s="1817" t="n"/>
      <c r="AU75" s="1817" t="n"/>
      <c r="AV75" s="267" t="n">
        <v>1755.102253038</v>
      </c>
      <c r="AW75" s="1817" t="n"/>
      <c r="AX75" s="1817" t="n"/>
      <c r="AY75" s="1817" t="n"/>
      <c r="AZ75" s="1817" t="n"/>
      <c r="BA75" s="267" t="n">
        <v>1844.74673848027</v>
      </c>
      <c r="BB75" s="267" t="n"/>
      <c r="BC75" s="267" t="n"/>
      <c r="BD75" s="267" t="n"/>
      <c r="BE75" s="267" t="n"/>
      <c r="BF75" s="267" t="n">
        <v>1763.37849226417</v>
      </c>
      <c r="BG75" s="267" t="n"/>
      <c r="BH75" s="267" t="n"/>
      <c r="BI75" s="267" t="n"/>
      <c r="BJ75" s="267" t="n"/>
      <c r="BK75" s="267" t="n">
        <v>1692.68453335672</v>
      </c>
      <c r="BL75" s="267" t="n"/>
      <c r="BM75" s="267" t="n"/>
      <c r="BN75" s="267" t="n"/>
      <c r="BO75" s="267" t="n"/>
      <c r="BP75" s="267" t="n">
        <v>1719.41156428837</v>
      </c>
      <c r="BQ75" s="267" t="n"/>
      <c r="BR75" s="267" t="n"/>
      <c r="BS75" s="267" t="n"/>
      <c r="BT75" s="267" t="n"/>
      <c r="BU75" s="267" t="n">
        <v>1996.18373662815</v>
      </c>
      <c r="BV75" s="267" t="n"/>
      <c r="BW75" s="267" t="n"/>
      <c r="BX75" s="267" t="n"/>
      <c r="BY75" s="267" t="n"/>
      <c r="BZ75" s="267" t="n">
        <v>1789.77791237078</v>
      </c>
      <c r="CA75" s="1817" t="n"/>
      <c r="CB75" s="266" t="n"/>
      <c r="CC75" s="701" t="n"/>
      <c r="CD75" s="701" t="n"/>
      <c r="CE75" s="701" t="n"/>
      <c r="CF75" s="701" t="n"/>
      <c r="CG75" s="701" t="n"/>
      <c r="CH75" s="701" t="n"/>
      <c r="CI75" s="701" t="n"/>
      <c r="CJ75" s="701" t="n"/>
      <c r="CK75" s="701" t="n"/>
      <c r="CL75" s="701" t="n"/>
      <c r="CM75" s="701" t="n"/>
      <c r="CN75" s="701" t="n"/>
      <c r="CO75" s="701" t="n"/>
      <c r="CP75" s="701" t="n"/>
      <c r="CQ75" s="701" t="n"/>
      <c r="CR75" s="701" t="n"/>
      <c r="CS75" s="701" t="n"/>
      <c r="CT75" s="701" t="n"/>
      <c r="CU75" s="701" t="n"/>
      <c r="CV75" s="701" t="n"/>
      <c r="CW75" s="30" t="n"/>
    </row>
    <row r="76" ht="12" customHeight="1" s="1676">
      <c r="A76" s="31" t="n"/>
      <c r="B76" s="180" t="inlineStr">
        <is>
          <t>Text_55</t>
        </is>
      </c>
      <c r="C76" s="699" t="n"/>
      <c r="D76" s="1760" t="n"/>
      <c r="E76" s="1760" t="n"/>
      <c r="F76" s="1760" t="n"/>
      <c r="G76" s="1760" t="n"/>
      <c r="H76" s="1760" t="n"/>
      <c r="I76" s="268" t="inlineStr">
        <is>
          <t>Q116</t>
        </is>
      </c>
      <c r="J76" s="268" t="inlineStr">
        <is>
          <t>Q162</t>
        </is>
      </c>
      <c r="K76" s="268" t="inlineStr">
        <is>
          <t>Q316</t>
        </is>
      </c>
      <c r="L76" s="268" t="inlineStr">
        <is>
          <t>Q416</t>
        </is>
      </c>
      <c r="M76" s="268" t="inlineStr">
        <is>
          <t>CY16</t>
        </is>
      </c>
      <c r="N76" s="268" t="inlineStr">
        <is>
          <t>Q117</t>
        </is>
      </c>
      <c r="O76" s="268" t="inlineStr">
        <is>
          <t>Q172</t>
        </is>
      </c>
      <c r="P76" s="268" t="inlineStr">
        <is>
          <t>Q317</t>
        </is>
      </c>
      <c r="Q76" s="268" t="inlineStr">
        <is>
          <t>Q417</t>
        </is>
      </c>
      <c r="R76" s="268" t="inlineStr">
        <is>
          <t>CY17</t>
        </is>
      </c>
      <c r="S76" s="268" t="inlineStr">
        <is>
          <t>Q118</t>
        </is>
      </c>
      <c r="T76" s="268" t="inlineStr">
        <is>
          <t>Q182</t>
        </is>
      </c>
      <c r="U76" s="268" t="inlineStr">
        <is>
          <t>Q318</t>
        </is>
      </c>
      <c r="V76" s="268" t="inlineStr">
        <is>
          <t>Q418</t>
        </is>
      </c>
      <c r="W76" s="268" t="inlineStr">
        <is>
          <t>CY18</t>
        </is>
      </c>
      <c r="X76" s="268" t="inlineStr">
        <is>
          <t>Q119</t>
        </is>
      </c>
      <c r="Y76" s="268" t="inlineStr">
        <is>
          <t>Q192</t>
        </is>
      </c>
      <c r="Z76" s="268" t="inlineStr">
        <is>
          <t>Q319</t>
        </is>
      </c>
      <c r="AA76" s="268" t="inlineStr">
        <is>
          <t>Q419</t>
        </is>
      </c>
      <c r="AB76" s="268" t="inlineStr">
        <is>
          <t>CY19</t>
        </is>
      </c>
      <c r="AC76" s="268" t="inlineStr">
        <is>
          <t>Q120</t>
        </is>
      </c>
      <c r="AD76" s="268" t="inlineStr">
        <is>
          <t>Q202</t>
        </is>
      </c>
      <c r="AE76" s="268" t="inlineStr">
        <is>
          <t>Q320</t>
        </is>
      </c>
      <c r="AF76" s="268" t="inlineStr">
        <is>
          <t>Q420</t>
        </is>
      </c>
      <c r="AG76" s="268" t="inlineStr">
        <is>
          <t>CY20</t>
        </is>
      </c>
      <c r="AH76" s="268" t="inlineStr">
        <is>
          <t>Q121</t>
        </is>
      </c>
      <c r="AI76" s="268" t="inlineStr">
        <is>
          <t>Q212</t>
        </is>
      </c>
      <c r="AJ76" s="268" t="inlineStr">
        <is>
          <t>Q321</t>
        </is>
      </c>
      <c r="AK76" s="268" t="inlineStr">
        <is>
          <t>Q421</t>
        </is>
      </c>
      <c r="AL76" s="268" t="inlineStr">
        <is>
          <t>CY21</t>
        </is>
      </c>
      <c r="AM76" s="268" t="inlineStr">
        <is>
          <t>Q122</t>
        </is>
      </c>
      <c r="AN76" s="268" t="inlineStr">
        <is>
          <t>Q222</t>
        </is>
      </c>
      <c r="AO76" s="268" t="inlineStr">
        <is>
          <t>Q322</t>
        </is>
      </c>
      <c r="AP76" s="268" t="inlineStr">
        <is>
          <t>Q422</t>
        </is>
      </c>
      <c r="AQ76" s="268" t="inlineStr">
        <is>
          <t>CY22</t>
        </is>
      </c>
      <c r="AR76" s="268" t="inlineStr">
        <is>
          <t>Q123</t>
        </is>
      </c>
      <c r="AS76" s="268" t="inlineStr">
        <is>
          <t>Q223</t>
        </is>
      </c>
      <c r="AT76" s="268" t="inlineStr">
        <is>
          <t>Q323</t>
        </is>
      </c>
      <c r="AU76" s="268" t="inlineStr">
        <is>
          <t>Q423</t>
        </is>
      </c>
      <c r="AV76" s="268" t="inlineStr">
        <is>
          <t>CY23E</t>
        </is>
      </c>
      <c r="AW76" s="268" t="inlineStr">
        <is>
          <t>Q124</t>
        </is>
      </c>
      <c r="AX76" s="268" t="inlineStr">
        <is>
          <t>Q224</t>
        </is>
      </c>
      <c r="AY76" s="268" t="inlineStr">
        <is>
          <t>Q324</t>
        </is>
      </c>
      <c r="AZ76" s="268" t="inlineStr">
        <is>
          <t>Q424</t>
        </is>
      </c>
      <c r="BA76" s="268" t="inlineStr">
        <is>
          <t>CY24E</t>
        </is>
      </c>
      <c r="BB76" s="1760" t="n"/>
      <c r="BC76" s="1760" t="n"/>
      <c r="BD76" s="1760" t="n"/>
      <c r="BE76" s="1760" t="n"/>
      <c r="BF76" s="268" t="inlineStr">
        <is>
          <t>CY25E</t>
        </is>
      </c>
      <c r="BG76" s="1818" t="n"/>
      <c r="BH76" s="1818" t="n"/>
      <c r="BI76" s="1818" t="n"/>
      <c r="BJ76" s="1818" t="n"/>
      <c r="BK76" s="268" t="inlineStr">
        <is>
          <t>CY26E</t>
        </is>
      </c>
      <c r="BL76" s="1818" t="n"/>
      <c r="BM76" s="1818" t="n"/>
      <c r="BN76" s="1818" t="n"/>
      <c r="BO76" s="1818" t="n"/>
      <c r="BP76" s="268" t="inlineStr">
        <is>
          <t>CY27E</t>
        </is>
      </c>
      <c r="BQ76" s="1818" t="n"/>
      <c r="BR76" s="1818" t="n"/>
      <c r="BS76" s="1818" t="n"/>
      <c r="BT76" s="1818" t="n"/>
      <c r="BU76" s="268" t="inlineStr">
        <is>
          <t>CY28E</t>
        </is>
      </c>
      <c r="BV76" s="1818" t="n"/>
      <c r="BW76" s="1818" t="n"/>
      <c r="BX76" s="1818" t="n"/>
      <c r="BY76" s="1818" t="n"/>
      <c r="BZ76" s="268" t="inlineStr">
        <is>
          <t>CY28E</t>
        </is>
      </c>
      <c r="CA76" s="1760" t="n"/>
      <c r="CB76" s="456" t="n"/>
      <c r="CC76" s="701" t="n"/>
      <c r="CD76" s="701" t="n"/>
      <c r="CE76" s="701" t="n"/>
      <c r="CF76" s="701" t="n"/>
      <c r="CG76" s="701" t="n"/>
      <c r="CH76" s="701" t="n"/>
      <c r="CI76" s="701" t="n"/>
      <c r="CJ76" s="701" t="n"/>
      <c r="CK76" s="701" t="n"/>
      <c r="CL76" s="701" t="n"/>
      <c r="CM76" s="701" t="n"/>
      <c r="CN76" s="701" t="n"/>
      <c r="CO76" s="701" t="n"/>
      <c r="CP76" s="701" t="n"/>
      <c r="CQ76" s="701" t="n"/>
      <c r="CR76" s="701" t="n"/>
      <c r="CS76" s="701" t="n"/>
      <c r="CT76" s="701" t="n"/>
      <c r="CU76" s="701" t="n"/>
      <c r="CV76" s="701" t="n"/>
      <c r="CW76" s="30" t="n"/>
    </row>
    <row r="77" ht="12" customHeight="1" s="1676">
      <c r="A77" s="31" t="n"/>
      <c r="B77" s="270" t="inlineStr">
        <is>
          <t>Text_56</t>
        </is>
      </c>
      <c r="C77" s="699" t="n"/>
      <c r="D77" s="1782" t="n"/>
      <c r="E77" s="1782" t="n"/>
      <c r="F77" s="1782" t="n"/>
      <c r="G77" s="1782" t="n"/>
      <c r="H77" s="1782" t="n"/>
      <c r="I77" s="1819" t="n"/>
      <c r="J77" s="1819" t="n"/>
      <c r="K77" s="1819" t="n"/>
      <c r="L77" s="1819" t="n"/>
      <c r="M77" s="1819" t="n"/>
      <c r="N77" s="1819" t="n"/>
      <c r="O77" s="1819" t="n"/>
      <c r="P77" s="1819" t="n"/>
      <c r="Q77" s="1819" t="n"/>
      <c r="R77" s="1820" t="n">
        <v>0</v>
      </c>
      <c r="S77" s="1819" t="n"/>
      <c r="T77" s="1819" t="n"/>
      <c r="U77" s="1819" t="n"/>
      <c r="V77" s="1819" t="n"/>
      <c r="W77" s="1820" t="n">
        <v>0</v>
      </c>
      <c r="X77" s="1819" t="n"/>
      <c r="Y77" s="1819" t="n"/>
      <c r="Z77" s="1819" t="n"/>
      <c r="AA77" s="1819" t="n"/>
      <c r="AB77" s="1820" t="n">
        <v>0</v>
      </c>
      <c r="AC77" s="1819" t="n"/>
      <c r="AD77" s="1819" t="n"/>
      <c r="AE77" s="1819" t="n"/>
      <c r="AF77" s="1819" t="n"/>
      <c r="AG77" s="1820" t="n">
        <v>0</v>
      </c>
      <c r="AH77" s="1819" t="n"/>
      <c r="AI77" s="1819" t="n"/>
      <c r="AJ77" s="1819" t="n"/>
      <c r="AK77" s="1819" t="n"/>
      <c r="AL77" s="1820" t="n">
        <v>0</v>
      </c>
      <c r="AM77" s="1819" t="n"/>
      <c r="AN77" s="1819" t="n"/>
      <c r="AO77" s="1819" t="n"/>
      <c r="AP77" s="1819" t="n"/>
      <c r="AQ77" s="1820" t="n">
        <v>0</v>
      </c>
      <c r="AR77" s="1819" t="n"/>
      <c r="AS77" s="1819" t="n"/>
      <c r="AT77" s="1819" t="n"/>
      <c r="AU77" s="1819" t="n"/>
      <c r="AV77" s="1820" t="n">
        <v>0</v>
      </c>
      <c r="AW77" s="1821" t="n"/>
      <c r="AX77" s="1822" t="n"/>
      <c r="AY77" s="1822" t="n"/>
      <c r="AZ77" s="1822" t="n"/>
      <c r="BA77" s="1823" t="n">
        <v>0</v>
      </c>
      <c r="BB77" s="1824" t="n"/>
      <c r="BC77" s="1758" t="n"/>
      <c r="BD77" s="1758" t="n"/>
      <c r="BE77" s="178" t="n"/>
      <c r="BF77" s="1823" t="n">
        <v>0</v>
      </c>
      <c r="BG77" s="1819" t="n"/>
      <c r="BH77" s="1819" t="n"/>
      <c r="BI77" s="1819" t="n"/>
      <c r="BJ77" s="1819" t="n"/>
      <c r="BK77" s="1820" t="n">
        <v>0</v>
      </c>
      <c r="BL77" s="1819" t="n"/>
      <c r="BM77" s="1819" t="n"/>
      <c r="BN77" s="1819" t="n"/>
      <c r="BO77" s="1819" t="n"/>
      <c r="BP77" s="1820" t="n">
        <v>0</v>
      </c>
      <c r="BQ77" s="1819" t="n"/>
      <c r="BR77" s="1819" t="n"/>
      <c r="BS77" s="1819" t="n"/>
      <c r="BT77" s="1819" t="n"/>
      <c r="BU77" s="1820" t="n">
        <v>0</v>
      </c>
      <c r="BV77" s="1819" t="n"/>
      <c r="BW77" s="1819" t="n"/>
      <c r="BX77" s="1819" t="n"/>
      <c r="BY77" s="1819" t="n"/>
      <c r="BZ77" s="1820" t="n">
        <v>0</v>
      </c>
      <c r="CA77" s="1782" t="n"/>
      <c r="CB77" s="456" t="n"/>
      <c r="CC77" s="701" t="n"/>
      <c r="CD77" s="701" t="n"/>
      <c r="CE77" s="701" t="n"/>
      <c r="CF77" s="701" t="n"/>
      <c r="CG77" s="701" t="n"/>
      <c r="CH77" s="701" t="n"/>
      <c r="CI77" s="701" t="n"/>
      <c r="CJ77" s="701" t="n"/>
      <c r="CK77" s="701" t="n"/>
      <c r="CL77" s="701" t="n"/>
      <c r="CM77" s="701" t="n"/>
      <c r="CN77" s="701" t="n"/>
      <c r="CO77" s="701" t="n"/>
      <c r="CP77" s="701" t="n"/>
      <c r="CQ77" s="701" t="n"/>
      <c r="CR77" s="701" t="n"/>
      <c r="CS77" s="701" t="n"/>
      <c r="CT77" s="701" t="n"/>
      <c r="CU77" s="701" t="n"/>
      <c r="CV77" s="701" t="n"/>
      <c r="CW77" s="30" t="n"/>
    </row>
    <row r="78" ht="12" customHeight="1" s="1676">
      <c r="A78" s="31" t="n"/>
      <c r="B78" s="270" t="inlineStr">
        <is>
          <t>Text_57</t>
        </is>
      </c>
      <c r="C78" s="699" t="n"/>
      <c r="D78" s="1782" t="n"/>
      <c r="E78" s="1782" t="n"/>
      <c r="F78" s="1782" t="n"/>
      <c r="G78" s="1782" t="n"/>
      <c r="H78" s="1782" t="n"/>
      <c r="I78" s="1819" t="n"/>
      <c r="J78" s="1819" t="n"/>
      <c r="K78" s="1819" t="n"/>
      <c r="L78" s="1819" t="n"/>
      <c r="M78" s="1819" t="n"/>
      <c r="N78" s="1819" t="n"/>
      <c r="O78" s="1819" t="n"/>
      <c r="P78" s="1819" t="n"/>
      <c r="Q78" s="1819" t="n"/>
      <c r="R78" s="1820" t="n">
        <v>0</v>
      </c>
      <c r="S78" s="1819" t="n"/>
      <c r="T78" s="1819" t="n"/>
      <c r="U78" s="1819" t="n"/>
      <c r="V78" s="1819" t="n"/>
      <c r="W78" s="1820" t="n">
        <v>0</v>
      </c>
      <c r="X78" s="1819" t="n"/>
      <c r="Y78" s="1819" t="n"/>
      <c r="Z78" s="1819" t="n"/>
      <c r="AA78" s="1819" t="n"/>
      <c r="AB78" s="1820" t="n">
        <v>0</v>
      </c>
      <c r="AC78" s="1819" t="n"/>
      <c r="AD78" s="1819" t="n"/>
      <c r="AE78" s="1819" t="n"/>
      <c r="AF78" s="1819" t="n"/>
      <c r="AG78" s="1820" t="n">
        <v>0</v>
      </c>
      <c r="AH78" s="1819" t="n"/>
      <c r="AI78" s="1819" t="n"/>
      <c r="AJ78" s="1819" t="n"/>
      <c r="AK78" s="1819" t="n"/>
      <c r="AL78" s="1820" t="n">
        <v>0</v>
      </c>
      <c r="AM78" s="1819" t="n"/>
      <c r="AN78" s="1819" t="n"/>
      <c r="AO78" s="1819" t="n"/>
      <c r="AP78" s="1819" t="n"/>
      <c r="AQ78" s="1820" t="n">
        <v>0</v>
      </c>
      <c r="AR78" s="1819" t="n"/>
      <c r="AS78" s="1819" t="n"/>
      <c r="AT78" s="1819" t="n"/>
      <c r="AU78" s="1819" t="n"/>
      <c r="AV78" s="1820" t="n">
        <v>0</v>
      </c>
      <c r="AW78" s="1821" t="n"/>
      <c r="AX78" s="1822" t="n"/>
      <c r="AY78" s="1822" t="n"/>
      <c r="AZ78" s="1822" t="n"/>
      <c r="BA78" s="1823" t="n">
        <v>0</v>
      </c>
      <c r="BB78" s="1824" t="n"/>
      <c r="BC78" s="1758" t="n"/>
      <c r="BD78" s="1758" t="n"/>
      <c r="BE78" s="1758" t="n"/>
      <c r="BF78" s="1823" t="n">
        <v>0</v>
      </c>
      <c r="BG78" s="1819" t="n"/>
      <c r="BH78" s="1819" t="n"/>
      <c r="BI78" s="1819" t="n"/>
      <c r="BJ78" s="1819" t="n"/>
      <c r="BK78" s="1820" t="n">
        <v>0</v>
      </c>
      <c r="BL78" s="1819" t="n"/>
      <c r="BM78" s="1819" t="n"/>
      <c r="BN78" s="1819" t="n"/>
      <c r="BO78" s="1819" t="n"/>
      <c r="BP78" s="1820" t="n">
        <v>0</v>
      </c>
      <c r="BQ78" s="1819" t="n"/>
      <c r="BR78" s="1819" t="n"/>
      <c r="BS78" s="1819" t="n"/>
      <c r="BT78" s="1819" t="n"/>
      <c r="BU78" s="1820" t="n">
        <v>0</v>
      </c>
      <c r="BV78" s="1819" t="n"/>
      <c r="BW78" s="1819" t="n"/>
      <c r="BX78" s="1819" t="n"/>
      <c r="BY78" s="1819" t="n"/>
      <c r="BZ78" s="1820" t="n">
        <v>0</v>
      </c>
      <c r="CA78" s="1782" t="n"/>
      <c r="CB78" s="456" t="n"/>
      <c r="CC78" s="701" t="n"/>
      <c r="CD78" s="701" t="n"/>
      <c r="CE78" s="701" t="n"/>
      <c r="CF78" s="701" t="n"/>
      <c r="CG78" s="701" t="n"/>
      <c r="CH78" s="701" t="n"/>
      <c r="CI78" s="701" t="n"/>
      <c r="CJ78" s="701" t="n"/>
      <c r="CK78" s="701" t="n"/>
      <c r="CL78" s="701" t="n"/>
      <c r="CM78" s="701" t="n"/>
      <c r="CN78" s="701" t="n"/>
      <c r="CO78" s="701" t="n"/>
      <c r="CP78" s="701" t="n"/>
      <c r="CQ78" s="701" t="n"/>
      <c r="CR78" s="701" t="n"/>
      <c r="CS78" s="701" t="n"/>
      <c r="CT78" s="701" t="n"/>
      <c r="CU78" s="701" t="n"/>
      <c r="CV78" s="701" t="n"/>
      <c r="CW78" s="30" t="n"/>
    </row>
    <row r="79" ht="12" customHeight="1" s="1676">
      <c r="A79" s="31" t="n"/>
      <c r="B79" s="270" t="inlineStr">
        <is>
          <t>Text_58</t>
        </is>
      </c>
      <c r="C79" s="699" t="n"/>
      <c r="D79" s="1782" t="n"/>
      <c r="E79" s="1782" t="n"/>
      <c r="F79" s="1782" t="n"/>
      <c r="G79" s="1782" t="n"/>
      <c r="H79" s="1782" t="n"/>
      <c r="I79" s="1819" t="n"/>
      <c r="J79" s="1819" t="n"/>
      <c r="K79" s="1819" t="n"/>
      <c r="L79" s="1819" t="n"/>
      <c r="M79" s="1819" t="n"/>
      <c r="N79" s="1819" t="n"/>
      <c r="O79" s="1819" t="n"/>
      <c r="P79" s="1819" t="n"/>
      <c r="Q79" s="1819" t="n"/>
      <c r="R79" s="1820" t="n">
        <v>0</v>
      </c>
      <c r="S79" s="1819" t="n"/>
      <c r="T79" s="1819" t="n"/>
      <c r="U79" s="1819" t="n"/>
      <c r="V79" s="1819" t="n"/>
      <c r="W79" s="1820" t="n">
        <v>0</v>
      </c>
      <c r="X79" s="1819" t="n"/>
      <c r="Y79" s="1819" t="n"/>
      <c r="Z79" s="1819" t="n"/>
      <c r="AA79" s="1819" t="n"/>
      <c r="AB79" s="1820" t="n">
        <v>0</v>
      </c>
      <c r="AC79" s="1819" t="n"/>
      <c r="AD79" s="1819" t="n"/>
      <c r="AE79" s="1819" t="n"/>
      <c r="AF79" s="1819" t="n"/>
      <c r="AG79" s="1820" t="n">
        <v>0</v>
      </c>
      <c r="AH79" s="1819" t="n"/>
      <c r="AI79" s="1819" t="n"/>
      <c r="AJ79" s="1819" t="n"/>
      <c r="AK79" s="1819" t="n"/>
      <c r="AL79" s="1820" t="n">
        <v>0</v>
      </c>
      <c r="AM79" s="1819" t="n"/>
      <c r="AN79" s="1819" t="n"/>
      <c r="AO79" s="1819" t="n"/>
      <c r="AP79" s="1819" t="n"/>
      <c r="AQ79" s="1820" t="n">
        <v>0</v>
      </c>
      <c r="AR79" s="1819" t="n"/>
      <c r="AS79" s="1819" t="n"/>
      <c r="AT79" s="1819" t="n"/>
      <c r="AU79" s="1819" t="n"/>
      <c r="AV79" s="1820" t="n">
        <v>0</v>
      </c>
      <c r="AW79" s="1821" t="n"/>
      <c r="AX79" s="1822" t="n"/>
      <c r="AY79" s="1822" t="n"/>
      <c r="AZ79" s="1822" t="n"/>
      <c r="BA79" s="1823" t="n">
        <v>0</v>
      </c>
      <c r="BB79" s="1824" t="n"/>
      <c r="BC79" s="1758" t="n"/>
      <c r="BD79" s="1758" t="n"/>
      <c r="BE79" s="1758" t="n"/>
      <c r="BF79" s="1823" t="n">
        <v>0</v>
      </c>
      <c r="BG79" s="1819" t="n"/>
      <c r="BH79" s="1819" t="n"/>
      <c r="BI79" s="1819" t="n"/>
      <c r="BJ79" s="1819" t="n"/>
      <c r="BK79" s="1820" t="n">
        <v>0</v>
      </c>
      <c r="BL79" s="1819" t="n"/>
      <c r="BM79" s="1819" t="n"/>
      <c r="BN79" s="1819" t="n"/>
      <c r="BO79" s="1819" t="n"/>
      <c r="BP79" s="1820" t="n">
        <v>0</v>
      </c>
      <c r="BQ79" s="1819" t="n"/>
      <c r="BR79" s="1819" t="n"/>
      <c r="BS79" s="1819" t="n"/>
      <c r="BT79" s="1819" t="n"/>
      <c r="BU79" s="1820" t="n">
        <v>0</v>
      </c>
      <c r="BV79" s="1819" t="n"/>
      <c r="BW79" s="1819" t="n"/>
      <c r="BX79" s="1819" t="n"/>
      <c r="BY79" s="1819" t="n"/>
      <c r="BZ79" s="1820" t="n">
        <v>0</v>
      </c>
      <c r="CA79" s="1782" t="n"/>
      <c r="CB79" s="456" t="n"/>
      <c r="CC79" s="701" t="n"/>
      <c r="CD79" s="701" t="n"/>
      <c r="CE79" s="701" t="n"/>
      <c r="CF79" s="701" t="n"/>
      <c r="CG79" s="701" t="n"/>
      <c r="CH79" s="701" t="n"/>
      <c r="CI79" s="701" t="n"/>
      <c r="CJ79" s="701" t="n"/>
      <c r="CK79" s="701" t="n"/>
      <c r="CL79" s="701" t="n"/>
      <c r="CM79" s="701" t="n"/>
      <c r="CN79" s="701" t="n"/>
      <c r="CO79" s="701" t="n"/>
      <c r="CP79" s="701" t="n"/>
      <c r="CQ79" s="701" t="n"/>
      <c r="CR79" s="701" t="n"/>
      <c r="CS79" s="701" t="n"/>
      <c r="CT79" s="701" t="n"/>
      <c r="CU79" s="701" t="n"/>
      <c r="CV79" s="701" t="n"/>
      <c r="CW79" s="30" t="n"/>
    </row>
    <row r="80" ht="12" customHeight="1" s="1676">
      <c r="A80" s="31" t="n"/>
      <c r="B80" s="270" t="inlineStr">
        <is>
          <t>Text_59</t>
        </is>
      </c>
      <c r="C80" s="699" t="n"/>
      <c r="D80" s="1782" t="n"/>
      <c r="E80" s="1782" t="n"/>
      <c r="F80" s="1782" t="n"/>
      <c r="G80" s="1782" t="n"/>
      <c r="H80" s="1782" t="n"/>
      <c r="I80" s="1819" t="n"/>
      <c r="J80" s="1819" t="n"/>
      <c r="K80" s="1819" t="n"/>
      <c r="L80" s="1819" t="n"/>
      <c r="M80" s="1819" t="n"/>
      <c r="N80" s="1819" t="n"/>
      <c r="O80" s="1819" t="n"/>
      <c r="P80" s="1819" t="n"/>
      <c r="Q80" s="1819" t="n"/>
      <c r="R80" s="1820" t="n">
        <v>0</v>
      </c>
      <c r="S80" s="1819" t="n"/>
      <c r="T80" s="1819" t="n"/>
      <c r="U80" s="1819" t="n"/>
      <c r="V80" s="1819" t="n"/>
      <c r="W80" s="1820" t="n">
        <v>0</v>
      </c>
      <c r="X80" s="1819" t="n"/>
      <c r="Y80" s="1819" t="n"/>
      <c r="Z80" s="1819" t="n"/>
      <c r="AA80" s="1819" t="n"/>
      <c r="AB80" s="1820" t="n">
        <v>0</v>
      </c>
      <c r="AC80" s="1819" t="n"/>
      <c r="AD80" s="1819" t="n"/>
      <c r="AE80" s="1819" t="n"/>
      <c r="AF80" s="1819" t="n"/>
      <c r="AG80" s="1820" t="n">
        <v>0</v>
      </c>
      <c r="AH80" s="1819" t="n"/>
      <c r="AI80" s="1819" t="n"/>
      <c r="AJ80" s="1819" t="n"/>
      <c r="AK80" s="1819" t="n"/>
      <c r="AL80" s="1820" t="n">
        <v>0</v>
      </c>
      <c r="AM80" s="1819" t="n"/>
      <c r="AN80" s="1819" t="n"/>
      <c r="AO80" s="1819" t="n"/>
      <c r="AP80" s="1819" t="n"/>
      <c r="AQ80" s="1820" t="n">
        <v>0</v>
      </c>
      <c r="AR80" s="1819" t="n"/>
      <c r="AS80" s="1819" t="n"/>
      <c r="AT80" s="1819" t="n"/>
      <c r="AU80" s="1819" t="n"/>
      <c r="AV80" s="1820" t="n">
        <v>0</v>
      </c>
      <c r="AW80" s="1821" t="n"/>
      <c r="AX80" s="1822" t="n"/>
      <c r="AY80" s="1822" t="n"/>
      <c r="AZ80" s="1822" t="n"/>
      <c r="BA80" s="1823" t="n">
        <v>0</v>
      </c>
      <c r="BB80" s="1824" t="n"/>
      <c r="BC80" s="1758" t="n"/>
      <c r="BD80" s="1758" t="n"/>
      <c r="BE80" s="1758" t="n"/>
      <c r="BF80" s="1823" t="n">
        <v>0</v>
      </c>
      <c r="BG80" s="1819" t="n"/>
      <c r="BH80" s="1819" t="n"/>
      <c r="BI80" s="1819" t="n"/>
      <c r="BJ80" s="1819" t="n"/>
      <c r="BK80" s="1820" t="n">
        <v>0</v>
      </c>
      <c r="BL80" s="1819" t="n"/>
      <c r="BM80" s="1819" t="n"/>
      <c r="BN80" s="1819" t="n"/>
      <c r="BO80" s="1819" t="n"/>
      <c r="BP80" s="1820" t="n">
        <v>0</v>
      </c>
      <c r="BQ80" s="1819" t="n"/>
      <c r="BR80" s="1819" t="n"/>
      <c r="BS80" s="1819" t="n"/>
      <c r="BT80" s="1819" t="n"/>
      <c r="BU80" s="1820" t="n">
        <v>0</v>
      </c>
      <c r="BV80" s="1819" t="n"/>
      <c r="BW80" s="1819" t="n"/>
      <c r="BX80" s="1819" t="n"/>
      <c r="BY80" s="1819" t="n"/>
      <c r="BZ80" s="1820" t="n">
        <v>0</v>
      </c>
      <c r="CA80" s="1782" t="n"/>
      <c r="CB80" s="456" t="n"/>
      <c r="CC80" s="701" t="n"/>
      <c r="CD80" s="701" t="n"/>
      <c r="CE80" s="701" t="n"/>
      <c r="CF80" s="701" t="n"/>
      <c r="CG80" s="701" t="n"/>
      <c r="CH80" s="701" t="n"/>
      <c r="CI80" s="701" t="n"/>
      <c r="CJ80" s="701" t="n"/>
      <c r="CK80" s="701" t="n"/>
      <c r="CL80" s="701" t="n"/>
      <c r="CM80" s="701" t="n"/>
      <c r="CN80" s="701" t="n"/>
      <c r="CO80" s="701" t="n"/>
      <c r="CP80" s="701" t="n"/>
      <c r="CQ80" s="701" t="n"/>
      <c r="CR80" s="701" t="n"/>
      <c r="CS80" s="701" t="n"/>
      <c r="CT80" s="701" t="n"/>
      <c r="CU80" s="701" t="n"/>
      <c r="CV80" s="701" t="n"/>
      <c r="CW80" s="30" t="n"/>
    </row>
    <row r="81" ht="12" customHeight="1" s="1676">
      <c r="A81" s="31" t="n"/>
      <c r="B81" s="270" t="inlineStr">
        <is>
          <t>Text_60</t>
        </is>
      </c>
      <c r="C81" s="699" t="n"/>
      <c r="D81" s="1782" t="n"/>
      <c r="E81" s="1782" t="n"/>
      <c r="F81" s="1782" t="n"/>
      <c r="G81" s="1782" t="n"/>
      <c r="H81" s="1782" t="n"/>
      <c r="I81" s="1819" t="n"/>
      <c r="J81" s="1819" t="n"/>
      <c r="K81" s="1819" t="n"/>
      <c r="L81" s="1819" t="n"/>
      <c r="M81" s="1819" t="n"/>
      <c r="N81" s="1819" t="n"/>
      <c r="O81" s="1819" t="n"/>
      <c r="P81" s="1819" t="n"/>
      <c r="Q81" s="1819" t="n"/>
      <c r="R81" s="1820" t="n">
        <v>0</v>
      </c>
      <c r="S81" s="1819" t="n"/>
      <c r="T81" s="1819" t="n"/>
      <c r="U81" s="1819" t="n"/>
      <c r="V81" s="1819" t="n"/>
      <c r="W81" s="1820" t="n">
        <v>0</v>
      </c>
      <c r="X81" s="1819" t="n"/>
      <c r="Y81" s="1819" t="n"/>
      <c r="Z81" s="1819" t="n"/>
      <c r="AA81" s="1819" t="n"/>
      <c r="AB81" s="1820" t="n">
        <v>0</v>
      </c>
      <c r="AC81" s="1819" t="n"/>
      <c r="AD81" s="1819" t="n"/>
      <c r="AE81" s="1819" t="n"/>
      <c r="AF81" s="1819" t="n"/>
      <c r="AG81" s="1820" t="n">
        <v>0</v>
      </c>
      <c r="AH81" s="1819" t="n"/>
      <c r="AI81" s="1819" t="n"/>
      <c r="AJ81" s="1819" t="n"/>
      <c r="AK81" s="1819" t="n"/>
      <c r="AL81" s="1820" t="n">
        <v>0</v>
      </c>
      <c r="AM81" s="1819" t="n"/>
      <c r="AN81" s="1819" t="n"/>
      <c r="AO81" s="1819" t="n"/>
      <c r="AP81" s="1819" t="n"/>
      <c r="AQ81" s="1820" t="n">
        <v>0</v>
      </c>
      <c r="AR81" s="1819" t="n"/>
      <c r="AS81" s="1819" t="n"/>
      <c r="AT81" s="1819" t="n"/>
      <c r="AU81" s="1819" t="n"/>
      <c r="AV81" s="1820" t="n">
        <v>0</v>
      </c>
      <c r="AW81" s="1821" t="n"/>
      <c r="AX81" s="1822" t="n"/>
      <c r="AY81" s="1822" t="n"/>
      <c r="AZ81" s="1822" t="n"/>
      <c r="BA81" s="1823" t="n">
        <v>0</v>
      </c>
      <c r="BB81" s="1824" t="n"/>
      <c r="BC81" s="1758" t="n"/>
      <c r="BD81" s="1758" t="n"/>
      <c r="BE81" s="1758" t="n"/>
      <c r="BF81" s="1823" t="n">
        <v>0</v>
      </c>
      <c r="BG81" s="1819" t="n"/>
      <c r="BH81" s="1819" t="n"/>
      <c r="BI81" s="1819" t="n"/>
      <c r="BJ81" s="1819" t="n"/>
      <c r="BK81" s="1820" t="n">
        <v>0</v>
      </c>
      <c r="BL81" s="1819" t="n"/>
      <c r="BM81" s="1819" t="n"/>
      <c r="BN81" s="1819" t="n"/>
      <c r="BO81" s="1819" t="n"/>
      <c r="BP81" s="1820" t="n">
        <v>0</v>
      </c>
      <c r="BQ81" s="1819" t="n"/>
      <c r="BR81" s="1819" t="n"/>
      <c r="BS81" s="1819" t="n"/>
      <c r="BT81" s="1819" t="n"/>
      <c r="BU81" s="1820" t="n">
        <v>0</v>
      </c>
      <c r="BV81" s="1819" t="n"/>
      <c r="BW81" s="1819" t="n"/>
      <c r="BX81" s="1819" t="n"/>
      <c r="BY81" s="1819" t="n"/>
      <c r="BZ81" s="1820" t="n">
        <v>0</v>
      </c>
      <c r="CA81" s="1782" t="n"/>
      <c r="CB81" s="456" t="n"/>
      <c r="CC81" s="701" t="n"/>
      <c r="CD81" s="701" t="n"/>
      <c r="CE81" s="701" t="n"/>
      <c r="CF81" s="701" t="n"/>
      <c r="CG81" s="701" t="n"/>
      <c r="CH81" s="701" t="n"/>
      <c r="CI81" s="701" t="n"/>
      <c r="CJ81" s="701" t="n"/>
      <c r="CK81" s="701" t="n"/>
      <c r="CL81" s="701" t="n"/>
      <c r="CM81" s="701" t="n"/>
      <c r="CN81" s="701" t="n"/>
      <c r="CO81" s="701" t="n"/>
      <c r="CP81" s="701" t="n"/>
      <c r="CQ81" s="701" t="n"/>
      <c r="CR81" s="701" t="n"/>
      <c r="CS81" s="701" t="n"/>
      <c r="CT81" s="701" t="n"/>
      <c r="CU81" s="701" t="n"/>
      <c r="CV81" s="701" t="n"/>
      <c r="CW81" s="30" t="n"/>
    </row>
    <row r="82" ht="12" customHeight="1" s="1676">
      <c r="A82" s="31" t="n"/>
      <c r="B82" s="270" t="inlineStr">
        <is>
          <t>Text_61</t>
        </is>
      </c>
      <c r="C82" s="699" t="n"/>
      <c r="D82" s="1782" t="n"/>
      <c r="E82" s="1782" t="n"/>
      <c r="F82" s="1782" t="n"/>
      <c r="G82" s="1782" t="n"/>
      <c r="H82" s="1782" t="n"/>
      <c r="I82" s="1819" t="n"/>
      <c r="J82" s="1819" t="n"/>
      <c r="K82" s="1819" t="n"/>
      <c r="L82" s="1819" t="n"/>
      <c r="M82" s="1819" t="n"/>
      <c r="N82" s="1819" t="n"/>
      <c r="O82" s="1819" t="n"/>
      <c r="P82" s="1819" t="n"/>
      <c r="Q82" s="1819" t="n"/>
      <c r="R82" s="1820" t="n">
        <v>0</v>
      </c>
      <c r="S82" s="1819" t="n"/>
      <c r="T82" s="1819" t="n"/>
      <c r="U82" s="1819" t="n"/>
      <c r="V82" s="1819" t="n"/>
      <c r="W82" s="1820" t="n">
        <v>0</v>
      </c>
      <c r="X82" s="1819" t="n"/>
      <c r="Y82" s="1819" t="n"/>
      <c r="Z82" s="1819" t="n"/>
      <c r="AA82" s="1819" t="n"/>
      <c r="AB82" s="1820" t="n">
        <v>0</v>
      </c>
      <c r="AC82" s="1819" t="n"/>
      <c r="AD82" s="1819" t="n"/>
      <c r="AE82" s="1819" t="n"/>
      <c r="AF82" s="1819" t="n"/>
      <c r="AG82" s="1820" t="n">
        <v>0</v>
      </c>
      <c r="AH82" s="1819" t="n"/>
      <c r="AI82" s="1819" t="n"/>
      <c r="AJ82" s="1819" t="n"/>
      <c r="AK82" s="1819" t="n"/>
      <c r="AL82" s="1820" t="n">
        <v>0</v>
      </c>
      <c r="AM82" s="1819" t="n"/>
      <c r="AN82" s="1819" t="n"/>
      <c r="AO82" s="1819" t="n"/>
      <c r="AP82" s="1819" t="n"/>
      <c r="AQ82" s="1820" t="n">
        <v>0</v>
      </c>
      <c r="AR82" s="1819" t="n"/>
      <c r="AS82" s="1819" t="n"/>
      <c r="AT82" s="1819" t="n"/>
      <c r="AU82" s="1819" t="n"/>
      <c r="AV82" s="1820" t="n">
        <v>0</v>
      </c>
      <c r="AW82" s="1821" t="n"/>
      <c r="AX82" s="1822" t="n"/>
      <c r="AY82" s="1822" t="n"/>
      <c r="AZ82" s="1822" t="n"/>
      <c r="BA82" s="1823" t="n">
        <v>0</v>
      </c>
      <c r="BB82" s="1824" t="n"/>
      <c r="BC82" s="1758" t="n"/>
      <c r="BD82" s="1758" t="n"/>
      <c r="BE82" s="1758" t="n"/>
      <c r="BF82" s="1823" t="n">
        <v>0</v>
      </c>
      <c r="BG82" s="1819" t="n"/>
      <c r="BH82" s="1819" t="n"/>
      <c r="BI82" s="1819" t="n"/>
      <c r="BJ82" s="1819" t="n"/>
      <c r="BK82" s="1820" t="n">
        <v>0</v>
      </c>
      <c r="BL82" s="1819" t="n"/>
      <c r="BM82" s="1819" t="n"/>
      <c r="BN82" s="1819" t="n"/>
      <c r="BO82" s="1819" t="n"/>
      <c r="BP82" s="1820" t="n">
        <v>0</v>
      </c>
      <c r="BQ82" s="1819" t="n"/>
      <c r="BR82" s="1819" t="n"/>
      <c r="BS82" s="1819" t="n"/>
      <c r="BT82" s="1819" t="n"/>
      <c r="BU82" s="1820" t="n">
        <v>0</v>
      </c>
      <c r="BV82" s="1819" t="n"/>
      <c r="BW82" s="1819" t="n"/>
      <c r="BX82" s="1819" t="n"/>
      <c r="BY82" s="1819" t="n"/>
      <c r="BZ82" s="1820" t="n">
        <v>0</v>
      </c>
      <c r="CA82" s="1782" t="n"/>
      <c r="CB82" s="456" t="n"/>
      <c r="CC82" s="701" t="n"/>
      <c r="CD82" s="701" t="n"/>
      <c r="CE82" s="701" t="n"/>
      <c r="CF82" s="701" t="n"/>
      <c r="CG82" s="701" t="n"/>
      <c r="CH82" s="701" t="n"/>
      <c r="CI82" s="701" t="n"/>
      <c r="CJ82" s="701" t="n"/>
      <c r="CK82" s="701" t="n"/>
      <c r="CL82" s="701" t="n"/>
      <c r="CM82" s="701" t="n"/>
      <c r="CN82" s="701" t="n"/>
      <c r="CO82" s="701" t="n"/>
      <c r="CP82" s="701" t="n"/>
      <c r="CQ82" s="701" t="n"/>
      <c r="CR82" s="701" t="n"/>
      <c r="CS82" s="701" t="n"/>
      <c r="CT82" s="701" t="n"/>
      <c r="CU82" s="701" t="n"/>
      <c r="CV82" s="701" t="n"/>
      <c r="CW82" s="30" t="n"/>
    </row>
    <row r="83" ht="12" customHeight="1" s="1676">
      <c r="A83" s="31" t="n"/>
      <c r="B83" s="270" t="inlineStr">
        <is>
          <t>Text_62</t>
        </is>
      </c>
      <c r="C83" s="699" t="n"/>
      <c r="D83" s="1782" t="n"/>
      <c r="E83" s="1782" t="n"/>
      <c r="F83" s="1782" t="n"/>
      <c r="G83" s="1782" t="n"/>
      <c r="H83" s="1782" t="n"/>
      <c r="I83" s="1819" t="n"/>
      <c r="J83" s="1819" t="n"/>
      <c r="K83" s="1819" t="n"/>
      <c r="L83" s="1819" t="n"/>
      <c r="M83" s="1819" t="n"/>
      <c r="N83" s="1819" t="n"/>
      <c r="O83" s="1819" t="n"/>
      <c r="P83" s="1819" t="n"/>
      <c r="Q83" s="1819" t="n"/>
      <c r="R83" s="1820" t="n">
        <v>0</v>
      </c>
      <c r="S83" s="1819" t="n"/>
      <c r="T83" s="1819" t="n"/>
      <c r="U83" s="1819" t="n"/>
      <c r="V83" s="1819" t="n"/>
      <c r="W83" s="1820" t="n">
        <v>0</v>
      </c>
      <c r="X83" s="1819" t="n"/>
      <c r="Y83" s="1819" t="n"/>
      <c r="Z83" s="1819" t="n"/>
      <c r="AA83" s="1819" t="n"/>
      <c r="AB83" s="1820" t="n">
        <v>0</v>
      </c>
      <c r="AC83" s="1819" t="n"/>
      <c r="AD83" s="1819" t="n"/>
      <c r="AE83" s="1819" t="n"/>
      <c r="AF83" s="1819" t="n"/>
      <c r="AG83" s="1820" t="n">
        <v>0</v>
      </c>
      <c r="AH83" s="1819" t="n"/>
      <c r="AI83" s="1819" t="n"/>
      <c r="AJ83" s="1819" t="n"/>
      <c r="AK83" s="1819" t="n"/>
      <c r="AL83" s="1820" t="n">
        <v>0</v>
      </c>
      <c r="AM83" s="1819" t="n"/>
      <c r="AN83" s="1819" t="n"/>
      <c r="AO83" s="1819" t="n"/>
      <c r="AP83" s="1819" t="n"/>
      <c r="AQ83" s="1820" t="n">
        <v>0</v>
      </c>
      <c r="AR83" s="1819" t="n"/>
      <c r="AS83" s="1819" t="n"/>
      <c r="AT83" s="1819" t="n"/>
      <c r="AU83" s="1819" t="n"/>
      <c r="AV83" s="1820" t="n">
        <v>0</v>
      </c>
      <c r="AW83" s="1821" t="n"/>
      <c r="AX83" s="1822" t="n"/>
      <c r="AY83" s="1822" t="n"/>
      <c r="AZ83" s="1822" t="n"/>
      <c r="BA83" s="1823" t="n">
        <v>0</v>
      </c>
      <c r="BB83" s="1824" t="n"/>
      <c r="BC83" s="1758" t="n"/>
      <c r="BD83" s="1758" t="n"/>
      <c r="BE83" s="1758" t="n"/>
      <c r="BF83" s="1823" t="n">
        <v>0</v>
      </c>
      <c r="BG83" s="1819" t="n"/>
      <c r="BH83" s="1819" t="n"/>
      <c r="BI83" s="1819" t="n"/>
      <c r="BJ83" s="1819" t="n"/>
      <c r="BK83" s="1820" t="n">
        <v>0</v>
      </c>
      <c r="BL83" s="1819" t="n"/>
      <c r="BM83" s="1819" t="n"/>
      <c r="BN83" s="1819" t="n"/>
      <c r="BO83" s="1819" t="n"/>
      <c r="BP83" s="1820" t="n">
        <v>0</v>
      </c>
      <c r="BQ83" s="1819" t="n"/>
      <c r="BR83" s="1819" t="n"/>
      <c r="BS83" s="1819" t="n"/>
      <c r="BT83" s="1819" t="n"/>
      <c r="BU83" s="1820" t="n">
        <v>0</v>
      </c>
      <c r="BV83" s="1819" t="n"/>
      <c r="BW83" s="1819" t="n"/>
      <c r="BX83" s="1819" t="n"/>
      <c r="BY83" s="1819" t="n"/>
      <c r="BZ83" s="1820" t="n">
        <v>0</v>
      </c>
      <c r="CA83" s="1782" t="n"/>
      <c r="CB83" s="456" t="n"/>
      <c r="CC83" s="701" t="n"/>
      <c r="CD83" s="701" t="n"/>
      <c r="CE83" s="701" t="n"/>
      <c r="CF83" s="701" t="n"/>
      <c r="CG83" s="701" t="n"/>
      <c r="CH83" s="701" t="n"/>
      <c r="CI83" s="701" t="n"/>
      <c r="CJ83" s="701" t="n"/>
      <c r="CK83" s="701" t="n"/>
      <c r="CL83" s="701" t="n"/>
      <c r="CM83" s="701" t="n"/>
      <c r="CN83" s="701" t="n"/>
      <c r="CO83" s="701" t="n"/>
      <c r="CP83" s="701" t="n"/>
      <c r="CQ83" s="701" t="n"/>
      <c r="CR83" s="701" t="n"/>
      <c r="CS83" s="701" t="n"/>
      <c r="CT83" s="701" t="n"/>
      <c r="CU83" s="701" t="n"/>
      <c r="CV83" s="701" t="n"/>
      <c r="CW83" s="30" t="n"/>
    </row>
    <row r="84" ht="12" customHeight="1" s="1676">
      <c r="A84" s="31" t="n"/>
      <c r="B84" s="270" t="inlineStr">
        <is>
          <t>Text_63</t>
        </is>
      </c>
      <c r="C84" s="699" t="n"/>
      <c r="D84" s="1782" t="n"/>
      <c r="E84" s="1782" t="n"/>
      <c r="F84" s="1782" t="n"/>
      <c r="G84" s="1782" t="n"/>
      <c r="H84" s="1782" t="n"/>
      <c r="I84" s="1819" t="n"/>
      <c r="J84" s="1819" t="n"/>
      <c r="K84" s="1819" t="n"/>
      <c r="L84" s="1819" t="n"/>
      <c r="M84" s="1819" t="n"/>
      <c r="N84" s="1819" t="n"/>
      <c r="O84" s="1819" t="n"/>
      <c r="P84" s="1819" t="n"/>
      <c r="Q84" s="1819" t="n"/>
      <c r="R84" s="1820" t="n">
        <v>0</v>
      </c>
      <c r="S84" s="1819" t="n"/>
      <c r="T84" s="1819" t="n"/>
      <c r="U84" s="1819" t="n"/>
      <c r="V84" s="1819" t="n"/>
      <c r="W84" s="1820" t="n">
        <v>0</v>
      </c>
      <c r="X84" s="1819" t="n"/>
      <c r="Y84" s="1819" t="n"/>
      <c r="Z84" s="1819" t="n"/>
      <c r="AA84" s="1819" t="n"/>
      <c r="AB84" s="1820" t="n">
        <v>0</v>
      </c>
      <c r="AC84" s="1819" t="n"/>
      <c r="AD84" s="1819" t="n"/>
      <c r="AE84" s="1819" t="n"/>
      <c r="AF84" s="1819" t="n"/>
      <c r="AG84" s="1820" t="n">
        <v>0</v>
      </c>
      <c r="AH84" s="1819" t="n"/>
      <c r="AI84" s="1819" t="n"/>
      <c r="AJ84" s="1819" t="n"/>
      <c r="AK84" s="1819" t="n"/>
      <c r="AL84" s="1820" t="n">
        <v>0</v>
      </c>
      <c r="AM84" s="1819" t="n"/>
      <c r="AN84" s="1819" t="n"/>
      <c r="AO84" s="1819" t="n"/>
      <c r="AP84" s="1819" t="n"/>
      <c r="AQ84" s="1820" t="n">
        <v>0</v>
      </c>
      <c r="AR84" s="1819" t="n"/>
      <c r="AS84" s="1819" t="n"/>
      <c r="AT84" s="1819" t="n"/>
      <c r="AU84" s="1819" t="n"/>
      <c r="AV84" s="1820" t="n">
        <v>0</v>
      </c>
      <c r="AW84" s="1821" t="n"/>
      <c r="AX84" s="1822" t="n"/>
      <c r="AY84" s="1822" t="n"/>
      <c r="AZ84" s="1822" t="n"/>
      <c r="BA84" s="1823" t="n">
        <v>0</v>
      </c>
      <c r="BB84" s="1824" t="n"/>
      <c r="BC84" s="1758" t="n"/>
      <c r="BD84" s="1758" t="n"/>
      <c r="BE84" s="1758" t="n"/>
      <c r="BF84" s="1823" t="n">
        <v>0</v>
      </c>
      <c r="BG84" s="1819" t="n"/>
      <c r="BH84" s="1819" t="n"/>
      <c r="BI84" s="1819" t="n"/>
      <c r="BJ84" s="1819" t="n"/>
      <c r="BK84" s="1820" t="n">
        <v>0</v>
      </c>
      <c r="BL84" s="1819" t="n"/>
      <c r="BM84" s="1819" t="n"/>
      <c r="BN84" s="1819" t="n"/>
      <c r="BO84" s="1819" t="n"/>
      <c r="BP84" s="1820" t="n">
        <v>0</v>
      </c>
      <c r="BQ84" s="1819" t="n"/>
      <c r="BR84" s="1819" t="n"/>
      <c r="BS84" s="1819" t="n"/>
      <c r="BT84" s="1819" t="n"/>
      <c r="BU84" s="1820" t="n">
        <v>0</v>
      </c>
      <c r="BV84" s="1819" t="n"/>
      <c r="BW84" s="1819" t="n"/>
      <c r="BX84" s="1819" t="n"/>
      <c r="BY84" s="1819" t="n"/>
      <c r="BZ84" s="1820" t="n">
        <v>0</v>
      </c>
      <c r="CA84" s="1782" t="n"/>
      <c r="CB84" s="456" t="n"/>
      <c r="CC84" s="701" t="n"/>
      <c r="CD84" s="701" t="n"/>
      <c r="CE84" s="701" t="n"/>
      <c r="CF84" s="701" t="n"/>
      <c r="CG84" s="701" t="n"/>
      <c r="CH84" s="701" t="n"/>
      <c r="CI84" s="701" t="n"/>
      <c r="CJ84" s="701" t="n"/>
      <c r="CK84" s="701" t="n"/>
      <c r="CL84" s="701" t="n"/>
      <c r="CM84" s="701" t="n"/>
      <c r="CN84" s="701" t="n"/>
      <c r="CO84" s="701" t="n"/>
      <c r="CP84" s="701" t="n"/>
      <c r="CQ84" s="701" t="n"/>
      <c r="CR84" s="701" t="n"/>
      <c r="CS84" s="701" t="n"/>
      <c r="CT84" s="701" t="n"/>
      <c r="CU84" s="701" t="n"/>
      <c r="CV84" s="701" t="n"/>
      <c r="CW84" s="30" t="n"/>
    </row>
    <row r="85" ht="12" customHeight="1" s="1676">
      <c r="A85" s="31" t="n"/>
      <c r="B85" s="270" t="inlineStr">
        <is>
          <t>Text_64</t>
        </is>
      </c>
      <c r="C85" s="699" t="n"/>
      <c r="D85" s="1782" t="n"/>
      <c r="E85" s="1782" t="n"/>
      <c r="F85" s="1782" t="n"/>
      <c r="G85" s="1782" t="n"/>
      <c r="H85" s="1782" t="n"/>
      <c r="I85" s="1819" t="n"/>
      <c r="J85" s="1819" t="n"/>
      <c r="K85" s="1819" t="n"/>
      <c r="L85" s="1819" t="n"/>
      <c r="M85" s="1819" t="n"/>
      <c r="N85" s="1819" t="n"/>
      <c r="O85" s="1819" t="n"/>
      <c r="P85" s="1819" t="n"/>
      <c r="Q85" s="1819" t="n"/>
      <c r="R85" s="1820" t="n">
        <v>0</v>
      </c>
      <c r="S85" s="1819" t="n"/>
      <c r="T85" s="1819" t="n"/>
      <c r="U85" s="1819" t="n"/>
      <c r="V85" s="1819" t="n"/>
      <c r="W85" s="1820" t="n">
        <v>0</v>
      </c>
      <c r="X85" s="1819" t="n"/>
      <c r="Y85" s="1819" t="n"/>
      <c r="Z85" s="1819" t="n"/>
      <c r="AA85" s="1819" t="n"/>
      <c r="AB85" s="1820" t="n">
        <v>0</v>
      </c>
      <c r="AC85" s="1819" t="n"/>
      <c r="AD85" s="1819" t="n"/>
      <c r="AE85" s="1819" t="n"/>
      <c r="AF85" s="1819" t="n"/>
      <c r="AG85" s="1820" t="n">
        <v>0</v>
      </c>
      <c r="AH85" s="1819" t="n"/>
      <c r="AI85" s="1819" t="n"/>
      <c r="AJ85" s="1819" t="n"/>
      <c r="AK85" s="1819" t="n"/>
      <c r="AL85" s="1820" t="n">
        <v>0</v>
      </c>
      <c r="AM85" s="1819" t="n"/>
      <c r="AN85" s="1819" t="n"/>
      <c r="AO85" s="1819" t="n"/>
      <c r="AP85" s="1819" t="n"/>
      <c r="AQ85" s="1820" t="n">
        <v>0</v>
      </c>
      <c r="AR85" s="1819" t="n"/>
      <c r="AS85" s="1819" t="n"/>
      <c r="AT85" s="1819" t="n"/>
      <c r="AU85" s="1819" t="n"/>
      <c r="AV85" s="1820" t="n">
        <v>0</v>
      </c>
      <c r="AW85" s="1821" t="n"/>
      <c r="AX85" s="1822" t="n"/>
      <c r="AY85" s="1822" t="n"/>
      <c r="AZ85" s="1822" t="n"/>
      <c r="BA85" s="1823" t="n">
        <v>0</v>
      </c>
      <c r="BB85" s="1824" t="n"/>
      <c r="BC85" s="1758" t="n"/>
      <c r="BD85" s="1758" t="n"/>
      <c r="BE85" s="1758" t="n"/>
      <c r="BF85" s="1823" t="n">
        <v>0</v>
      </c>
      <c r="BG85" s="1819" t="n"/>
      <c r="BH85" s="1819" t="n"/>
      <c r="BI85" s="1819" t="n"/>
      <c r="BJ85" s="1819" t="n"/>
      <c r="BK85" s="1820" t="n">
        <v>0</v>
      </c>
      <c r="BL85" s="1819" t="n"/>
      <c r="BM85" s="1819" t="n"/>
      <c r="BN85" s="1819" t="n"/>
      <c r="BO85" s="1819" t="n"/>
      <c r="BP85" s="1820" t="n">
        <v>0</v>
      </c>
      <c r="BQ85" s="1819" t="n"/>
      <c r="BR85" s="1819" t="n"/>
      <c r="BS85" s="1819" t="n"/>
      <c r="BT85" s="1819" t="n"/>
      <c r="BU85" s="1820" t="n">
        <v>0</v>
      </c>
      <c r="BV85" s="1819" t="n"/>
      <c r="BW85" s="1819" t="n"/>
      <c r="BX85" s="1819" t="n"/>
      <c r="BY85" s="1819" t="n"/>
      <c r="BZ85" s="1820" t="n">
        <v>0</v>
      </c>
      <c r="CA85" s="1782" t="n"/>
      <c r="CB85" s="456" t="n"/>
      <c r="CC85" s="701" t="n"/>
      <c r="CD85" s="701" t="n"/>
      <c r="CE85" s="701" t="n"/>
      <c r="CF85" s="701" t="n"/>
      <c r="CG85" s="701" t="n"/>
      <c r="CH85" s="701" t="n"/>
      <c r="CI85" s="701" t="n"/>
      <c r="CJ85" s="701" t="n"/>
      <c r="CK85" s="701" t="n"/>
      <c r="CL85" s="701" t="n"/>
      <c r="CM85" s="701" t="n"/>
      <c r="CN85" s="701" t="n"/>
      <c r="CO85" s="701" t="n"/>
      <c r="CP85" s="701" t="n"/>
      <c r="CQ85" s="701" t="n"/>
      <c r="CR85" s="701" t="n"/>
      <c r="CS85" s="701" t="n"/>
      <c r="CT85" s="701" t="n"/>
      <c r="CU85" s="701" t="n"/>
      <c r="CV85" s="701" t="n"/>
      <c r="CW85" s="30" t="n"/>
    </row>
    <row r="86" ht="12" customHeight="1" s="1676">
      <c r="A86" s="31" t="n"/>
      <c r="B86" s="270" t="inlineStr">
        <is>
          <t>Text_65</t>
        </is>
      </c>
      <c r="C86" s="699" t="n"/>
      <c r="D86" s="1782" t="n"/>
      <c r="E86" s="1782" t="n"/>
      <c r="F86" s="1782" t="n"/>
      <c r="G86" s="1782" t="n"/>
      <c r="H86" s="1782" t="n"/>
      <c r="I86" s="1819" t="n"/>
      <c r="J86" s="1819" t="n"/>
      <c r="K86" s="1819" t="n"/>
      <c r="L86" s="1819" t="n"/>
      <c r="M86" s="1819" t="n"/>
      <c r="N86" s="1819" t="n"/>
      <c r="O86" s="1819" t="n"/>
      <c r="P86" s="1819" t="n"/>
      <c r="Q86" s="1819" t="n"/>
      <c r="R86" s="1820" t="n">
        <v>0</v>
      </c>
      <c r="S86" s="1819" t="n"/>
      <c r="T86" s="1819" t="n"/>
      <c r="U86" s="1819" t="n"/>
      <c r="V86" s="1819" t="n"/>
      <c r="W86" s="1820" t="n">
        <v>0</v>
      </c>
      <c r="X86" s="1819" t="n"/>
      <c r="Y86" s="1819" t="n"/>
      <c r="Z86" s="1819" t="n"/>
      <c r="AA86" s="1819" t="n"/>
      <c r="AB86" s="1820" t="n">
        <v>0</v>
      </c>
      <c r="AC86" s="1819" t="n"/>
      <c r="AD86" s="1819" t="n"/>
      <c r="AE86" s="1819" t="n"/>
      <c r="AF86" s="1819" t="n"/>
      <c r="AG86" s="1820" t="n">
        <v>0</v>
      </c>
      <c r="AH86" s="1819" t="n"/>
      <c r="AI86" s="1819" t="n"/>
      <c r="AJ86" s="1819" t="n"/>
      <c r="AK86" s="1819" t="n"/>
      <c r="AL86" s="1820" t="n">
        <v>0</v>
      </c>
      <c r="AM86" s="1819" t="n"/>
      <c r="AN86" s="1819" t="n"/>
      <c r="AO86" s="1819" t="n"/>
      <c r="AP86" s="1819" t="n"/>
      <c r="AQ86" s="1820" t="n">
        <v>0</v>
      </c>
      <c r="AR86" s="1819" t="n"/>
      <c r="AS86" s="1819" t="n"/>
      <c r="AT86" s="1819" t="n"/>
      <c r="AU86" s="1819" t="n"/>
      <c r="AV86" s="1820" t="n">
        <v>0</v>
      </c>
      <c r="AW86" s="1821" t="n"/>
      <c r="AX86" s="1822" t="n"/>
      <c r="AY86" s="1822" t="n"/>
      <c r="AZ86" s="1822" t="n"/>
      <c r="BA86" s="1823" t="n">
        <v>0</v>
      </c>
      <c r="BB86" s="1824" t="n"/>
      <c r="BC86" s="1758" t="n"/>
      <c r="BD86" s="1758" t="n"/>
      <c r="BE86" s="1758" t="n"/>
      <c r="BF86" s="1823" t="n">
        <v>0</v>
      </c>
      <c r="BG86" s="1819" t="n"/>
      <c r="BH86" s="1819" t="n"/>
      <c r="BI86" s="1819" t="n"/>
      <c r="BJ86" s="1819" t="n"/>
      <c r="BK86" s="1820" t="n">
        <v>0</v>
      </c>
      <c r="BL86" s="1819" t="n"/>
      <c r="BM86" s="1819" t="n"/>
      <c r="BN86" s="1819" t="n"/>
      <c r="BO86" s="1819" t="n"/>
      <c r="BP86" s="1820" t="n">
        <v>0</v>
      </c>
      <c r="BQ86" s="1819" t="n"/>
      <c r="BR86" s="1819" t="n"/>
      <c r="BS86" s="1819" t="n"/>
      <c r="BT86" s="1819" t="n"/>
      <c r="BU86" s="1820" t="n">
        <v>0</v>
      </c>
      <c r="BV86" s="1819" t="n"/>
      <c r="BW86" s="1819" t="n"/>
      <c r="BX86" s="1819" t="n"/>
      <c r="BY86" s="1819" t="n"/>
      <c r="BZ86" s="1820" t="n">
        <v>0</v>
      </c>
      <c r="CA86" s="1782" t="n"/>
      <c r="CB86" s="456" t="n"/>
      <c r="CC86" s="701" t="n"/>
      <c r="CD86" s="701" t="n"/>
      <c r="CE86" s="701" t="n"/>
      <c r="CF86" s="701" t="n"/>
      <c r="CG86" s="701" t="n"/>
      <c r="CH86" s="701" t="n"/>
      <c r="CI86" s="701" t="n"/>
      <c r="CJ86" s="701" t="n"/>
      <c r="CK86" s="701" t="n"/>
      <c r="CL86" s="701" t="n"/>
      <c r="CM86" s="701" t="n"/>
      <c r="CN86" s="701" t="n"/>
      <c r="CO86" s="701" t="n"/>
      <c r="CP86" s="701" t="n"/>
      <c r="CQ86" s="701" t="n"/>
      <c r="CR86" s="701" t="n"/>
      <c r="CS86" s="701" t="n"/>
      <c r="CT86" s="701" t="n"/>
      <c r="CU86" s="701" t="n"/>
      <c r="CV86" s="701" t="n"/>
      <c r="CW86" s="30" t="n"/>
    </row>
    <row r="87" ht="12" customHeight="1" s="1676">
      <c r="A87" s="31" t="n"/>
      <c r="B87" s="270" t="inlineStr">
        <is>
          <t>Text_66</t>
        </is>
      </c>
      <c r="C87" s="699" t="n"/>
      <c r="D87" s="1782" t="n"/>
      <c r="E87" s="1782" t="n"/>
      <c r="F87" s="1782" t="n"/>
      <c r="G87" s="1782" t="n"/>
      <c r="H87" s="1782" t="n"/>
      <c r="I87" s="1819" t="n"/>
      <c r="J87" s="1819" t="n"/>
      <c r="K87" s="1819" t="n"/>
      <c r="L87" s="1819" t="n"/>
      <c r="M87" s="1819" t="n"/>
      <c r="N87" s="1819" t="n"/>
      <c r="O87" s="1819" t="n"/>
      <c r="P87" s="1819" t="n"/>
      <c r="Q87" s="1819" t="n"/>
      <c r="R87" s="1820" t="n">
        <v>0</v>
      </c>
      <c r="S87" s="1819" t="n"/>
      <c r="T87" s="1819" t="n"/>
      <c r="U87" s="1819" t="n"/>
      <c r="V87" s="1819" t="n"/>
      <c r="W87" s="1820" t="n">
        <v>0</v>
      </c>
      <c r="X87" s="1819" t="n"/>
      <c r="Y87" s="1819" t="n"/>
      <c r="Z87" s="1819" t="n"/>
      <c r="AA87" s="1819" t="n"/>
      <c r="AB87" s="1820" t="n">
        <v>0</v>
      </c>
      <c r="AC87" s="1819" t="n"/>
      <c r="AD87" s="1819" t="n"/>
      <c r="AE87" s="1819" t="n"/>
      <c r="AF87" s="1819" t="n"/>
      <c r="AG87" s="1820" t="n">
        <v>0</v>
      </c>
      <c r="AH87" s="1819" t="n"/>
      <c r="AI87" s="1819" t="n"/>
      <c r="AJ87" s="1819" t="n"/>
      <c r="AK87" s="1819" t="n"/>
      <c r="AL87" s="1820" t="n">
        <v>0</v>
      </c>
      <c r="AM87" s="1819" t="n"/>
      <c r="AN87" s="1819" t="n"/>
      <c r="AO87" s="1819" t="n"/>
      <c r="AP87" s="1819" t="n"/>
      <c r="AQ87" s="1820" t="n">
        <v>0</v>
      </c>
      <c r="AR87" s="1819" t="n"/>
      <c r="AS87" s="1819" t="n"/>
      <c r="AT87" s="1819" t="n"/>
      <c r="AU87" s="1819" t="n"/>
      <c r="AV87" s="1820" t="n">
        <v>0</v>
      </c>
      <c r="AW87" s="1821" t="n"/>
      <c r="AX87" s="1822" t="n"/>
      <c r="AY87" s="1822" t="n"/>
      <c r="AZ87" s="1822" t="n"/>
      <c r="BA87" s="1823" t="n">
        <v>0</v>
      </c>
      <c r="BB87" s="1824" t="n"/>
      <c r="BC87" s="1758" t="n"/>
      <c r="BD87" s="1758" t="n"/>
      <c r="BE87" s="1758" t="n"/>
      <c r="BF87" s="1823" t="n">
        <v>0</v>
      </c>
      <c r="BG87" s="1819" t="n"/>
      <c r="BH87" s="1819" t="n"/>
      <c r="BI87" s="1819" t="n"/>
      <c r="BJ87" s="1819" t="n"/>
      <c r="BK87" s="1820" t="n">
        <v>0</v>
      </c>
      <c r="BL87" s="1819" t="n"/>
      <c r="BM87" s="1819" t="n"/>
      <c r="BN87" s="1819" t="n"/>
      <c r="BO87" s="1819" t="n"/>
      <c r="BP87" s="1820" t="n">
        <v>0</v>
      </c>
      <c r="BQ87" s="1819" t="n"/>
      <c r="BR87" s="1819" t="n"/>
      <c r="BS87" s="1819" t="n"/>
      <c r="BT87" s="1819" t="n"/>
      <c r="BU87" s="1820" t="n">
        <v>0</v>
      </c>
      <c r="BV87" s="1819" t="n"/>
      <c r="BW87" s="1819" t="n"/>
      <c r="BX87" s="1819" t="n"/>
      <c r="BY87" s="1819" t="n"/>
      <c r="BZ87" s="1820" t="n">
        <v>0</v>
      </c>
      <c r="CA87" s="1782" t="n"/>
      <c r="CB87" s="456" t="n"/>
      <c r="CC87" s="701" t="n"/>
      <c r="CD87" s="701" t="n"/>
      <c r="CE87" s="701" t="n"/>
      <c r="CF87" s="701" t="n"/>
      <c r="CG87" s="701" t="n"/>
      <c r="CH87" s="701" t="n"/>
      <c r="CI87" s="701" t="n"/>
      <c r="CJ87" s="701" t="n"/>
      <c r="CK87" s="701" t="n"/>
      <c r="CL87" s="701" t="n"/>
      <c r="CM87" s="701" t="n"/>
      <c r="CN87" s="701" t="n"/>
      <c r="CO87" s="701" t="n"/>
      <c r="CP87" s="701" t="n"/>
      <c r="CQ87" s="701" t="n"/>
      <c r="CR87" s="701" t="n"/>
      <c r="CS87" s="701" t="n"/>
      <c r="CT87" s="701" t="n"/>
      <c r="CU87" s="701" t="n"/>
      <c r="CV87" s="701" t="n"/>
      <c r="CW87" s="30" t="n"/>
    </row>
    <row r="88" ht="12" customHeight="1" s="1676">
      <c r="A88" s="31" t="n"/>
      <c r="B88" s="270" t="inlineStr">
        <is>
          <t>Text_67</t>
        </is>
      </c>
      <c r="C88" s="699" t="n"/>
      <c r="D88" s="1782" t="n"/>
      <c r="E88" s="1782" t="n"/>
      <c r="F88" s="1782" t="n"/>
      <c r="G88" s="1782" t="n"/>
      <c r="H88" s="1782" t="n"/>
      <c r="I88" s="1819" t="n"/>
      <c r="J88" s="1819" t="n"/>
      <c r="K88" s="1819" t="n"/>
      <c r="L88" s="1819" t="n"/>
      <c r="M88" s="1819" t="n"/>
      <c r="N88" s="1819" t="n"/>
      <c r="O88" s="1819" t="n"/>
      <c r="P88" s="1819" t="n"/>
      <c r="Q88" s="1819" t="n"/>
      <c r="R88" s="1820" t="n">
        <v>0</v>
      </c>
      <c r="S88" s="1819" t="n"/>
      <c r="T88" s="1819" t="n"/>
      <c r="U88" s="1819" t="n"/>
      <c r="V88" s="1819" t="n"/>
      <c r="W88" s="1820" t="n">
        <v>0</v>
      </c>
      <c r="X88" s="1819" t="n"/>
      <c r="Y88" s="1819" t="n"/>
      <c r="Z88" s="1819" t="n"/>
      <c r="AA88" s="1819" t="n"/>
      <c r="AB88" s="1820" t="n">
        <v>0</v>
      </c>
      <c r="AC88" s="1819" t="n"/>
      <c r="AD88" s="1819" t="n"/>
      <c r="AE88" s="1819" t="n"/>
      <c r="AF88" s="1819" t="n"/>
      <c r="AG88" s="1820" t="n">
        <v>0</v>
      </c>
      <c r="AH88" s="1819" t="n"/>
      <c r="AI88" s="1819" t="n"/>
      <c r="AJ88" s="1819" t="n"/>
      <c r="AK88" s="1819" t="n"/>
      <c r="AL88" s="1820" t="n">
        <v>0</v>
      </c>
      <c r="AM88" s="1819" t="n"/>
      <c r="AN88" s="1819" t="n"/>
      <c r="AO88" s="1819" t="n"/>
      <c r="AP88" s="1819" t="n"/>
      <c r="AQ88" s="1820" t="n">
        <v>0</v>
      </c>
      <c r="AR88" s="1819" t="n"/>
      <c r="AS88" s="1819" t="n"/>
      <c r="AT88" s="1819" t="n"/>
      <c r="AU88" s="1819" t="n"/>
      <c r="AV88" s="1820" t="n">
        <v>0</v>
      </c>
      <c r="AW88" s="1821" t="n"/>
      <c r="AX88" s="1822" t="n"/>
      <c r="AY88" s="1822" t="n"/>
      <c r="AZ88" s="1822" t="n"/>
      <c r="BA88" s="1823" t="n">
        <v>0</v>
      </c>
      <c r="BB88" s="1824" t="n"/>
      <c r="BC88" s="1758" t="n"/>
      <c r="BD88" s="1758" t="n"/>
      <c r="BE88" s="1758" t="n"/>
      <c r="BF88" s="1823" t="n">
        <v>0</v>
      </c>
      <c r="BG88" s="1819" t="n"/>
      <c r="BH88" s="1819" t="n"/>
      <c r="BI88" s="1819" t="n"/>
      <c r="BJ88" s="1819" t="n"/>
      <c r="BK88" s="1820" t="n">
        <v>0</v>
      </c>
      <c r="BL88" s="1819" t="n"/>
      <c r="BM88" s="1819" t="n"/>
      <c r="BN88" s="1819" t="n"/>
      <c r="BO88" s="1819" t="n"/>
      <c r="BP88" s="1820" t="n">
        <v>0</v>
      </c>
      <c r="BQ88" s="1819" t="n"/>
      <c r="BR88" s="1819" t="n"/>
      <c r="BS88" s="1819" t="n"/>
      <c r="BT88" s="1819" t="n"/>
      <c r="BU88" s="1820" t="n">
        <v>0</v>
      </c>
      <c r="BV88" s="1819" t="n"/>
      <c r="BW88" s="1819" t="n"/>
      <c r="BX88" s="1819" t="n"/>
      <c r="BY88" s="1819" t="n"/>
      <c r="BZ88" s="1820" t="n">
        <v>0</v>
      </c>
      <c r="CA88" s="1782" t="n"/>
      <c r="CB88" s="456" t="n"/>
      <c r="CC88" s="701" t="n"/>
      <c r="CD88" s="701" t="n"/>
      <c r="CE88" s="701" t="n"/>
      <c r="CF88" s="701" t="n"/>
      <c r="CG88" s="701" t="n"/>
      <c r="CH88" s="701" t="n"/>
      <c r="CI88" s="701" t="n"/>
      <c r="CJ88" s="701" t="n"/>
      <c r="CK88" s="701" t="n"/>
      <c r="CL88" s="701" t="n"/>
      <c r="CM88" s="701" t="n"/>
      <c r="CN88" s="701" t="n"/>
      <c r="CO88" s="701" t="n"/>
      <c r="CP88" s="701" t="n"/>
      <c r="CQ88" s="701" t="n"/>
      <c r="CR88" s="701" t="n"/>
      <c r="CS88" s="701" t="n"/>
      <c r="CT88" s="701" t="n"/>
      <c r="CU88" s="701" t="n"/>
      <c r="CV88" s="701" t="n"/>
      <c r="CW88" s="30" t="n"/>
    </row>
    <row r="89" ht="12" customHeight="1" s="1676">
      <c r="A89" s="31" t="n"/>
      <c r="B89" s="270" t="inlineStr">
        <is>
          <t>Text_68</t>
        </is>
      </c>
      <c r="C89" s="699" t="n"/>
      <c r="D89" s="1782" t="n"/>
      <c r="E89" s="1782" t="n"/>
      <c r="F89" s="1782" t="n"/>
      <c r="G89" s="1782" t="n"/>
      <c r="H89" s="1782" t="n"/>
      <c r="I89" s="1819" t="n"/>
      <c r="J89" s="1819" t="n"/>
      <c r="K89" s="1819" t="n"/>
      <c r="L89" s="1819" t="n"/>
      <c r="M89" s="1819" t="n"/>
      <c r="N89" s="1819" t="n"/>
      <c r="O89" s="1819" t="n"/>
      <c r="P89" s="1819" t="n"/>
      <c r="Q89" s="1819" t="n"/>
      <c r="R89" s="1820" t="n">
        <v>0</v>
      </c>
      <c r="S89" s="1819" t="n"/>
      <c r="T89" s="1819" t="n"/>
      <c r="U89" s="1819" t="n"/>
      <c r="V89" s="1819" t="n"/>
      <c r="W89" s="1820" t="n">
        <v>0</v>
      </c>
      <c r="X89" s="1819" t="n"/>
      <c r="Y89" s="1819" t="n"/>
      <c r="Z89" s="1819" t="n"/>
      <c r="AA89" s="1819" t="n"/>
      <c r="AB89" s="1820" t="n">
        <v>0</v>
      </c>
      <c r="AC89" s="1819" t="n"/>
      <c r="AD89" s="1819" t="n"/>
      <c r="AE89" s="1819" t="n"/>
      <c r="AF89" s="1819" t="n"/>
      <c r="AG89" s="1820" t="n">
        <v>0</v>
      </c>
      <c r="AH89" s="1819" t="n"/>
      <c r="AI89" s="1819" t="n"/>
      <c r="AJ89" s="1819" t="n"/>
      <c r="AK89" s="1819" t="n"/>
      <c r="AL89" s="1820" t="n">
        <v>0</v>
      </c>
      <c r="AM89" s="1819" t="n"/>
      <c r="AN89" s="1819" t="n"/>
      <c r="AO89" s="1819" t="n"/>
      <c r="AP89" s="1819" t="n"/>
      <c r="AQ89" s="1820" t="n">
        <v>0</v>
      </c>
      <c r="AR89" s="1819" t="n"/>
      <c r="AS89" s="1819" t="n"/>
      <c r="AT89" s="1819" t="n"/>
      <c r="AU89" s="1819" t="n"/>
      <c r="AV89" s="1820" t="n">
        <v>0</v>
      </c>
      <c r="AW89" s="1821" t="n"/>
      <c r="AX89" s="1822" t="n"/>
      <c r="AY89" s="1822" t="n"/>
      <c r="AZ89" s="1822" t="n"/>
      <c r="BA89" s="1823" t="n">
        <v>0</v>
      </c>
      <c r="BB89" s="1824" t="n"/>
      <c r="BC89" s="1758" t="n"/>
      <c r="BD89" s="1758" t="n"/>
      <c r="BE89" s="1758" t="n"/>
      <c r="BF89" s="1823" t="n">
        <v>0</v>
      </c>
      <c r="BG89" s="1819" t="n"/>
      <c r="BH89" s="1819" t="n"/>
      <c r="BI89" s="1819" t="n"/>
      <c r="BJ89" s="1819" t="n"/>
      <c r="BK89" s="1820" t="n">
        <v>0</v>
      </c>
      <c r="BL89" s="1819" t="n"/>
      <c r="BM89" s="1819" t="n"/>
      <c r="BN89" s="1819" t="n"/>
      <c r="BO89" s="1819" t="n"/>
      <c r="BP89" s="1820" t="n">
        <v>0</v>
      </c>
      <c r="BQ89" s="1819" t="n"/>
      <c r="BR89" s="1819" t="n"/>
      <c r="BS89" s="1819" t="n"/>
      <c r="BT89" s="1819" t="n"/>
      <c r="BU89" s="1820" t="n">
        <v>0</v>
      </c>
      <c r="BV89" s="1819" t="n"/>
      <c r="BW89" s="1819" t="n"/>
      <c r="BX89" s="1819" t="n"/>
      <c r="BY89" s="1819" t="n"/>
      <c r="BZ89" s="1820" t="n">
        <v>0</v>
      </c>
      <c r="CA89" s="1782" t="n"/>
      <c r="CB89" s="456" t="n"/>
      <c r="CC89" s="701" t="n"/>
      <c r="CD89" s="701" t="n"/>
      <c r="CE89" s="701" t="n"/>
      <c r="CF89" s="701" t="n"/>
      <c r="CG89" s="701" t="n"/>
      <c r="CH89" s="701" t="n"/>
      <c r="CI89" s="701" t="n"/>
      <c r="CJ89" s="701" t="n"/>
      <c r="CK89" s="701" t="n"/>
      <c r="CL89" s="701" t="n"/>
      <c r="CM89" s="701" t="n"/>
      <c r="CN89" s="701" t="n"/>
      <c r="CO89" s="701" t="n"/>
      <c r="CP89" s="701" t="n"/>
      <c r="CQ89" s="701" t="n"/>
      <c r="CR89" s="701" t="n"/>
      <c r="CS89" s="701" t="n"/>
      <c r="CT89" s="701" t="n"/>
      <c r="CU89" s="701" t="n"/>
      <c r="CV89" s="701" t="n"/>
      <c r="CW89" s="30" t="n"/>
    </row>
    <row r="90" ht="12" customHeight="1" s="1676">
      <c r="A90" s="31" t="n"/>
      <c r="B90" s="277" t="inlineStr">
        <is>
          <t>Text_69</t>
        </is>
      </c>
      <c r="C90" s="805" t="n"/>
      <c r="D90" s="1825" t="n"/>
      <c r="E90" s="1825" t="n"/>
      <c r="F90" s="1825" t="n"/>
      <c r="G90" s="1825" t="n"/>
      <c r="H90" s="1825" t="n"/>
      <c r="I90" s="1826" t="n"/>
      <c r="J90" s="1826" t="n"/>
      <c r="K90" s="1826" t="n"/>
      <c r="L90" s="1826" t="n"/>
      <c r="M90" s="1826" t="n"/>
      <c r="N90" s="1826" t="n"/>
      <c r="O90" s="1826" t="n"/>
      <c r="P90" s="1826" t="n"/>
      <c r="Q90" s="1826" t="n"/>
      <c r="R90" s="1827" t="n">
        <v>0</v>
      </c>
      <c r="S90" s="1826" t="n"/>
      <c r="T90" s="1826" t="n"/>
      <c r="U90" s="1826" t="n"/>
      <c r="V90" s="1826" t="n"/>
      <c r="W90" s="1827" t="n">
        <v>0</v>
      </c>
      <c r="X90" s="1826" t="n"/>
      <c r="Y90" s="1826" t="n"/>
      <c r="Z90" s="1826" t="n"/>
      <c r="AA90" s="1826" t="n"/>
      <c r="AB90" s="1827" t="n">
        <v>0</v>
      </c>
      <c r="AC90" s="1826" t="n"/>
      <c r="AD90" s="1826" t="n"/>
      <c r="AE90" s="1826" t="n"/>
      <c r="AF90" s="1826" t="n"/>
      <c r="AG90" s="1827" t="n">
        <v>0</v>
      </c>
      <c r="AH90" s="1826" t="n"/>
      <c r="AI90" s="1826" t="n"/>
      <c r="AJ90" s="1826" t="n"/>
      <c r="AK90" s="1826" t="n"/>
      <c r="AL90" s="1827" t="n">
        <v>0</v>
      </c>
      <c r="AM90" s="1826" t="n"/>
      <c r="AN90" s="1826" t="n"/>
      <c r="AO90" s="1826" t="n"/>
      <c r="AP90" s="1826" t="n"/>
      <c r="AQ90" s="1827" t="n">
        <v>0</v>
      </c>
      <c r="AR90" s="1826" t="n"/>
      <c r="AS90" s="1826" t="n"/>
      <c r="AT90" s="1826" t="n"/>
      <c r="AU90" s="1826" t="n"/>
      <c r="AV90" s="1827" t="n">
        <v>0</v>
      </c>
      <c r="AW90" s="1828" t="n"/>
      <c r="AX90" s="1829" t="n"/>
      <c r="AY90" s="1829" t="n"/>
      <c r="AZ90" s="1829" t="n"/>
      <c r="BA90" s="1830" t="n">
        <v>0</v>
      </c>
      <c r="BB90" s="1831" t="n"/>
      <c r="BC90" s="1832" t="n"/>
      <c r="BD90" s="1832" t="n"/>
      <c r="BE90" s="1832" t="n"/>
      <c r="BF90" s="1830" t="n">
        <v>0</v>
      </c>
      <c r="BG90" s="1826" t="n"/>
      <c r="BH90" s="1826" t="n"/>
      <c r="BI90" s="1826" t="n"/>
      <c r="BJ90" s="1826" t="n"/>
      <c r="BK90" s="1827" t="n">
        <v>0</v>
      </c>
      <c r="BL90" s="1826" t="n"/>
      <c r="BM90" s="1826" t="n"/>
      <c r="BN90" s="1826" t="n"/>
      <c r="BO90" s="1826" t="n"/>
      <c r="BP90" s="1827" t="n">
        <v>0</v>
      </c>
      <c r="BQ90" s="1826" t="n"/>
      <c r="BR90" s="1826" t="n"/>
      <c r="BS90" s="1826" t="n"/>
      <c r="BT90" s="1826" t="n"/>
      <c r="BU90" s="1827" t="n">
        <v>0</v>
      </c>
      <c r="BV90" s="1826" t="n"/>
      <c r="BW90" s="1826" t="n"/>
      <c r="BX90" s="1826" t="n"/>
      <c r="BY90" s="1826" t="n"/>
      <c r="BZ90" s="1827" t="n">
        <v>0</v>
      </c>
      <c r="CA90" s="1782" t="n"/>
      <c r="CB90" s="456" t="n"/>
      <c r="CC90" s="701" t="n"/>
      <c r="CD90" s="701" t="n"/>
      <c r="CE90" s="701" t="n"/>
      <c r="CF90" s="701" t="n"/>
      <c r="CG90" s="701" t="n"/>
      <c r="CH90" s="701" t="n"/>
      <c r="CI90" s="701" t="n"/>
      <c r="CJ90" s="701" t="n"/>
      <c r="CK90" s="701" t="n"/>
      <c r="CL90" s="701" t="n"/>
      <c r="CM90" s="701" t="n"/>
      <c r="CN90" s="701" t="n"/>
      <c r="CO90" s="701" t="n"/>
      <c r="CP90" s="701" t="n"/>
      <c r="CQ90" s="701" t="n"/>
      <c r="CR90" s="701" t="n"/>
      <c r="CS90" s="701" t="n"/>
      <c r="CT90" s="701" t="n"/>
      <c r="CU90" s="701" t="n"/>
      <c r="CV90" s="701" t="n"/>
      <c r="CW90" s="30" t="n"/>
    </row>
    <row r="91" ht="12" customHeight="1" s="1676">
      <c r="A91" s="31" t="n"/>
      <c r="B91" s="65" t="inlineStr">
        <is>
          <t>Text_70</t>
        </is>
      </c>
      <c r="C91" s="66" t="n"/>
      <c r="D91" s="1833" t="n"/>
      <c r="E91" s="1833" t="n"/>
      <c r="F91" s="1833" t="n"/>
      <c r="G91" s="1833" t="n"/>
      <c r="H91" s="1833" t="n"/>
      <c r="I91" s="1834" t="n"/>
      <c r="J91" s="1834" t="n"/>
      <c r="K91" s="1834" t="n"/>
      <c r="L91" s="1834" t="n"/>
      <c r="M91" s="1834" t="n"/>
      <c r="N91" s="1834" t="n"/>
      <c r="O91" s="1834" t="n"/>
      <c r="P91" s="1834" t="n"/>
      <c r="Q91" s="1834" t="n"/>
      <c r="R91" s="1835">
        <f t="array" ref="R91">SUM(R77:R90)</f>
        <v/>
      </c>
      <c r="S91" s="1834" t="n"/>
      <c r="T91" s="1834" t="n"/>
      <c r="U91" s="1834" t="n"/>
      <c r="V91" s="1834" t="n"/>
      <c r="W91" s="1835">
        <f t="array" ref="W91">SUM(W77:W90)</f>
        <v/>
      </c>
      <c r="X91" s="1834" t="n"/>
      <c r="Y91" s="1834" t="n"/>
      <c r="Z91" s="1834" t="n"/>
      <c r="AA91" s="1834" t="n"/>
      <c r="AB91" s="1835">
        <f t="array" ref="AB91">SUM(AB77:AB90)</f>
        <v/>
      </c>
      <c r="AC91" s="1834" t="n"/>
      <c r="AD91" s="1834" t="n"/>
      <c r="AE91" s="1834" t="n"/>
      <c r="AF91" s="1834" t="n"/>
      <c r="AG91" s="1835">
        <f t="array" ref="AG91">SUM(AG77:AG90)</f>
        <v/>
      </c>
      <c r="AH91" s="1834" t="n"/>
      <c r="AI91" s="1834" t="n"/>
      <c r="AJ91" s="1834" t="n"/>
      <c r="AK91" s="1834" t="n"/>
      <c r="AL91" s="1835">
        <f t="array" ref="AL91">SUM(AL77:AL90)</f>
        <v/>
      </c>
      <c r="AM91" s="1834" t="n"/>
      <c r="AN91" s="1834" t="n"/>
      <c r="AO91" s="1834" t="n"/>
      <c r="AP91" s="1834" t="n"/>
      <c r="AQ91" s="1835">
        <f t="array" ref="AQ91">SUM(AQ77:AQ90)</f>
        <v/>
      </c>
      <c r="AR91" s="1834" t="n"/>
      <c r="AS91" s="1834" t="n"/>
      <c r="AT91" s="1834" t="n"/>
      <c r="AU91" s="1834" t="n"/>
      <c r="AV91" s="1835">
        <f t="array" ref="AV91">SUM(AV77:AV90)</f>
        <v/>
      </c>
      <c r="AW91" s="1836" t="n"/>
      <c r="AX91" s="1837" t="n"/>
      <c r="AY91" s="1837" t="n"/>
      <c r="AZ91" s="1837" t="n"/>
      <c r="BA91" s="1838">
        <f t="array" ref="BA91">SUM(BA77:BA90)</f>
        <v/>
      </c>
      <c r="BB91" s="1839" t="n"/>
      <c r="BC91" s="1691" t="n"/>
      <c r="BD91" s="1691" t="n"/>
      <c r="BE91" s="1691" t="n"/>
      <c r="BF91" s="1838">
        <f t="array" ref="BF91">SUM(BF77:BF90)</f>
        <v/>
      </c>
      <c r="BG91" s="1834" t="n"/>
      <c r="BH91" s="1834" t="n"/>
      <c r="BI91" s="1834" t="n"/>
      <c r="BJ91" s="1834" t="n"/>
      <c r="BK91" s="1835">
        <f t="array" ref="BK91">SUM(BK77:BK90)</f>
        <v/>
      </c>
      <c r="BL91" s="1834" t="n"/>
      <c r="BM91" s="1834" t="n"/>
      <c r="BN91" s="1834" t="n"/>
      <c r="BO91" s="1834" t="n"/>
      <c r="BP91" s="1835">
        <f t="array" ref="BP91">SUM(BP77:BP90)</f>
        <v/>
      </c>
      <c r="BQ91" s="1834" t="n"/>
      <c r="BR91" s="1834" t="n"/>
      <c r="BS91" s="1834" t="n"/>
      <c r="BT91" s="1834" t="n"/>
      <c r="BU91" s="1835">
        <f t="array" ref="BU91">SUM(BU77:BU90)</f>
        <v/>
      </c>
      <c r="BV91" s="1834" t="n"/>
      <c r="BW91" s="1834" t="n"/>
      <c r="BX91" s="1834" t="n"/>
      <c r="BY91" s="1834" t="n"/>
      <c r="BZ91" s="1835">
        <f t="array" ref="BZ91">SUM(BZ77:BZ90)</f>
        <v/>
      </c>
      <c r="CA91" s="1782" t="n"/>
      <c r="CB91" s="98" t="n"/>
      <c r="CC91" s="701" t="n"/>
      <c r="CD91" s="701" t="n"/>
      <c r="CE91" s="701" t="n"/>
      <c r="CF91" s="701" t="n"/>
      <c r="CG91" s="701" t="n"/>
      <c r="CH91" s="701" t="n"/>
      <c r="CI91" s="701" t="n"/>
      <c r="CJ91" s="701" t="n"/>
      <c r="CK91" s="701" t="n"/>
      <c r="CL91" s="701" t="n"/>
      <c r="CM91" s="701" t="n"/>
      <c r="CN91" s="701" t="n"/>
      <c r="CO91" s="701" t="n"/>
      <c r="CP91" s="701" t="n"/>
      <c r="CQ91" s="701" t="n"/>
      <c r="CR91" s="701" t="n"/>
      <c r="CS91" s="701" t="n"/>
      <c r="CT91" s="701" t="n"/>
      <c r="CU91" s="701" t="n"/>
      <c r="CV91" s="701" t="n"/>
      <c r="CW91" s="30" t="n"/>
    </row>
    <row r="92" ht="12" customHeight="1" s="1676">
      <c r="A92" s="31" t="n"/>
      <c r="B92" s="293" t="inlineStr">
        <is>
          <t>Text_24</t>
        </is>
      </c>
      <c r="C92" s="33" t="n"/>
      <c r="D92" s="1840" t="n"/>
      <c r="E92" s="1840" t="n"/>
      <c r="F92" s="1840" t="n"/>
      <c r="G92" s="1840" t="n"/>
      <c r="H92" s="1840" t="n"/>
      <c r="I92" s="1841" t="n"/>
      <c r="J92" s="1841" t="n"/>
      <c r="K92" s="1841" t="n"/>
      <c r="L92" s="1841" t="n"/>
      <c r="M92" s="1841" t="n"/>
      <c r="N92" s="1841" t="n"/>
      <c r="O92" s="1841" t="n"/>
      <c r="P92" s="1841" t="n"/>
      <c r="Q92" s="1841" t="n"/>
      <c r="R92" s="1841" t="n"/>
      <c r="S92" s="1841" t="n"/>
      <c r="T92" s="1841" t="n"/>
      <c r="U92" s="1841" t="n"/>
      <c r="V92" s="1841" t="n"/>
      <c r="W92" s="1742">
        <f t="array" ref="W92">W91/R91-1</f>
        <v/>
      </c>
      <c r="X92" s="1841" t="n"/>
      <c r="Y92" s="1841" t="n"/>
      <c r="Z92" s="1841" t="n"/>
      <c r="AA92" s="1841" t="n"/>
      <c r="AB92" s="1742">
        <f t="array" ref="AB92">AB91/W91-1</f>
        <v/>
      </c>
      <c r="AC92" s="1841" t="n"/>
      <c r="AD92" s="1841" t="n"/>
      <c r="AE92" s="1841" t="n"/>
      <c r="AF92" s="1841" t="n"/>
      <c r="AG92" s="1742">
        <f t="array" ref="AG92">AG91/AB91-1</f>
        <v/>
      </c>
      <c r="AH92" s="1841" t="n"/>
      <c r="AI92" s="1841" t="n"/>
      <c r="AJ92" s="1841" t="n"/>
      <c r="AK92" s="1841" t="n"/>
      <c r="AL92" s="1742">
        <f t="array" ref="AL92">AL91/AG91-1</f>
        <v/>
      </c>
      <c r="AM92" s="1841" t="n"/>
      <c r="AN92" s="1841" t="n"/>
      <c r="AO92" s="1841" t="n"/>
      <c r="AP92" s="1841" t="n"/>
      <c r="AQ92" s="1742">
        <f t="array" ref="AQ92">AQ91/AL91-1</f>
        <v/>
      </c>
      <c r="AR92" s="1841" t="n"/>
      <c r="AS92" s="1841" t="n"/>
      <c r="AT92" s="1841" t="n"/>
      <c r="AU92" s="1841" t="n"/>
      <c r="AV92" s="1742">
        <f t="array" ref="AV92">AV91/AQ91-1</f>
        <v/>
      </c>
      <c r="AW92" s="1842" t="n"/>
      <c r="AX92" s="1843" t="n"/>
      <c r="AY92" s="1843" t="n"/>
      <c r="AZ92" s="1843" t="n"/>
      <c r="BA92" s="1844">
        <f t="array" ref="BA92">BA91/AV91-1</f>
        <v/>
      </c>
      <c r="BB92" s="1845" t="n"/>
      <c r="BC92" s="1817" t="n"/>
      <c r="BD92" s="1817" t="n"/>
      <c r="BE92" s="1817" t="n"/>
      <c r="BF92" s="1844">
        <f t="array" ref="BF92">BF91/BA91-1</f>
        <v/>
      </c>
      <c r="BG92" s="1841" t="n"/>
      <c r="BH92" s="1841" t="n"/>
      <c r="BI92" s="1841" t="n"/>
      <c r="BJ92" s="1841" t="n"/>
      <c r="BK92" s="1742">
        <f t="array" ref="BK92">BK91/BF91-1</f>
        <v/>
      </c>
      <c r="BL92" s="1841" t="n"/>
      <c r="BM92" s="1841" t="n"/>
      <c r="BN92" s="1841" t="n"/>
      <c r="BO92" s="1841" t="n"/>
      <c r="BP92" s="1742">
        <f t="array" ref="BP92">BP91/BK91-1</f>
        <v/>
      </c>
      <c r="BQ92" s="1841" t="n"/>
      <c r="BR92" s="1841" t="n"/>
      <c r="BS92" s="1841" t="n"/>
      <c r="BT92" s="1841" t="n"/>
      <c r="BU92" s="1742">
        <f t="array" ref="BU92">BU91/BP91-1</f>
        <v/>
      </c>
      <c r="BV92" s="1841" t="n"/>
      <c r="BW92" s="1841" t="n"/>
      <c r="BX92" s="1841" t="n"/>
      <c r="BY92" s="1841" t="n"/>
      <c r="BZ92" s="1742">
        <f t="array" ref="BZ92">BZ91/BU91-1</f>
        <v/>
      </c>
      <c r="CA92" s="1782" t="n"/>
      <c r="CB92" s="456" t="n"/>
      <c r="CC92" s="701" t="n"/>
      <c r="CD92" s="701" t="n"/>
      <c r="CE92" s="701" t="n"/>
      <c r="CF92" s="701" t="n"/>
      <c r="CG92" s="701" t="n"/>
      <c r="CH92" s="701" t="n"/>
      <c r="CI92" s="701" t="n"/>
      <c r="CJ92" s="701" t="n"/>
      <c r="CK92" s="701" t="n"/>
      <c r="CL92" s="701" t="n"/>
      <c r="CM92" s="701" t="n"/>
      <c r="CN92" s="701" t="n"/>
      <c r="CO92" s="701" t="n"/>
      <c r="CP92" s="701" t="n"/>
      <c r="CQ92" s="701" t="n"/>
      <c r="CR92" s="701" t="n"/>
      <c r="CS92" s="701" t="n"/>
      <c r="CT92" s="701" t="n"/>
      <c r="CU92" s="701" t="n"/>
      <c r="CV92" s="701" t="n"/>
      <c r="CW92" s="30" t="n"/>
    </row>
    <row r="93" ht="12" customHeight="1" s="1676">
      <c r="A93" s="31" t="n"/>
      <c r="B93" s="1782" t="n"/>
      <c r="C93" s="699" t="n"/>
      <c r="D93" s="1782" t="n"/>
      <c r="E93" s="1782" t="n"/>
      <c r="F93" s="1782" t="n"/>
      <c r="G93" s="1782" t="n"/>
      <c r="H93" s="1782" t="n"/>
      <c r="I93" s="1819" t="n"/>
      <c r="J93" s="1819" t="n"/>
      <c r="K93" s="1819" t="n"/>
      <c r="L93" s="1819" t="n"/>
      <c r="M93" s="1819" t="n"/>
      <c r="N93" s="1819" t="n"/>
      <c r="O93" s="1819" t="n"/>
      <c r="P93" s="1819" t="n"/>
      <c r="Q93" s="1819" t="n"/>
      <c r="R93" s="1819" t="n"/>
      <c r="S93" s="1819" t="n"/>
      <c r="T93" s="1819" t="n"/>
      <c r="U93" s="1819" t="n"/>
      <c r="V93" s="1819" t="n"/>
      <c r="W93" s="1819" t="n"/>
      <c r="X93" s="1819" t="n"/>
      <c r="Y93" s="1819" t="n"/>
      <c r="Z93" s="1819" t="n"/>
      <c r="AA93" s="1819" t="n"/>
      <c r="AB93" s="1819" t="n"/>
      <c r="AC93" s="1819" t="n"/>
      <c r="AD93" s="1819" t="n"/>
      <c r="AE93" s="1819" t="n"/>
      <c r="AF93" s="1819" t="n"/>
      <c r="AG93" s="1819" t="n"/>
      <c r="AH93" s="1819" t="n"/>
      <c r="AI93" s="1819" t="n"/>
      <c r="AJ93" s="1819" t="n"/>
      <c r="AK93" s="1819" t="n"/>
      <c r="AL93" s="1819" t="n"/>
      <c r="AM93" s="1819" t="n"/>
      <c r="AN93" s="1819" t="n"/>
      <c r="AO93" s="1819" t="n"/>
      <c r="AP93" s="1819" t="n"/>
      <c r="AQ93" s="1819" t="n"/>
      <c r="AR93" s="1819" t="n"/>
      <c r="AS93" s="1819" t="n"/>
      <c r="AT93" s="1819" t="n"/>
      <c r="AU93" s="1819" t="n"/>
      <c r="AV93" s="1819" t="n"/>
      <c r="AW93" s="1821" t="n"/>
      <c r="AX93" s="1822" t="n"/>
      <c r="AY93" s="1822" t="n"/>
      <c r="AZ93" s="1822" t="n"/>
      <c r="BA93" s="1846" t="n"/>
      <c r="BB93" s="1824" t="n"/>
      <c r="BC93" s="1758" t="n"/>
      <c r="BD93" s="1758" t="n"/>
      <c r="BE93" s="1758" t="n"/>
      <c r="BF93" s="1846" t="n"/>
      <c r="BG93" s="1819" t="n"/>
      <c r="BH93" s="1819" t="n"/>
      <c r="BI93" s="1819" t="n"/>
      <c r="BJ93" s="1819" t="n"/>
      <c r="BK93" s="1819" t="n"/>
      <c r="BL93" s="1819" t="n"/>
      <c r="BM93" s="1819" t="n"/>
      <c r="BN93" s="1819" t="n"/>
      <c r="BO93" s="1819" t="n"/>
      <c r="BP93" s="1819" t="n"/>
      <c r="BQ93" s="1819" t="n"/>
      <c r="BR93" s="1819" t="n"/>
      <c r="BS93" s="1819" t="n"/>
      <c r="BT93" s="1819" t="n"/>
      <c r="BU93" s="1819" t="n"/>
      <c r="BV93" s="1819" t="n"/>
      <c r="BW93" s="1819" t="n"/>
      <c r="BX93" s="1819" t="n"/>
      <c r="BY93" s="1819" t="n"/>
      <c r="BZ93" s="1819" t="n"/>
      <c r="CA93" s="1782" t="n"/>
      <c r="CB93" s="456" t="n"/>
      <c r="CC93" s="701" t="n"/>
      <c r="CD93" s="701" t="n"/>
      <c r="CE93" s="701" t="n"/>
      <c r="CF93" s="701" t="n"/>
      <c r="CG93" s="701" t="n"/>
      <c r="CH93" s="701" t="n"/>
      <c r="CI93" s="701" t="n"/>
      <c r="CJ93" s="701" t="n"/>
      <c r="CK93" s="701" t="n"/>
      <c r="CL93" s="701" t="n"/>
      <c r="CM93" s="701" t="n"/>
      <c r="CN93" s="701" t="n"/>
      <c r="CO93" s="701" t="n"/>
      <c r="CP93" s="701" t="n"/>
      <c r="CQ93" s="701" t="n"/>
      <c r="CR93" s="701" t="n"/>
      <c r="CS93" s="701" t="n"/>
      <c r="CT93" s="701" t="n"/>
      <c r="CU93" s="701" t="n"/>
      <c r="CV93" s="701" t="n"/>
      <c r="CW93" s="30" t="n"/>
    </row>
    <row r="94" ht="12.75" customHeight="1" s="1676">
      <c r="A94" s="31" t="n"/>
      <c r="B94" s="301" t="inlineStr">
        <is>
          <t>Text_71</t>
        </is>
      </c>
      <c r="C94" s="699" t="n"/>
      <c r="D94" s="1782" t="n"/>
      <c r="E94" s="1782" t="n"/>
      <c r="F94" s="1782" t="n"/>
      <c r="G94" s="1782" t="n"/>
      <c r="H94" s="1847" t="n"/>
      <c r="I94" s="1847" t="n"/>
      <c r="J94" s="1847" t="n"/>
      <c r="K94" s="1847" t="n"/>
      <c r="L94" s="1714" t="n"/>
      <c r="M94" s="1847" t="n"/>
      <c r="N94" s="1847" t="n"/>
      <c r="O94" s="1847" t="n"/>
      <c r="P94" s="1847" t="n"/>
      <c r="Q94" s="1714" t="n"/>
      <c r="R94" s="1847" t="n"/>
      <c r="S94" s="1713" t="n"/>
      <c r="T94" s="1713" t="n"/>
      <c r="U94" s="1713" t="n"/>
      <c r="V94" s="1713" t="n"/>
      <c r="W94" s="1847" t="n"/>
      <c r="X94" s="1713" t="n"/>
      <c r="Y94" s="1713" t="n"/>
      <c r="Z94" s="1713" t="n"/>
      <c r="AA94" s="1713" t="n"/>
      <c r="AB94" s="1847" t="n"/>
      <c r="AC94" s="1847" t="n"/>
      <c r="AD94" s="1847" t="n"/>
      <c r="AE94" s="1847" t="n"/>
      <c r="AF94" s="1847" t="n"/>
      <c r="AG94" s="1847" t="n"/>
      <c r="AH94" s="1847" t="n"/>
      <c r="AI94" s="1847" t="n"/>
      <c r="AJ94" s="1847" t="n"/>
      <c r="AK94" s="1714" t="n"/>
      <c r="AL94" s="1847" t="n">
        <v>565878.519778195</v>
      </c>
      <c r="AM94" s="1847" t="n"/>
      <c r="AN94" s="1847" t="n"/>
      <c r="AO94" s="1847" t="n"/>
      <c r="AP94" s="1714" t="n"/>
      <c r="AQ94" s="1847" t="n">
        <v>600381.461243207</v>
      </c>
      <c r="AR94" s="1847" t="n"/>
      <c r="AS94" s="1847" t="n"/>
      <c r="AT94" s="1847" t="n"/>
      <c r="AU94" s="1714" t="n"/>
      <c r="AV94" s="1847" t="n">
        <v>573619.0814120671</v>
      </c>
      <c r="AW94" s="1848" t="n"/>
      <c r="AX94" s="1849" t="n"/>
      <c r="AY94" s="1849" t="n"/>
      <c r="AZ94" s="1850" t="n"/>
      <c r="BA94" s="1748">
        <f t="array" ref="BA94">AV94*(1+BA95)</f>
        <v/>
      </c>
      <c r="BB94" s="1848" t="n"/>
      <c r="BC94" s="1849" t="n"/>
      <c r="BD94" s="1849" t="n"/>
      <c r="BE94" s="1850" t="n"/>
      <c r="BF94" s="1748">
        <f t="array" ref="BF94">BA94*(1+BF95)</f>
        <v/>
      </c>
      <c r="BG94" s="1847" t="n"/>
      <c r="BH94" s="1847" t="n"/>
      <c r="BI94" s="1847" t="n"/>
      <c r="BJ94" s="1714" t="n"/>
      <c r="BK94" s="1745">
        <f t="array" ref="BK94">BF94*(1+BK95)</f>
        <v/>
      </c>
      <c r="BL94" s="1847" t="n"/>
      <c r="BM94" s="1847" t="n"/>
      <c r="BN94" s="1847" t="n"/>
      <c r="BO94" s="1714" t="n"/>
      <c r="BP94" s="1745">
        <f t="array" ref="BP94">BK94*(1+BP95)</f>
        <v/>
      </c>
      <c r="BQ94" s="1847" t="n"/>
      <c r="BR94" s="1847" t="n"/>
      <c r="BS94" s="1847" t="n"/>
      <c r="BT94" s="1714" t="n"/>
      <c r="BU94" s="1745">
        <f t="array" ref="BU94">BP94*(1+BU95)</f>
        <v/>
      </c>
      <c r="BV94" s="1847" t="n"/>
      <c r="BW94" s="1847" t="n"/>
      <c r="BX94" s="1847" t="n"/>
      <c r="BY94" s="1714" t="n"/>
      <c r="BZ94" s="1745">
        <f t="array" ref="BZ94">BU94*(1+BZ95)</f>
        <v/>
      </c>
      <c r="CA94" s="306" t="inlineStr">
        <is>
          <t>Text_72</t>
        </is>
      </c>
      <c r="CB94" s="1851">
        <f t="array" ref="CB94">(BP94/AL94)^(1/6)-1</f>
        <v/>
      </c>
      <c r="CC94" s="1852">
        <f t="array" ref="CC94">(BU94/AL94)^(1/7)-1</f>
        <v/>
      </c>
      <c r="CD94" s="701" t="n"/>
      <c r="CE94" s="701" t="n"/>
      <c r="CF94" s="701" t="n"/>
      <c r="CG94" s="701" t="n"/>
      <c r="CH94" s="701" t="n"/>
      <c r="CI94" s="701" t="n"/>
      <c r="CJ94" s="701" t="n"/>
      <c r="CK94" s="701" t="n"/>
      <c r="CL94" s="701" t="n"/>
      <c r="CM94" s="701" t="n"/>
      <c r="CN94" s="701" t="n"/>
      <c r="CO94" s="701" t="n"/>
      <c r="CP94" s="701" t="n"/>
      <c r="CQ94" s="701" t="n"/>
      <c r="CR94" s="701" t="n"/>
      <c r="CS94" s="701" t="n"/>
      <c r="CT94" s="701" t="n"/>
      <c r="CU94" s="701" t="n"/>
      <c r="CV94" s="701" t="n"/>
      <c r="CW94" s="30" t="n"/>
    </row>
    <row r="95" ht="13.15" customHeight="1" s="1676">
      <c r="A95" s="31" t="n"/>
      <c r="B95" s="103" t="inlineStr">
        <is>
          <t>Text_24</t>
        </is>
      </c>
      <c r="C95" s="699" t="n"/>
      <c r="D95" s="1782" t="n"/>
      <c r="E95" s="1782" t="n"/>
      <c r="F95" s="1782" t="n"/>
      <c r="G95" s="1782" t="n"/>
      <c r="H95" s="1751" t="n"/>
      <c r="I95" s="1751" t="n"/>
      <c r="J95" s="1751" t="n"/>
      <c r="K95" s="1751" t="n"/>
      <c r="L95" s="1751" t="n"/>
      <c r="M95" s="1751" t="n"/>
      <c r="N95" s="1751" t="n"/>
      <c r="O95" s="1751" t="n"/>
      <c r="P95" s="1751" t="n"/>
      <c r="Q95" s="1751" t="n"/>
      <c r="R95" s="1751" t="n"/>
      <c r="S95" s="1853" t="n"/>
      <c r="T95" s="1853" t="n"/>
      <c r="U95" s="1853" t="n"/>
      <c r="V95" s="1853" t="n"/>
      <c r="W95" s="1751" t="n"/>
      <c r="X95" s="1853" t="n"/>
      <c r="Y95" s="1853" t="n"/>
      <c r="Z95" s="1853" t="n"/>
      <c r="AA95" s="1853" t="n"/>
      <c r="AB95" s="1751" t="n"/>
      <c r="AC95" s="1751" t="n"/>
      <c r="AD95" s="1751" t="n"/>
      <c r="AE95" s="1751" t="n"/>
      <c r="AF95" s="1751" t="n"/>
      <c r="AG95" s="1751" t="n"/>
      <c r="AH95" s="1751" t="n"/>
      <c r="AI95" s="1751" t="n"/>
      <c r="AJ95" s="1751" t="n"/>
      <c r="AK95" s="1751" t="n"/>
      <c r="AL95" s="1751" t="n"/>
      <c r="AM95" s="1751" t="n"/>
      <c r="AN95" s="1751" t="n"/>
      <c r="AO95" s="1751" t="n"/>
      <c r="AP95" s="1751" t="n"/>
      <c r="AQ95" s="1751">
        <f t="array" ref="AQ95">AQ94/AL94-1</f>
        <v/>
      </c>
      <c r="AR95" s="1751" t="n"/>
      <c r="AS95" s="1751" t="n"/>
      <c r="AT95" s="1751" t="n"/>
      <c r="AU95" s="1751" t="n"/>
      <c r="AV95" s="1751">
        <f t="array" ref="AV95">AV94/AQ94-1</f>
        <v/>
      </c>
      <c r="AW95" s="1749" t="n"/>
      <c r="AX95" s="1854" t="n"/>
      <c r="AY95" s="1854" t="n"/>
      <c r="AZ95" s="1854" t="n"/>
      <c r="BA95" s="1855" t="n">
        <v>0.187714990395763</v>
      </c>
      <c r="BB95" s="1749" t="n"/>
      <c r="BC95" s="1854" t="n"/>
      <c r="BD95" s="1854" t="n"/>
      <c r="BE95" s="1854" t="n"/>
      <c r="BF95" s="1855" t="n">
        <v>0.124790566382545</v>
      </c>
      <c r="BG95" s="1751" t="n"/>
      <c r="BH95" s="1797" t="n"/>
      <c r="BI95" s="1797" t="n"/>
      <c r="BJ95" s="312" t="n"/>
      <c r="BK95" s="1856" t="n">
        <v>0.122046406231855</v>
      </c>
      <c r="BL95" s="1751" t="n"/>
      <c r="BM95" s="1797" t="n"/>
      <c r="BN95" s="1797" t="n"/>
      <c r="BO95" s="1797" t="n"/>
      <c r="BP95" s="1856" t="n">
        <v>0</v>
      </c>
      <c r="BQ95" s="1751" t="n"/>
      <c r="BR95" s="1797" t="n"/>
      <c r="BS95" s="1797" t="n"/>
      <c r="BT95" s="1797" t="n"/>
      <c r="BU95" s="1856" t="n">
        <v>0.125977257985708</v>
      </c>
      <c r="BV95" s="1751" t="n"/>
      <c r="BW95" s="1797" t="n"/>
      <c r="BX95" s="1797" t="n"/>
      <c r="BY95" s="1797" t="n"/>
      <c r="BZ95" s="1856" t="n">
        <v>0.126733958408509</v>
      </c>
      <c r="CA95" s="1686" t="n"/>
      <c r="CB95" s="314" t="inlineStr">
        <is>
          <t>Text_73</t>
        </is>
      </c>
      <c r="CC95" s="701" t="n"/>
      <c r="CD95" s="701" t="n"/>
      <c r="CE95" s="701" t="n"/>
      <c r="CF95" s="701" t="n"/>
      <c r="CG95" s="701" t="n"/>
      <c r="CH95" s="701" t="n"/>
      <c r="CI95" s="701" t="n"/>
      <c r="CJ95" s="701" t="n"/>
      <c r="CK95" s="701" t="n"/>
      <c r="CL95" s="701" t="n"/>
      <c r="CM95" s="701" t="n"/>
      <c r="CN95" s="701" t="n"/>
      <c r="CO95" s="701" t="n"/>
      <c r="CP95" s="701" t="n"/>
      <c r="CQ95" s="701" t="n"/>
      <c r="CR95" s="701" t="n"/>
      <c r="CS95" s="701" t="n"/>
      <c r="CT95" s="701" t="n"/>
      <c r="CU95" s="701" t="n"/>
      <c r="CV95" s="701" t="n"/>
      <c r="CW95" s="30" t="n"/>
    </row>
    <row r="96" ht="13.15" customHeight="1" s="1676">
      <c r="A96" s="31" t="n"/>
      <c r="B96" s="1857" t="n"/>
      <c r="C96" s="699" t="n"/>
      <c r="D96" s="1782" t="n"/>
      <c r="E96" s="1782" t="n"/>
      <c r="F96" s="1782" t="n"/>
      <c r="G96" s="1782" t="n"/>
      <c r="H96" s="1751" t="n"/>
      <c r="I96" s="1751" t="n"/>
      <c r="J96" s="1751" t="n"/>
      <c r="K96" s="1751" t="n"/>
      <c r="L96" s="1751" t="n"/>
      <c r="M96" s="1751" t="n"/>
      <c r="N96" s="1751" t="n"/>
      <c r="O96" s="1751" t="n"/>
      <c r="P96" s="1751" t="n"/>
      <c r="Q96" s="1751" t="n"/>
      <c r="R96" s="1751" t="n"/>
      <c r="S96" s="1853" t="n"/>
      <c r="T96" s="1853" t="n"/>
      <c r="U96" s="1853" t="n"/>
      <c r="V96" s="1853" t="n"/>
      <c r="W96" s="1751" t="n"/>
      <c r="X96" s="1853" t="n"/>
      <c r="Y96" s="1853" t="n"/>
      <c r="Z96" s="1853" t="n"/>
      <c r="AA96" s="1853" t="n"/>
      <c r="AB96" s="1751" t="n"/>
      <c r="AC96" s="1751" t="n"/>
      <c r="AD96" s="1751" t="n"/>
      <c r="AE96" s="1751" t="n"/>
      <c r="AF96" s="1751" t="n"/>
      <c r="AG96" s="1751" t="n"/>
      <c r="AH96" s="1751" t="n"/>
      <c r="AI96" s="1751" t="n"/>
      <c r="AJ96" s="1751" t="n"/>
      <c r="AK96" s="1751" t="n"/>
      <c r="AL96" s="1751" t="n"/>
      <c r="AM96" s="1751" t="n"/>
      <c r="AN96" s="1751" t="n"/>
      <c r="AO96" s="1751" t="n"/>
      <c r="AP96" s="1751" t="n"/>
      <c r="AQ96" s="1751" t="n"/>
      <c r="AR96" s="1751" t="n"/>
      <c r="AS96" s="1751" t="n"/>
      <c r="AT96" s="1751" t="n"/>
      <c r="AU96" s="1751" t="n"/>
      <c r="AV96" s="1751" t="n"/>
      <c r="AW96" s="1749" t="n"/>
      <c r="AX96" s="1854" t="n"/>
      <c r="AY96" s="1854" t="n"/>
      <c r="AZ96" s="1854" t="n"/>
      <c r="BA96" s="1784" t="n"/>
      <c r="BB96" s="1749" t="n"/>
      <c r="BC96" s="1854" t="n"/>
      <c r="BD96" s="1854" t="n"/>
      <c r="BE96" s="1854" t="n"/>
      <c r="BF96" s="1858" t="n"/>
      <c r="BG96" s="1751" t="n"/>
      <c r="BH96" s="1797" t="n"/>
      <c r="BI96" s="1797" t="n"/>
      <c r="BJ96" s="312" t="n"/>
      <c r="BK96" s="1859" t="n"/>
      <c r="BL96" s="1751" t="n"/>
      <c r="BM96" s="1797" t="n"/>
      <c r="BN96" s="1797" t="n"/>
      <c r="BO96" s="1797" t="n"/>
      <c r="BP96" s="1859" t="n"/>
      <c r="BQ96" s="1751" t="n"/>
      <c r="BR96" s="1797" t="n"/>
      <c r="BS96" s="1797" t="n"/>
      <c r="BT96" s="1797" t="n"/>
      <c r="BU96" s="1859" t="n"/>
      <c r="BV96" s="1751" t="n"/>
      <c r="BW96" s="1797" t="n"/>
      <c r="BX96" s="1797" t="n"/>
      <c r="BY96" s="1797" t="n"/>
      <c r="BZ96" s="1859" t="n"/>
      <c r="CA96" s="318" t="inlineStr">
        <is>
          <t>Text_74</t>
        </is>
      </c>
      <c r="CB96" s="319" t="n"/>
      <c r="CC96" s="701" t="n"/>
      <c r="CD96" s="701" t="n"/>
      <c r="CE96" s="701" t="n"/>
      <c r="CF96" s="701" t="n"/>
      <c r="CG96" s="701" t="n"/>
      <c r="CH96" s="701" t="n"/>
      <c r="CI96" s="701" t="n"/>
      <c r="CJ96" s="701" t="n"/>
      <c r="CK96" s="701" t="n"/>
      <c r="CL96" s="701" t="n"/>
      <c r="CM96" s="701" t="n"/>
      <c r="CN96" s="701" t="n"/>
      <c r="CO96" s="701" t="n"/>
      <c r="CP96" s="701" t="n"/>
      <c r="CQ96" s="701" t="n"/>
      <c r="CR96" s="701" t="n"/>
      <c r="CS96" s="701" t="n"/>
      <c r="CT96" s="701" t="n"/>
      <c r="CU96" s="701" t="n"/>
      <c r="CV96" s="701" t="n"/>
      <c r="CW96" s="30" t="n"/>
    </row>
    <row r="97" hidden="1" ht="12.75" customHeight="1" s="1676">
      <c r="A97" s="31" t="n"/>
      <c r="B97" s="183" t="inlineStr">
        <is>
          <t>Text_75</t>
        </is>
      </c>
      <c r="C97" s="699" t="n"/>
      <c r="D97" s="1860" t="n"/>
      <c r="E97" s="1860" t="n"/>
      <c r="F97" s="1860" t="n"/>
      <c r="G97" s="1860" t="n"/>
      <c r="H97" s="1861" t="n"/>
      <c r="I97" s="1861" t="n"/>
      <c r="J97" s="1861" t="n"/>
      <c r="K97" s="1861" t="n"/>
      <c r="L97" s="1714" t="n"/>
      <c r="M97" s="1861" t="n"/>
      <c r="N97" s="1861" t="n"/>
      <c r="O97" s="1861" t="n"/>
      <c r="P97" s="1861" t="n"/>
      <c r="Q97" s="1714" t="n"/>
      <c r="R97" s="1861" t="n"/>
      <c r="S97" s="1713" t="n"/>
      <c r="T97" s="1713" t="n"/>
      <c r="U97" s="1713" t="n"/>
      <c r="V97" s="1713" t="n"/>
      <c r="W97" s="1861" t="n"/>
      <c r="X97" s="1713" t="n"/>
      <c r="Y97" s="1713" t="n"/>
      <c r="Z97" s="1713" t="n"/>
      <c r="AA97" s="1713" t="n"/>
      <c r="AB97" s="1861" t="n"/>
      <c r="AC97" s="1861" t="n"/>
      <c r="AD97" s="1861" t="n"/>
      <c r="AE97" s="1861" t="n"/>
      <c r="AF97" s="1861" t="n"/>
      <c r="AG97" s="1861" t="n"/>
      <c r="AH97" s="1861" t="n"/>
      <c r="AI97" s="1861" t="n"/>
      <c r="AJ97" s="1861" t="n"/>
      <c r="AK97" s="1714" t="n"/>
      <c r="AL97" s="1861" t="n">
        <v>125617.933297084</v>
      </c>
      <c r="AM97" s="1861" t="n"/>
      <c r="AN97" s="1861" t="n"/>
      <c r="AO97" s="1861" t="n"/>
      <c r="AP97" s="1714" t="n"/>
      <c r="AQ97" s="1861" t="n">
        <v>159903.143264352</v>
      </c>
      <c r="AR97" s="1861" t="n"/>
      <c r="AS97" s="1861" t="n"/>
      <c r="AT97" s="1861" t="n"/>
      <c r="AU97" s="1714" t="n"/>
      <c r="AV97" s="1862" t="n">
        <v>159667.32812325</v>
      </c>
      <c r="AW97" s="1863" t="n"/>
      <c r="AX97" s="1864" t="n"/>
      <c r="AY97" s="1864" t="n"/>
      <c r="AZ97" s="1850" t="n"/>
      <c r="BA97" s="1865" t="n">
        <v>156155.405055622</v>
      </c>
      <c r="BB97" s="1863" t="n"/>
      <c r="BC97" s="1864" t="n"/>
      <c r="BD97" s="1864" t="n"/>
      <c r="BE97" s="1850" t="n"/>
      <c r="BF97" s="1865" t="n">
        <v>136577.608357037</v>
      </c>
      <c r="BG97" s="1861" t="n"/>
      <c r="BH97" s="1861" t="n"/>
      <c r="BI97" s="1861" t="n"/>
      <c r="BJ97" s="1714" t="n"/>
      <c r="BK97" s="1745">
        <f t="array" ref="BK97">BF97*(1+BK98)</f>
        <v/>
      </c>
      <c r="BL97" s="1861" t="n"/>
      <c r="BM97" s="1861" t="n"/>
      <c r="BN97" s="1861" t="n"/>
      <c r="BO97" s="1714" t="n"/>
      <c r="BP97" s="1745">
        <f t="array" ref="BP97">BK97*(1+BP98)</f>
        <v/>
      </c>
      <c r="BQ97" s="1861" t="n"/>
      <c r="BR97" s="1861" t="n"/>
      <c r="BS97" s="1861" t="n"/>
      <c r="BT97" s="1714" t="n"/>
      <c r="BU97" s="1745">
        <f t="array" ref="BU97">BP97*(1+BU98)</f>
        <v/>
      </c>
      <c r="BV97" s="1861" t="n"/>
      <c r="BW97" s="1861" t="n"/>
      <c r="BX97" s="1861" t="n"/>
      <c r="BY97" s="1714" t="n"/>
      <c r="BZ97" s="1745">
        <f t="array" ref="BZ97">BU97*(1+BZ98)</f>
        <v/>
      </c>
      <c r="CA97" s="1713" t="n"/>
      <c r="CB97" s="456" t="n"/>
      <c r="CC97" s="701" t="n"/>
      <c r="CD97" s="701" t="n"/>
      <c r="CE97" s="701" t="n"/>
      <c r="CF97" s="701" t="n"/>
      <c r="CG97" s="701" t="n"/>
      <c r="CH97" s="701" t="n"/>
      <c r="CI97" s="701" t="n"/>
      <c r="CJ97" s="701" t="n"/>
      <c r="CK97" s="701" t="n"/>
      <c r="CL97" s="701" t="n"/>
      <c r="CM97" s="701" t="n"/>
      <c r="CN97" s="701" t="n"/>
      <c r="CO97" s="701" t="n"/>
      <c r="CP97" s="701" t="n"/>
      <c r="CQ97" s="701" t="n"/>
      <c r="CR97" s="701" t="n"/>
      <c r="CS97" s="701" t="n"/>
      <c r="CT97" s="701" t="n"/>
      <c r="CU97" s="701" t="n"/>
      <c r="CV97" s="701" t="n"/>
      <c r="CW97" s="30" t="n"/>
    </row>
    <row r="98" hidden="1" ht="13.15" customHeight="1" s="1676">
      <c r="A98" s="31" t="n"/>
      <c r="B98" s="103" t="inlineStr">
        <is>
          <t>Text_24</t>
        </is>
      </c>
      <c r="C98" s="699" t="n"/>
      <c r="D98" s="1782" t="n"/>
      <c r="E98" s="1782" t="n"/>
      <c r="F98" s="1782" t="n"/>
      <c r="G98" s="1782" t="n"/>
      <c r="H98" s="1751" t="n"/>
      <c r="I98" s="1751" t="n"/>
      <c r="J98" s="1751" t="n"/>
      <c r="K98" s="1751" t="n"/>
      <c r="L98" s="1751" t="n"/>
      <c r="M98" s="1751" t="n"/>
      <c r="N98" s="1751" t="n"/>
      <c r="O98" s="1751" t="n"/>
      <c r="P98" s="1751" t="n"/>
      <c r="Q98" s="1751" t="n"/>
      <c r="R98" s="1751" t="n"/>
      <c r="S98" s="1853" t="n"/>
      <c r="T98" s="1853" t="n"/>
      <c r="U98" s="1853" t="n"/>
      <c r="V98" s="1853" t="n"/>
      <c r="W98" s="1751" t="n"/>
      <c r="X98" s="1853" t="n"/>
      <c r="Y98" s="1853" t="n"/>
      <c r="Z98" s="1853" t="n"/>
      <c r="AA98" s="1853" t="n"/>
      <c r="AB98" s="1751" t="n"/>
      <c r="AC98" s="1751" t="n"/>
      <c r="AD98" s="1751" t="n"/>
      <c r="AE98" s="1751" t="n"/>
      <c r="AF98" s="1751" t="n"/>
      <c r="AG98" s="1751" t="n"/>
      <c r="AH98" s="1751" t="n"/>
      <c r="AI98" s="1751" t="n"/>
      <c r="AJ98" s="1751" t="n"/>
      <c r="AK98" s="1751" t="n"/>
      <c r="AL98" s="1751" t="n"/>
      <c r="AM98" s="1751" t="n"/>
      <c r="AN98" s="1751" t="n"/>
      <c r="AO98" s="1751" t="n"/>
      <c r="AP98" s="1751" t="n"/>
      <c r="AQ98" s="1751">
        <f t="array" ref="AQ98">AQ97/AL97-1</f>
        <v/>
      </c>
      <c r="AR98" s="1751" t="n"/>
      <c r="AS98" s="1751" t="n"/>
      <c r="AT98" s="1751" t="n"/>
      <c r="AU98" s="1751" t="n"/>
      <c r="AV98" s="1751">
        <f t="array" ref="AV98">AV97/AQ97-1</f>
        <v/>
      </c>
      <c r="AW98" s="1749" t="n"/>
      <c r="AX98" s="1750" t="n"/>
      <c r="AY98" s="1750" t="n"/>
      <c r="AZ98" s="1750" t="n"/>
      <c r="BA98" s="1784">
        <f t="array" ref="BA98">BA97/AV97-1</f>
        <v/>
      </c>
      <c r="BB98" s="1749" t="n"/>
      <c r="BC98" s="1750" t="n"/>
      <c r="BD98" s="1750" t="n"/>
      <c r="BE98" s="1750" t="n"/>
      <c r="BF98" s="1784">
        <f t="array" ref="BF98">BF97/BA97-1</f>
        <v/>
      </c>
      <c r="BG98" s="1751" t="n"/>
      <c r="BH98" s="1751" t="n"/>
      <c r="BI98" s="1751" t="n"/>
      <c r="BJ98" s="1751" t="n"/>
      <c r="BK98" s="1856" t="n">
        <v>0.144186986466734</v>
      </c>
      <c r="BL98" s="1751" t="n"/>
      <c r="BM98" s="1751" t="n"/>
      <c r="BN98" s="1751" t="n"/>
      <c r="BO98" s="1751" t="n"/>
      <c r="BP98" s="1856" t="n">
        <v>0.147409442055828</v>
      </c>
      <c r="BQ98" s="1751" t="n"/>
      <c r="BR98" s="1751" t="n"/>
      <c r="BS98" s="1751" t="n"/>
      <c r="BT98" s="1751" t="n"/>
      <c r="BU98" s="1856" t="n">
        <v>0.14969045970382</v>
      </c>
      <c r="BV98" s="1751" t="n"/>
      <c r="BW98" s="1751" t="n"/>
      <c r="BX98" s="1751" t="n"/>
      <c r="BY98" s="1751" t="n"/>
      <c r="BZ98" s="1856" t="n">
        <v>0.152365095430606</v>
      </c>
      <c r="CA98" s="238" t="inlineStr">
        <is>
          <t>Text_76</t>
        </is>
      </c>
      <c r="CB98" s="456" t="n"/>
      <c r="CC98" s="701" t="n"/>
      <c r="CD98" s="701" t="n"/>
      <c r="CE98" s="701" t="n"/>
      <c r="CF98" s="701" t="n"/>
      <c r="CG98" s="701" t="n"/>
      <c r="CH98" s="701" t="n"/>
      <c r="CI98" s="701" t="n"/>
      <c r="CJ98" s="701" t="n"/>
      <c r="CK98" s="701" t="n"/>
      <c r="CL98" s="701" t="n"/>
      <c r="CM98" s="701" t="n"/>
      <c r="CN98" s="701" t="n"/>
      <c r="CO98" s="701" t="n"/>
      <c r="CP98" s="701" t="n"/>
      <c r="CQ98" s="701" t="n"/>
      <c r="CR98" s="701" t="n"/>
      <c r="CS98" s="701" t="n"/>
      <c r="CT98" s="701" t="n"/>
      <c r="CU98" s="701" t="n"/>
      <c r="CV98" s="701" t="n"/>
      <c r="CW98" s="30" t="n"/>
    </row>
    <row r="99" hidden="1" ht="13.15" customHeight="1" s="1676">
      <c r="A99" s="31" t="n"/>
      <c r="B99" s="167" t="inlineStr">
        <is>
          <t>Text_77</t>
        </is>
      </c>
      <c r="C99" s="699" t="n"/>
      <c r="D99" s="1782" t="n"/>
      <c r="E99" s="1782" t="n"/>
      <c r="F99" s="1782" t="n"/>
      <c r="G99" s="1782" t="n"/>
      <c r="H99" s="1751" t="n"/>
      <c r="I99" s="1866" t="n"/>
      <c r="J99" s="1866" t="n"/>
      <c r="K99" s="1866" t="n"/>
      <c r="L99" s="1866" t="n"/>
      <c r="M99" s="1866" t="n"/>
      <c r="N99" s="1866" t="n"/>
      <c r="O99" s="1866" t="n"/>
      <c r="P99" s="1866" t="n"/>
      <c r="Q99" s="1866" t="n"/>
      <c r="R99" s="1866" t="n"/>
      <c r="S99" s="1853" t="n"/>
      <c r="T99" s="1853" t="n"/>
      <c r="U99" s="1853" t="n"/>
      <c r="V99" s="1853" t="n"/>
      <c r="W99" s="1866" t="n"/>
      <c r="X99" s="1853" t="n"/>
      <c r="Y99" s="1853" t="n"/>
      <c r="Z99" s="1853" t="n"/>
      <c r="AA99" s="1853" t="n"/>
      <c r="AB99" s="1866" t="n"/>
      <c r="AC99" s="1751" t="n"/>
      <c r="AD99" s="1751" t="n"/>
      <c r="AE99" s="1751" t="n"/>
      <c r="AF99" s="1751" t="n"/>
      <c r="AG99" s="1866" t="n"/>
      <c r="AH99" s="1866" t="n"/>
      <c r="AI99" s="1866" t="n"/>
      <c r="AJ99" s="1866" t="n"/>
      <c r="AK99" s="1866" t="n"/>
      <c r="AL99" s="1866">
        <f t="array" ref="AL99">AL97/AL94</f>
        <v/>
      </c>
      <c r="AM99" s="1866" t="n"/>
      <c r="AN99" s="1866" t="n"/>
      <c r="AO99" s="1866" t="n"/>
      <c r="AP99" s="1866" t="n"/>
      <c r="AQ99" s="1866">
        <f t="array" ref="AQ99">AQ97/AQ94</f>
        <v/>
      </c>
      <c r="AR99" s="1866" t="n"/>
      <c r="AS99" s="1866" t="n"/>
      <c r="AT99" s="1866" t="n"/>
      <c r="AU99" s="1866" t="n"/>
      <c r="AV99" s="1866">
        <f t="array" ref="AV99">AV97/AV94</f>
        <v/>
      </c>
      <c r="AW99" s="1867" t="n"/>
      <c r="AX99" s="1868" t="n"/>
      <c r="AY99" s="1868" t="n"/>
      <c r="AZ99" s="1868" t="n"/>
      <c r="BA99" s="1869">
        <f t="array" ref="BA99">BA97/BA94</f>
        <v/>
      </c>
      <c r="BB99" s="1867" t="n"/>
      <c r="BC99" s="1868" t="n"/>
      <c r="BD99" s="1868" t="n"/>
      <c r="BE99" s="1868" t="n"/>
      <c r="BF99" s="1869">
        <f t="array" ref="BF99">BF97/BF94</f>
        <v/>
      </c>
      <c r="BG99" s="1866" t="n"/>
      <c r="BH99" s="1866" t="n"/>
      <c r="BI99" s="1866" t="n"/>
      <c r="BJ99" s="1866" t="n"/>
      <c r="BK99" s="1866">
        <f t="array" ref="BK99">BK97/BK94</f>
        <v/>
      </c>
      <c r="BL99" s="1866" t="n"/>
      <c r="BM99" s="1866" t="n"/>
      <c r="BN99" s="1866" t="n"/>
      <c r="BO99" s="1866" t="n"/>
      <c r="BP99" s="1866">
        <f t="array" ref="BP99">BP97/BP94</f>
        <v/>
      </c>
      <c r="BQ99" s="1866" t="n"/>
      <c r="BR99" s="1866" t="n"/>
      <c r="BS99" s="1866" t="n"/>
      <c r="BT99" s="1866" t="n"/>
      <c r="BU99" s="1866">
        <f t="array" ref="BU99">BU97/BU94</f>
        <v/>
      </c>
      <c r="BV99" s="1866" t="n"/>
      <c r="BW99" s="1866" t="n"/>
      <c r="BX99" s="1866" t="n"/>
      <c r="BY99" s="1866" t="n"/>
      <c r="BZ99" s="1866">
        <f t="array" ref="BZ99">BZ97/BZ94</f>
        <v/>
      </c>
      <c r="CA99" s="238" t="inlineStr">
        <is>
          <t>Text_78</t>
        </is>
      </c>
      <c r="CB99" s="456" t="n"/>
      <c r="CC99" s="701" t="n"/>
      <c r="CD99" s="701" t="n"/>
      <c r="CE99" s="701" t="n"/>
      <c r="CF99" s="701" t="n"/>
      <c r="CG99" s="701" t="n"/>
      <c r="CH99" s="701" t="n"/>
      <c r="CI99" s="701" t="n"/>
      <c r="CJ99" s="701" t="n"/>
      <c r="CK99" s="701" t="n"/>
      <c r="CL99" s="701" t="n"/>
      <c r="CM99" s="701" t="n"/>
      <c r="CN99" s="701" t="n"/>
      <c r="CO99" s="701" t="n"/>
      <c r="CP99" s="701" t="n"/>
      <c r="CQ99" s="701" t="n"/>
      <c r="CR99" s="701" t="n"/>
      <c r="CS99" s="701" t="n"/>
      <c r="CT99" s="701" t="n"/>
      <c r="CU99" s="701" t="n"/>
      <c r="CV99" s="701" t="n"/>
      <c r="CW99" s="30" t="n"/>
    </row>
    <row r="100" hidden="1" ht="13.15" customHeight="1" s="1676">
      <c r="A100" s="31" t="n"/>
      <c r="B100" s="1870" t="n"/>
      <c r="C100" s="699" t="n"/>
      <c r="D100" s="1782" t="n"/>
      <c r="E100" s="1782" t="n"/>
      <c r="F100" s="1782" t="n"/>
      <c r="G100" s="1782" t="n"/>
      <c r="H100" s="1751" t="n"/>
      <c r="I100" s="1866" t="n"/>
      <c r="J100" s="1866" t="n"/>
      <c r="K100" s="1866" t="n"/>
      <c r="L100" s="1866" t="n"/>
      <c r="M100" s="1866" t="n"/>
      <c r="N100" s="1866" t="n"/>
      <c r="O100" s="1866" t="n"/>
      <c r="P100" s="1866" t="n"/>
      <c r="Q100" s="1866" t="n"/>
      <c r="R100" s="1866" t="n"/>
      <c r="S100" s="1853" t="n"/>
      <c r="T100" s="1853" t="n"/>
      <c r="U100" s="1853" t="n"/>
      <c r="V100" s="1853" t="n"/>
      <c r="W100" s="1866" t="n"/>
      <c r="X100" s="1853" t="n"/>
      <c r="Y100" s="1853" t="n"/>
      <c r="Z100" s="1853" t="n"/>
      <c r="AA100" s="1853" t="n"/>
      <c r="AB100" s="1866" t="n"/>
      <c r="AC100" s="1751" t="n"/>
      <c r="AD100" s="1751" t="n"/>
      <c r="AE100" s="1751" t="n"/>
      <c r="AF100" s="1751" t="n"/>
      <c r="AG100" s="1866" t="n"/>
      <c r="AH100" s="1866" t="n"/>
      <c r="AI100" s="1866" t="n"/>
      <c r="AJ100" s="1866" t="n"/>
      <c r="AK100" s="1866" t="n"/>
      <c r="AL100" s="1866" t="n"/>
      <c r="AM100" s="1866" t="n"/>
      <c r="AN100" s="1866" t="n"/>
      <c r="AO100" s="1866" t="n"/>
      <c r="AP100" s="1866" t="n"/>
      <c r="AQ100" s="1866" t="n"/>
      <c r="AR100" s="1866" t="n"/>
      <c r="AS100" s="1866" t="n"/>
      <c r="AT100" s="1866" t="n"/>
      <c r="AU100" s="1866" t="n"/>
      <c r="AV100" s="1866" t="n"/>
      <c r="AW100" s="1867" t="n"/>
      <c r="AX100" s="1868" t="n"/>
      <c r="AY100" s="1868" t="n"/>
      <c r="AZ100" s="1868" t="n"/>
      <c r="BA100" s="1869" t="n"/>
      <c r="BB100" s="1867" t="n"/>
      <c r="BC100" s="1868" t="n"/>
      <c r="BD100" s="1868" t="n"/>
      <c r="BE100" s="1868" t="n"/>
      <c r="BF100" s="1869" t="n"/>
      <c r="BG100" s="1866" t="n"/>
      <c r="BH100" s="1866" t="n"/>
      <c r="BI100" s="1866" t="n"/>
      <c r="BJ100" s="1866" t="n"/>
      <c r="BK100" s="1866" t="n"/>
      <c r="BL100" s="1866" t="n"/>
      <c r="BM100" s="1866" t="n"/>
      <c r="BN100" s="1866" t="n"/>
      <c r="BO100" s="1866" t="n"/>
      <c r="BP100" s="1866" t="n"/>
      <c r="BQ100" s="1866" t="n"/>
      <c r="BR100" s="1866" t="n"/>
      <c r="BS100" s="1866" t="n"/>
      <c r="BT100" s="1866" t="n"/>
      <c r="BU100" s="1866" t="n"/>
      <c r="BV100" s="1866" t="n"/>
      <c r="BW100" s="1866" t="n"/>
      <c r="BX100" s="1866" t="n"/>
      <c r="BY100" s="1866" t="n"/>
      <c r="BZ100" s="1866" t="n"/>
      <c r="CA100" s="1871" t="n"/>
      <c r="CB100" s="456" t="n"/>
      <c r="CC100" s="701" t="n"/>
      <c r="CD100" s="701" t="n"/>
      <c r="CE100" s="701" t="n"/>
      <c r="CF100" s="701" t="n"/>
      <c r="CG100" s="701" t="n"/>
      <c r="CH100" s="701" t="n"/>
      <c r="CI100" s="701" t="n"/>
      <c r="CJ100" s="701" t="n"/>
      <c r="CK100" s="701" t="n"/>
      <c r="CL100" s="701" t="n"/>
      <c r="CM100" s="701" t="n"/>
      <c r="CN100" s="701" t="n"/>
      <c r="CO100" s="701" t="n"/>
      <c r="CP100" s="701" t="n"/>
      <c r="CQ100" s="701" t="n"/>
      <c r="CR100" s="701" t="n"/>
      <c r="CS100" s="701" t="n"/>
      <c r="CT100" s="701" t="n"/>
      <c r="CU100" s="701" t="n"/>
      <c r="CV100" s="701" t="n"/>
      <c r="CW100" s="30" t="n"/>
    </row>
    <row r="101" ht="12.75" customHeight="1" s="1676">
      <c r="A101" s="31" t="n"/>
      <c r="B101" s="301" t="inlineStr">
        <is>
          <t>Text_79</t>
        </is>
      </c>
      <c r="C101" s="699" t="n"/>
      <c r="D101" s="1782" t="n"/>
      <c r="E101" s="1782" t="n"/>
      <c r="F101" s="1782" t="n"/>
      <c r="G101" s="1782" t="n"/>
      <c r="H101" s="1847" t="n"/>
      <c r="I101" s="1847" t="n">
        <v>7465.81677577298</v>
      </c>
      <c r="J101" s="1847" t="n">
        <v>8897.016000684909</v>
      </c>
      <c r="K101" s="1847" t="n">
        <v>11015.2513952081</v>
      </c>
      <c r="L101" s="1714" t="n">
        <v>8218.42028017687</v>
      </c>
      <c r="M101" s="1847" t="n">
        <v>33356.2486113128</v>
      </c>
      <c r="N101" s="1847" t="n">
        <v>12111.8306918435</v>
      </c>
      <c r="O101" s="1847" t="n">
        <v>13565.3178231848</v>
      </c>
      <c r="P101" s="1847" t="n">
        <v>13404.5853161441</v>
      </c>
      <c r="Q101" s="1714" t="n">
        <v>13598.2129583135</v>
      </c>
      <c r="R101" s="1847" t="n">
        <v>41840.9346128476</v>
      </c>
      <c r="S101" s="1713" t="n">
        <v>14662.985653375</v>
      </c>
      <c r="T101" s="1713" t="n">
        <v>15745.0643138356</v>
      </c>
      <c r="U101" s="1713" t="n">
        <v>12865.5338207063</v>
      </c>
      <c r="V101" s="1713" t="n">
        <v>12349.5669046901</v>
      </c>
      <c r="W101" s="1847" t="n">
        <v>55598.7346673611</v>
      </c>
      <c r="X101" s="1713" t="n">
        <v>10513.9164847457</v>
      </c>
      <c r="Y101" s="1713" t="n">
        <v>11205.543051024</v>
      </c>
      <c r="Z101" s="1713" t="n">
        <v>12004.6278550205</v>
      </c>
      <c r="AA101" s="1713" t="n">
        <v>14632.1743889275</v>
      </c>
      <c r="AB101" s="1847" t="n">
        <v>46095.134814602</v>
      </c>
      <c r="AC101" s="1847" t="n">
        <v>15600.6864131129</v>
      </c>
      <c r="AD101" s="1847" t="n">
        <v>15516.8239533552</v>
      </c>
      <c r="AE101" s="1847" t="n">
        <v>18886.7461800566</v>
      </c>
      <c r="AF101" s="1847" t="n">
        <v>20622.0256737514</v>
      </c>
      <c r="AG101" s="1847" t="n">
        <v>64517.7426100784</v>
      </c>
      <c r="AH101" s="1847" t="n">
        <v>17098.445525329</v>
      </c>
      <c r="AI101" s="1847" t="n">
        <v>22621.9666693039</v>
      </c>
      <c r="AJ101" s="1847" t="n">
        <v>25096.254376458</v>
      </c>
      <c r="AK101" s="1714" t="n">
        <v>26110.8408609553</v>
      </c>
      <c r="AL101" s="1847" t="n">
        <v>88322.0571734815</v>
      </c>
      <c r="AM101" s="1847" t="n">
        <v>18394.328956429</v>
      </c>
      <c r="AN101" s="1847" t="n">
        <v>21452.0051188629</v>
      </c>
      <c r="AO101" s="1847" t="n">
        <v>25070.5505045563</v>
      </c>
      <c r="AP101" s="1714" t="n">
        <v>27587.0407836042</v>
      </c>
      <c r="AQ101" s="1847" t="n">
        <v>100451.621224506</v>
      </c>
      <c r="AR101" s="1847" t="n"/>
      <c r="AS101" s="1847" t="n"/>
      <c r="AT101" s="1847" t="n"/>
      <c r="AU101" s="1714" t="n"/>
      <c r="AV101" s="1847" t="n">
        <v>93261.84792055959</v>
      </c>
      <c r="AW101" s="1872" t="n"/>
      <c r="AX101" s="1849" t="n"/>
      <c r="AY101" s="1849" t="n"/>
      <c r="AZ101" s="1850" t="n"/>
      <c r="BA101" s="1748">
        <f t="array" ref="BA101">BA123+BA135</f>
        <v/>
      </c>
      <c r="BB101" s="1873" t="n"/>
      <c r="BC101" s="1874" t="n"/>
      <c r="BD101" s="1874" t="n"/>
      <c r="BE101" s="1874" t="n"/>
      <c r="BF101" s="1748">
        <f t="array" ref="BF101">BF123+BF135</f>
        <v/>
      </c>
      <c r="BG101" s="1745" t="n"/>
      <c r="BH101" s="1745" t="n"/>
      <c r="BI101" s="1745" t="n"/>
      <c r="BJ101" s="1745" t="n"/>
      <c r="BK101" s="1745">
        <f t="array" ref="BK101">BK123+BK135</f>
        <v/>
      </c>
      <c r="BL101" s="1847" t="n"/>
      <c r="BM101" s="1847" t="n"/>
      <c r="BN101" s="1847" t="n"/>
      <c r="BO101" s="1714" t="n"/>
      <c r="BP101" s="1745">
        <f t="array" ref="BP101">BP123+BP135</f>
        <v/>
      </c>
      <c r="BQ101" s="1847" t="n"/>
      <c r="BR101" s="1847" t="n"/>
      <c r="BS101" s="1847" t="n"/>
      <c r="BT101" s="1714" t="n"/>
      <c r="BU101" s="1745">
        <f t="array" ref="BU101">BU123+BU135</f>
        <v/>
      </c>
      <c r="BV101" s="1847" t="n"/>
      <c r="BW101" s="1847" t="n"/>
      <c r="BX101" s="1847" t="n"/>
      <c r="BY101" s="1714" t="n"/>
      <c r="BZ101" s="1745">
        <f t="array" ref="BZ101">BZ123+BZ135</f>
        <v/>
      </c>
      <c r="CA101" s="270" t="inlineStr">
        <is>
          <t>Text_80</t>
        </is>
      </c>
      <c r="CB101" s="1851">
        <f t="array" ref="CB101">(BP101/AL101)^(1/6)-1</f>
        <v/>
      </c>
      <c r="CC101" s="1852">
        <f t="array" ref="CC101">(BZ101/BA101)^(1/7)-1</f>
        <v/>
      </c>
      <c r="CD101" s="701" t="n"/>
      <c r="CE101" s="701" t="n"/>
      <c r="CF101" s="701" t="n"/>
      <c r="CG101" s="701" t="n"/>
      <c r="CH101" s="701" t="n"/>
      <c r="CI101" s="701" t="n"/>
      <c r="CJ101" s="701" t="n"/>
      <c r="CK101" s="701" t="n"/>
      <c r="CL101" s="701" t="n"/>
      <c r="CM101" s="701" t="n"/>
      <c r="CN101" s="701" t="n"/>
      <c r="CO101" s="701" t="n"/>
      <c r="CP101" s="701" t="n"/>
      <c r="CQ101" s="701" t="n"/>
      <c r="CR101" s="701" t="n"/>
      <c r="CS101" s="701" t="n"/>
      <c r="CT101" s="701" t="n"/>
      <c r="CU101" s="701" t="n"/>
      <c r="CV101" s="701" t="n"/>
      <c r="CW101" s="30" t="n"/>
    </row>
    <row r="102" ht="13.15" customHeight="1" s="1676">
      <c r="A102" s="31" t="n"/>
      <c r="B102" s="156" t="inlineStr">
        <is>
          <t>Text_24</t>
        </is>
      </c>
      <c r="C102" s="699" t="n"/>
      <c r="D102" s="1782" t="n"/>
      <c r="E102" s="1782" t="n"/>
      <c r="F102" s="1782" t="n"/>
      <c r="G102" s="1782" t="n"/>
      <c r="H102" s="1751" t="n"/>
      <c r="I102" s="1751" t="n"/>
      <c r="J102" s="1751" t="n"/>
      <c r="K102" s="1751" t="n"/>
      <c r="L102" s="1751" t="n"/>
      <c r="M102" s="1751">
        <f t="array" ref="M102">M101/H101-1</f>
        <v/>
      </c>
      <c r="N102" s="1751" t="n"/>
      <c r="O102" s="1751" t="n"/>
      <c r="P102" s="1751" t="n"/>
      <c r="Q102" s="1751" t="n"/>
      <c r="R102" s="1751">
        <f t="array" ref="R102">R101/M101-1</f>
        <v/>
      </c>
      <c r="S102" s="1713" t="n"/>
      <c r="T102" s="1713" t="n"/>
      <c r="U102" s="1713" t="n"/>
      <c r="V102" s="1713" t="n"/>
      <c r="W102" s="1751">
        <f t="array" ref="W102">W101/R101-1</f>
        <v/>
      </c>
      <c r="X102" s="1713" t="n"/>
      <c r="Y102" s="1713" t="n"/>
      <c r="Z102" s="1713" t="n"/>
      <c r="AA102" s="1713" t="n"/>
      <c r="AB102" s="1751">
        <f t="array" ref="AB102">AB101/W101-1</f>
        <v/>
      </c>
      <c r="AC102" s="1751" t="n"/>
      <c r="AD102" s="1751" t="n"/>
      <c r="AE102" s="1751" t="n"/>
      <c r="AF102" s="1751" t="n"/>
      <c r="AG102" s="1751">
        <f t="array" ref="AG102">AG101/AB101-1</f>
        <v/>
      </c>
      <c r="AH102" s="1751" t="n"/>
      <c r="AI102" s="1751" t="n"/>
      <c r="AJ102" s="1751" t="n"/>
      <c r="AK102" s="1751" t="n"/>
      <c r="AL102" s="1751">
        <f t="array" ref="AL102">AL101/AG101-1</f>
        <v/>
      </c>
      <c r="AM102" s="1751" t="n"/>
      <c r="AN102" s="1751" t="n"/>
      <c r="AO102" s="1751" t="n"/>
      <c r="AP102" s="1751" t="n"/>
      <c r="AQ102" s="1751">
        <f t="array" ref="AQ102">AQ101/AL101-1</f>
        <v/>
      </c>
      <c r="AR102" s="1751" t="n"/>
      <c r="AS102" s="1751" t="n"/>
      <c r="AT102" s="1751" t="n"/>
      <c r="AU102" s="1751" t="n"/>
      <c r="AV102" s="1751">
        <f t="array" ref="AV102">AV101/AQ101-1</f>
        <v/>
      </c>
      <c r="AW102" s="1749" t="n"/>
      <c r="AX102" s="1750" t="n"/>
      <c r="AY102" s="1750" t="n"/>
      <c r="AZ102" s="1750" t="n"/>
      <c r="BA102" s="1784">
        <f t="array" ref="BA102">BA101/AV101-1</f>
        <v/>
      </c>
      <c r="BB102" s="1749" t="n"/>
      <c r="BC102" s="1750" t="n"/>
      <c r="BD102" s="1750" t="n"/>
      <c r="BE102" s="1750" t="n"/>
      <c r="BF102" s="1875">
        <f t="array" ref="BF102">BF101/BA101-1</f>
        <v/>
      </c>
      <c r="BG102" s="1751" t="n"/>
      <c r="BH102" s="1751" t="n"/>
      <c r="BI102" s="1751" t="n"/>
      <c r="BJ102" s="1751" t="n"/>
      <c r="BK102" s="1751">
        <f t="array" ref="BK102">BK101/BF101-1</f>
        <v/>
      </c>
      <c r="BL102" s="1782" t="n"/>
      <c r="BM102" s="1782" t="n"/>
      <c r="BN102" s="1782" t="n"/>
      <c r="BO102" s="1782" t="n"/>
      <c r="BP102" s="1876">
        <f t="array" ref="BP102">BP101/BK101-1</f>
        <v/>
      </c>
      <c r="BQ102" s="1782" t="n"/>
      <c r="BR102" s="1782" t="n"/>
      <c r="BS102" s="1782" t="n"/>
      <c r="BT102" s="1782" t="n"/>
      <c r="BU102" s="1751">
        <f t="array" ref="BU102">BU101/BP101-1</f>
        <v/>
      </c>
      <c r="BV102" s="1782" t="n"/>
      <c r="BW102" s="1782" t="n"/>
      <c r="BX102" s="1782" t="n"/>
      <c r="BY102" s="1782" t="n"/>
      <c r="BZ102" s="1751">
        <f t="array" ref="BZ102">BZ101/BU101-1</f>
        <v/>
      </c>
      <c r="CA102" s="337" t="inlineStr">
        <is>
          <t>Text_81</t>
        </is>
      </c>
      <c r="CB102" s="314" t="inlineStr">
        <is>
          <t>Text_82</t>
        </is>
      </c>
      <c r="CC102" s="701" t="n"/>
      <c r="CD102" s="701" t="n"/>
      <c r="CE102" s="701" t="n"/>
      <c r="CF102" s="701" t="n"/>
      <c r="CG102" s="701" t="n"/>
      <c r="CH102" s="701" t="n"/>
      <c r="CI102" s="701" t="n"/>
      <c r="CJ102" s="701" t="n"/>
      <c r="CK102" s="701" t="n"/>
      <c r="CL102" s="701" t="n"/>
      <c r="CM102" s="701" t="n"/>
      <c r="CN102" s="701" t="n"/>
      <c r="CO102" s="701" t="n"/>
      <c r="CP102" s="701" t="n"/>
      <c r="CQ102" s="701" t="n"/>
      <c r="CR102" s="701" t="n"/>
      <c r="CS102" s="701" t="n"/>
      <c r="CT102" s="701" t="n"/>
      <c r="CU102" s="701" t="n"/>
      <c r="CV102" s="701" t="n"/>
      <c r="CW102" s="30" t="n"/>
    </row>
    <row r="103" ht="13.15" customHeight="1" s="1676">
      <c r="A103" s="31" t="n"/>
      <c r="B103" s="338" t="inlineStr">
        <is>
          <t>Text_77</t>
        </is>
      </c>
      <c r="C103" s="699" t="n"/>
      <c r="D103" s="1782" t="n"/>
      <c r="E103" s="1782" t="n"/>
      <c r="F103" s="1782" t="n"/>
      <c r="G103" s="1782" t="n"/>
      <c r="H103" s="1751" t="n"/>
      <c r="I103" s="1751" t="n"/>
      <c r="J103" s="1751" t="n"/>
      <c r="K103" s="1751" t="n"/>
      <c r="L103" s="1751" t="n"/>
      <c r="M103" s="1751">
        <f t="array" ref="M103">M101/M94</f>
        <v/>
      </c>
      <c r="N103" s="1751" t="n"/>
      <c r="O103" s="1751" t="n"/>
      <c r="P103" s="1751" t="n"/>
      <c r="Q103" s="1751" t="n"/>
      <c r="R103" s="1751">
        <f t="array" ref="R103">R101/R94</f>
        <v/>
      </c>
      <c r="S103" s="1713" t="n"/>
      <c r="T103" s="1713" t="n"/>
      <c r="U103" s="1713" t="n"/>
      <c r="V103" s="1713" t="n"/>
      <c r="W103" s="1751">
        <f t="array" ref="W103">W101/W94</f>
        <v/>
      </c>
      <c r="X103" s="1713" t="n"/>
      <c r="Y103" s="1713" t="n"/>
      <c r="Z103" s="1713" t="n"/>
      <c r="AA103" s="1713" t="n"/>
      <c r="AB103" s="1751">
        <f t="array" ref="AB103">AB101/AB94</f>
        <v/>
      </c>
      <c r="AC103" s="1751" t="n"/>
      <c r="AD103" s="1751" t="n"/>
      <c r="AE103" s="1751" t="n"/>
      <c r="AF103" s="1751" t="n"/>
      <c r="AG103" s="1751">
        <f t="array" ref="AG103">AG101/AG94</f>
        <v/>
      </c>
      <c r="AH103" s="1751" t="n"/>
      <c r="AI103" s="1751" t="n"/>
      <c r="AJ103" s="1751" t="n"/>
      <c r="AK103" s="1751" t="n"/>
      <c r="AL103" s="1751">
        <f t="array" ref="AL103">AL101/AL94</f>
        <v/>
      </c>
      <c r="AM103" s="1751" t="n"/>
      <c r="AN103" s="1751" t="n"/>
      <c r="AO103" s="1751" t="n"/>
      <c r="AP103" s="1751" t="n"/>
      <c r="AQ103" s="1751">
        <f t="array" ref="AQ103">AQ101/AQ94</f>
        <v/>
      </c>
      <c r="AR103" s="1751" t="n"/>
      <c r="AS103" s="1751" t="n"/>
      <c r="AT103" s="1751" t="n"/>
      <c r="AU103" s="1751" t="n"/>
      <c r="AV103" s="1751">
        <f t="array" ref="AV103">AV101/AV94</f>
        <v/>
      </c>
      <c r="AW103" s="1749" t="n"/>
      <c r="AX103" s="1750" t="n"/>
      <c r="AY103" s="1750" t="n"/>
      <c r="AZ103" s="1750" t="n"/>
      <c r="BA103" s="1784">
        <f t="array" ref="BA103">BA101/BA94</f>
        <v/>
      </c>
      <c r="BB103" s="1749" t="n"/>
      <c r="BC103" s="1750" t="n"/>
      <c r="BD103" s="1750" t="n"/>
      <c r="BE103" s="1750" t="n"/>
      <c r="BF103" s="1784">
        <f t="array" ref="BF103">BF101/BF94</f>
        <v/>
      </c>
      <c r="BG103" s="1751" t="n"/>
      <c r="BH103" s="1751" t="n"/>
      <c r="BI103" s="1751" t="n"/>
      <c r="BJ103" s="1751" t="n"/>
      <c r="BK103" s="1751">
        <f t="array" ref="BK103">BK101/BK94</f>
        <v/>
      </c>
      <c r="BL103" s="1782" t="n"/>
      <c r="BM103" s="1782" t="n"/>
      <c r="BN103" s="1782" t="n"/>
      <c r="BO103" s="1782" t="n"/>
      <c r="BP103" s="1751">
        <f t="array" ref="BP103">BP101/BP94</f>
        <v/>
      </c>
      <c r="BQ103" s="1782" t="n"/>
      <c r="BR103" s="1782" t="n"/>
      <c r="BS103" s="1782" t="n"/>
      <c r="BT103" s="1782" t="n"/>
      <c r="BU103" s="1751">
        <f t="array" ref="BU103">BU101/BU94</f>
        <v/>
      </c>
      <c r="BV103" s="1782" t="n"/>
      <c r="BW103" s="1782" t="n"/>
      <c r="BX103" s="1782" t="n"/>
      <c r="BY103" s="1782" t="n"/>
      <c r="BZ103" s="1751">
        <f t="array" ref="BZ103">BZ101/BZ94</f>
        <v/>
      </c>
      <c r="CA103" s="337" t="inlineStr">
        <is>
          <t>Text_83</t>
        </is>
      </c>
      <c r="CB103" s="314" t="inlineStr">
        <is>
          <t>Text_84</t>
        </is>
      </c>
      <c r="CC103" s="1852">
        <f t="array" ref="CC103">(BZ101/BA101)^(1/5)-1</f>
        <v/>
      </c>
      <c r="CD103" s="701" t="n"/>
      <c r="CE103" s="701" t="n"/>
      <c r="CF103" s="701" t="n"/>
      <c r="CG103" s="701" t="n"/>
      <c r="CH103" s="701" t="n"/>
      <c r="CI103" s="701" t="n"/>
      <c r="CJ103" s="701" t="n"/>
      <c r="CK103" s="701" t="n"/>
      <c r="CL103" s="701" t="n"/>
      <c r="CM103" s="701" t="n"/>
      <c r="CN103" s="701" t="n"/>
      <c r="CO103" s="701" t="n"/>
      <c r="CP103" s="701" t="n"/>
      <c r="CQ103" s="701" t="n"/>
      <c r="CR103" s="701" t="n"/>
      <c r="CS103" s="701" t="n"/>
      <c r="CT103" s="701" t="n"/>
      <c r="CU103" s="701" t="n"/>
      <c r="CV103" s="701" t="n"/>
      <c r="CW103" s="30" t="n"/>
    </row>
    <row r="104" ht="13.15" customHeight="1" s="1676">
      <c r="A104" s="31" t="n"/>
      <c r="B104" s="167" t="inlineStr">
        <is>
          <t>Text_85</t>
        </is>
      </c>
      <c r="C104" s="699" t="n"/>
      <c r="D104" s="1860" t="n"/>
      <c r="E104" s="1860" t="n"/>
      <c r="F104" s="1860" t="n"/>
      <c r="G104" s="1860" t="n"/>
      <c r="H104" s="1751" t="n"/>
      <c r="I104" s="1751" t="n"/>
      <c r="J104" s="1751" t="n"/>
      <c r="K104" s="1751" t="n"/>
      <c r="L104" s="1751" t="n"/>
      <c r="M104" s="1866">
        <f t="array" ref="M104">M101/M97</f>
        <v/>
      </c>
      <c r="N104" s="1751" t="n"/>
      <c r="O104" s="1751" t="n"/>
      <c r="P104" s="1751" t="n"/>
      <c r="Q104" s="1751" t="n"/>
      <c r="R104" s="1866">
        <f t="array" ref="R104">R101/R97</f>
        <v/>
      </c>
      <c r="S104" s="1713" t="n"/>
      <c r="T104" s="1713" t="n"/>
      <c r="U104" s="1713" t="n"/>
      <c r="V104" s="1713" t="n"/>
      <c r="W104" s="1866">
        <f t="array" ref="W104">W101/W97</f>
        <v/>
      </c>
      <c r="X104" s="1713" t="n"/>
      <c r="Y104" s="1713" t="n"/>
      <c r="Z104" s="1713" t="n"/>
      <c r="AA104" s="1713" t="n"/>
      <c r="AB104" s="1866">
        <f t="array" ref="AB104">AB101/AB97</f>
        <v/>
      </c>
      <c r="AC104" s="1751" t="n"/>
      <c r="AD104" s="1751" t="n"/>
      <c r="AE104" s="1751" t="n"/>
      <c r="AF104" s="1751" t="n"/>
      <c r="AG104" s="1866">
        <f t="array" ref="AG104">AG101/AG97</f>
        <v/>
      </c>
      <c r="AH104" s="1751" t="n"/>
      <c r="AI104" s="1751" t="n"/>
      <c r="AJ104" s="1751" t="n"/>
      <c r="AK104" s="1751" t="n"/>
      <c r="AL104" s="1866">
        <f t="array" ref="AL104">AL101/AL97</f>
        <v/>
      </c>
      <c r="AM104" s="1751" t="n"/>
      <c r="AN104" s="1751" t="n"/>
      <c r="AO104" s="1751" t="n"/>
      <c r="AP104" s="1751" t="n"/>
      <c r="AQ104" s="1866">
        <f t="array" ref="AQ104">AQ101/AQ97</f>
        <v/>
      </c>
      <c r="AR104" s="1751" t="n"/>
      <c r="AS104" s="1751" t="n"/>
      <c r="AT104" s="1751" t="n"/>
      <c r="AU104" s="1751" t="n"/>
      <c r="AV104" s="1866">
        <f t="array" ref="AV104">AV101/AV97</f>
        <v/>
      </c>
      <c r="AW104" s="1749" t="n"/>
      <c r="AX104" s="1750" t="n"/>
      <c r="AY104" s="1750" t="n"/>
      <c r="AZ104" s="1750" t="n"/>
      <c r="BA104" s="1869">
        <f t="array" ref="BA104">BA101/BA97</f>
        <v/>
      </c>
      <c r="BB104" s="1749" t="n"/>
      <c r="BC104" s="1750" t="n"/>
      <c r="BD104" s="1750" t="n"/>
      <c r="BE104" s="1750" t="n"/>
      <c r="BF104" s="1869">
        <f t="array" ref="BF104">BF101/BF97</f>
        <v/>
      </c>
      <c r="BG104" s="1751" t="n"/>
      <c r="BH104" s="1751" t="n"/>
      <c r="BI104" s="1751" t="n"/>
      <c r="BJ104" s="1751" t="n"/>
      <c r="BK104" s="1866">
        <f t="array" ref="BK104">BK101/BK97</f>
        <v/>
      </c>
      <c r="BL104" s="1860" t="n"/>
      <c r="BM104" s="1860" t="n"/>
      <c r="BN104" s="1860" t="n"/>
      <c r="BO104" s="1860" t="n"/>
      <c r="BP104" s="1866">
        <f t="array" ref="BP104">BP101/BP97</f>
        <v/>
      </c>
      <c r="BQ104" s="1860" t="n"/>
      <c r="BR104" s="1860" t="n"/>
      <c r="BS104" s="1860" t="n"/>
      <c r="BT104" s="1860" t="n"/>
      <c r="BU104" s="1866">
        <f t="array" ref="BU104">BU101/BU97</f>
        <v/>
      </c>
      <c r="BV104" s="1860" t="n"/>
      <c r="BW104" s="1860" t="n"/>
      <c r="BX104" s="1860" t="n"/>
      <c r="BY104" s="1860" t="n"/>
      <c r="BZ104" s="1866">
        <f t="array" ref="BZ104">BZ101/BZ97</f>
        <v/>
      </c>
      <c r="CA104" s="238" t="inlineStr">
        <is>
          <t>Text_86</t>
        </is>
      </c>
      <c r="CB104" s="456" t="n"/>
      <c r="CC104" s="701" t="n"/>
      <c r="CD104" s="701" t="n"/>
      <c r="CE104" s="701" t="n"/>
      <c r="CF104" s="701" t="n"/>
      <c r="CG104" s="701" t="n"/>
      <c r="CH104" s="701" t="n"/>
      <c r="CI104" s="701" t="n"/>
      <c r="CJ104" s="701" t="n"/>
      <c r="CK104" s="701" t="n"/>
      <c r="CL104" s="701" t="n"/>
      <c r="CM104" s="701" t="n"/>
      <c r="CN104" s="701" t="n"/>
      <c r="CO104" s="701" t="n"/>
      <c r="CP104" s="701" t="n"/>
      <c r="CQ104" s="701" t="n"/>
      <c r="CR104" s="701" t="n"/>
      <c r="CS104" s="701" t="n"/>
      <c r="CT104" s="701" t="n"/>
      <c r="CU104" s="701" t="n"/>
      <c r="CV104" s="701" t="n"/>
      <c r="CW104" s="30" t="n"/>
    </row>
    <row r="105" ht="13.15" customHeight="1" s="1676">
      <c r="A105" s="31" t="n"/>
      <c r="B105" s="183" t="inlineStr">
        <is>
          <t>Text_87</t>
        </is>
      </c>
      <c r="C105" s="699" t="n"/>
      <c r="D105" s="1782" t="n"/>
      <c r="E105" s="1782" t="n"/>
      <c r="F105" s="1782" t="n"/>
      <c r="G105" s="1782" t="n"/>
      <c r="H105" s="1751" t="n"/>
      <c r="I105" s="1861" t="n"/>
      <c r="J105" s="1861" t="n"/>
      <c r="K105" s="1861" t="n"/>
      <c r="L105" s="1714" t="n"/>
      <c r="M105" s="1751" t="n"/>
      <c r="N105" s="1861" t="n"/>
      <c r="O105" s="1861" t="n"/>
      <c r="P105" s="1861" t="n"/>
      <c r="Q105" s="1714" t="n"/>
      <c r="R105" s="1751" t="n"/>
      <c r="S105" s="1853" t="n"/>
      <c r="T105" s="1853" t="n"/>
      <c r="U105" s="1853" t="n"/>
      <c r="V105" s="1853" t="n"/>
      <c r="W105" s="1751" t="n"/>
      <c r="X105" s="1853" t="n"/>
      <c r="Y105" s="1853" t="n"/>
      <c r="Z105" s="1853" t="n"/>
      <c r="AA105" s="1853" t="n"/>
      <c r="AB105" s="1751" t="n"/>
      <c r="AC105" s="1751" t="n"/>
      <c r="AD105" s="1751" t="n"/>
      <c r="AE105" s="1751" t="n"/>
      <c r="AF105" s="1751" t="n"/>
      <c r="AG105" s="1861" t="n">
        <v>71676.3659710315</v>
      </c>
      <c r="AH105" s="1861" t="n"/>
      <c r="AI105" s="1861" t="n"/>
      <c r="AJ105" s="1861" t="n"/>
      <c r="AK105" s="1714" t="n"/>
      <c r="AL105" s="1861" t="n">
        <v>89638.6537858769</v>
      </c>
      <c r="AM105" s="1861" t="n"/>
      <c r="AN105" s="1861" t="n"/>
      <c r="AO105" s="1861" t="n"/>
      <c r="AP105" s="1714" t="n"/>
      <c r="AQ105" s="1861" t="n">
        <v>85014.6180859678</v>
      </c>
      <c r="AR105" s="1861" t="n"/>
      <c r="AS105" s="1861" t="n"/>
      <c r="AT105" s="1861" t="n"/>
      <c r="AU105" s="1714" t="n"/>
      <c r="AV105" s="1861">
        <f t="array" ref="AV105">90500</f>
        <v/>
      </c>
      <c r="AW105" s="1749" t="n"/>
      <c r="AX105" s="1750" t="n"/>
      <c r="AY105" s="1750" t="n"/>
      <c r="AZ105" s="1750" t="n"/>
      <c r="BA105" s="1877" t="n">
        <v>76504.88200338271</v>
      </c>
      <c r="BB105" s="1749" t="n"/>
      <c r="BC105" s="1750" t="n"/>
      <c r="BD105" s="1750" t="n"/>
      <c r="BE105" s="1750" t="n"/>
      <c r="BF105" s="1858" t="n"/>
      <c r="BG105" s="1751" t="n"/>
      <c r="BH105" s="1751" t="n"/>
      <c r="BI105" s="1751" t="n"/>
      <c r="BJ105" s="1751" t="n"/>
      <c r="BK105" s="1859" t="n"/>
      <c r="BL105" s="1751" t="n"/>
      <c r="BM105" s="1751" t="n"/>
      <c r="BN105" s="1751" t="n"/>
      <c r="BO105" s="1751" t="n"/>
      <c r="BP105" s="1859" t="n"/>
      <c r="BQ105" s="1751" t="n"/>
      <c r="BR105" s="1751" t="n"/>
      <c r="BS105" s="1751" t="n"/>
      <c r="BT105" s="1751" t="n"/>
      <c r="BU105" s="1859" t="n"/>
      <c r="BV105" s="1751" t="n"/>
      <c r="BW105" s="1751" t="n"/>
      <c r="BX105" s="1751" t="n"/>
      <c r="BY105" s="1751" t="n"/>
      <c r="BZ105" s="1859" t="n"/>
      <c r="CA105" s="340" t="inlineStr">
        <is>
          <t>Text_88</t>
        </is>
      </c>
      <c r="CB105" s="456" t="n"/>
      <c r="CC105" s="701" t="n"/>
      <c r="CD105" s="701" t="n"/>
      <c r="CE105" s="701" t="n"/>
      <c r="CF105" s="701" t="n"/>
      <c r="CG105" s="701" t="n"/>
      <c r="CH105" s="701" t="n"/>
      <c r="CI105" s="701" t="n"/>
      <c r="CJ105" s="701" t="n"/>
      <c r="CK105" s="701" t="n"/>
      <c r="CL105" s="701" t="n"/>
      <c r="CM105" s="701" t="n"/>
      <c r="CN105" s="701" t="n"/>
      <c r="CO105" s="701" t="n"/>
      <c r="CP105" s="701" t="n"/>
      <c r="CQ105" s="701" t="n"/>
      <c r="CR105" s="701" t="n"/>
      <c r="CS105" s="701" t="n"/>
      <c r="CT105" s="701" t="n"/>
      <c r="CU105" s="701" t="n"/>
      <c r="CV105" s="701" t="n"/>
      <c r="CW105" s="30" t="n"/>
    </row>
    <row r="106" ht="13.15" customHeight="1" s="1676">
      <c r="A106" s="31" t="n"/>
      <c r="B106" s="103" t="inlineStr">
        <is>
          <t>Text_24</t>
        </is>
      </c>
      <c r="C106" s="699" t="n"/>
      <c r="D106" s="1782" t="n"/>
      <c r="E106" s="1782" t="n"/>
      <c r="F106" s="1782" t="n"/>
      <c r="G106" s="1782" t="n"/>
      <c r="H106" s="1751" t="n"/>
      <c r="I106" s="1751" t="n"/>
      <c r="J106" s="1751" t="n"/>
      <c r="K106" s="1751" t="n"/>
      <c r="L106" s="1751" t="n"/>
      <c r="M106" s="1751">
        <f t="array" ref="M106">M105/H105-1</f>
        <v/>
      </c>
      <c r="N106" s="1751" t="n"/>
      <c r="O106" s="1751" t="n"/>
      <c r="P106" s="1751" t="n"/>
      <c r="Q106" s="1751" t="n"/>
      <c r="R106" s="1751">
        <f t="array" ref="R106">R105/M105-1</f>
        <v/>
      </c>
      <c r="S106" s="1853" t="n"/>
      <c r="T106" s="1853" t="n"/>
      <c r="U106" s="1853" t="n"/>
      <c r="V106" s="1853" t="n"/>
      <c r="W106" s="1751">
        <f t="array" ref="W106">W105/R105-1</f>
        <v/>
      </c>
      <c r="X106" s="1853" t="n"/>
      <c r="Y106" s="1853" t="n"/>
      <c r="Z106" s="1853" t="n"/>
      <c r="AA106" s="1853" t="n"/>
      <c r="AB106" s="1751">
        <f t="array" ref="AB106">AB105/W105-1</f>
        <v/>
      </c>
      <c r="AC106" s="1751" t="n"/>
      <c r="AD106" s="1751" t="n"/>
      <c r="AE106" s="1751" t="n"/>
      <c r="AF106" s="1751" t="n"/>
      <c r="AG106" s="1751">
        <f t="array" ref="AG106">AG105/AB105-1</f>
        <v/>
      </c>
      <c r="AH106" s="1751" t="n"/>
      <c r="AI106" s="1751" t="n"/>
      <c r="AJ106" s="1751" t="n"/>
      <c r="AK106" s="1751" t="n"/>
      <c r="AL106" s="1751">
        <f t="array" ref="AL106">AL105/AG105-1</f>
        <v/>
      </c>
      <c r="AM106" s="1751" t="n"/>
      <c r="AN106" s="1751" t="n"/>
      <c r="AO106" s="1751" t="n"/>
      <c r="AP106" s="1751" t="n"/>
      <c r="AQ106" s="1751">
        <f t="array" ref="AQ106">AQ105/AL105-1</f>
        <v/>
      </c>
      <c r="AR106" s="1751" t="n"/>
      <c r="AS106" s="1751" t="n"/>
      <c r="AT106" s="1751" t="n"/>
      <c r="AU106" s="1751" t="n"/>
      <c r="AV106" s="1751">
        <f t="array" ref="AV106">AV105/AQ105-1</f>
        <v/>
      </c>
      <c r="AW106" s="1749" t="n"/>
      <c r="AX106" s="1750" t="n"/>
      <c r="AY106" s="1750" t="n"/>
      <c r="AZ106" s="1750" t="n"/>
      <c r="BA106" s="1784">
        <f t="array" ref="BA106">BA105/AV105-1</f>
        <v/>
      </c>
      <c r="BB106" s="1749" t="n"/>
      <c r="BC106" s="1750" t="n"/>
      <c r="BD106" s="1750" t="n"/>
      <c r="BE106" s="1750" t="n"/>
      <c r="BF106" s="1784" t="n"/>
      <c r="BG106" s="1751" t="n"/>
      <c r="BH106" s="1751" t="n"/>
      <c r="BI106" s="1751" t="n"/>
      <c r="BJ106" s="1751" t="n"/>
      <c r="BK106" s="1751" t="n"/>
      <c r="BL106" s="1751" t="n"/>
      <c r="BM106" s="1751" t="n"/>
      <c r="BN106" s="1751" t="n"/>
      <c r="BO106" s="1751" t="n"/>
      <c r="BP106" s="1751" t="n"/>
      <c r="BQ106" s="1751" t="n"/>
      <c r="BR106" s="1751" t="n"/>
      <c r="BS106" s="1751" t="n"/>
      <c r="BT106" s="1751" t="n"/>
      <c r="BU106" s="1751" t="n"/>
      <c r="BV106" s="1751" t="n"/>
      <c r="BW106" s="1751" t="n"/>
      <c r="BX106" s="1751" t="n"/>
      <c r="BY106" s="1751" t="n"/>
      <c r="BZ106" s="1751" t="n"/>
      <c r="CA106" s="1686" t="n"/>
      <c r="CB106" s="319" t="n"/>
      <c r="CC106" s="701" t="n"/>
      <c r="CD106" s="701" t="n"/>
      <c r="CE106" s="701" t="n"/>
      <c r="CF106" s="701" t="n"/>
      <c r="CG106" s="701" t="n"/>
      <c r="CH106" s="701" t="n"/>
      <c r="CI106" s="701" t="n"/>
      <c r="CJ106" s="701" t="n"/>
      <c r="CK106" s="701" t="n"/>
      <c r="CL106" s="701" t="n"/>
      <c r="CM106" s="701" t="n"/>
      <c r="CN106" s="701" t="n"/>
      <c r="CO106" s="701" t="n"/>
      <c r="CP106" s="701" t="n"/>
      <c r="CQ106" s="701" t="n"/>
      <c r="CR106" s="701" t="n"/>
      <c r="CS106" s="701" t="n"/>
      <c r="CT106" s="701" t="n"/>
      <c r="CU106" s="701" t="n"/>
      <c r="CV106" s="701" t="n"/>
      <c r="CW106" s="30" t="n"/>
    </row>
    <row r="107" ht="12.75" customHeight="1" s="1676">
      <c r="A107" s="31" t="n"/>
      <c r="B107" s="183" t="inlineStr">
        <is>
          <t>Text_89</t>
        </is>
      </c>
      <c r="C107" s="341" t="n"/>
      <c r="D107" s="1782" t="n"/>
      <c r="E107" s="1782" t="n"/>
      <c r="F107" s="1782" t="n"/>
      <c r="G107" s="1782" t="n"/>
      <c r="H107" s="1720" t="n"/>
      <c r="I107" s="1861" t="n"/>
      <c r="J107" s="1861" t="n"/>
      <c r="K107" s="1861" t="n"/>
      <c r="L107" s="1878" t="n"/>
      <c r="M107" s="1720" t="n"/>
      <c r="N107" s="1861" t="n"/>
      <c r="O107" s="1861" t="n"/>
      <c r="P107" s="1861" t="n"/>
      <c r="Q107" s="1878" t="n"/>
      <c r="R107" s="1720" t="n"/>
      <c r="S107" s="1853" t="n"/>
      <c r="T107" s="1853" t="n"/>
      <c r="U107" s="1853" t="n"/>
      <c r="V107" s="1853" t="n"/>
      <c r="W107" s="1720" t="n"/>
      <c r="X107" s="1853" t="n"/>
      <c r="Y107" s="1853" t="n"/>
      <c r="Z107" s="1853" t="n"/>
      <c r="AA107" s="1853" t="n"/>
      <c r="AB107" s="1720" t="n"/>
      <c r="AC107" s="1720" t="n"/>
      <c r="AD107" s="1720" t="n"/>
      <c r="AE107" s="1720" t="n"/>
      <c r="AF107" s="1720" t="n"/>
      <c r="AG107" s="1861" t="n"/>
      <c r="AH107" s="1861" t="n"/>
      <c r="AI107" s="1861" t="n"/>
      <c r="AJ107" s="1861" t="n"/>
      <c r="AK107" s="1878" t="n"/>
      <c r="AL107" s="1861" t="n">
        <v>9014.299851032059</v>
      </c>
      <c r="AM107" s="1861" t="n"/>
      <c r="AN107" s="1861" t="n"/>
      <c r="AO107" s="1861" t="n"/>
      <c r="AP107" s="1878" t="n"/>
      <c r="AQ107" s="1861" t="n">
        <v>12165.0054400219</v>
      </c>
      <c r="AR107" s="1861" t="n"/>
      <c r="AS107" s="1861" t="n"/>
      <c r="AT107" s="1861" t="n"/>
      <c r="AU107" s="1878" t="n"/>
      <c r="AV107" s="1861" t="n">
        <v>10145.7966510603</v>
      </c>
      <c r="AW107" s="1879" t="n"/>
      <c r="AX107" s="1850" t="n"/>
      <c r="AY107" s="1850" t="n"/>
      <c r="AZ107" s="1850" t="n"/>
      <c r="BA107" s="1865" t="n">
        <v>10126.742609167</v>
      </c>
      <c r="BB107" s="1863" t="n"/>
      <c r="BC107" s="1864" t="n"/>
      <c r="BD107" s="1864" t="n"/>
      <c r="BE107" s="1880" t="n"/>
      <c r="BF107" s="1881">
        <f t="array" ref="BF107">BF109*BF101</f>
        <v/>
      </c>
      <c r="BG107" s="1714" t="n"/>
      <c r="BH107" s="1714" t="n"/>
      <c r="BI107" s="1714" t="n"/>
      <c r="BJ107" s="1714" t="n"/>
      <c r="BK107" s="1882">
        <f t="array" ref="BK107">BK109*BK101</f>
        <v/>
      </c>
      <c r="BL107" s="1847" t="n"/>
      <c r="BM107" s="1847" t="n"/>
      <c r="BN107" s="1847" t="n"/>
      <c r="BO107" s="1883" t="n"/>
      <c r="BP107" s="1882">
        <f t="array" ref="BP107">BP109*BP101</f>
        <v/>
      </c>
      <c r="BQ107" s="1847" t="n"/>
      <c r="BR107" s="1847" t="n"/>
      <c r="BS107" s="1847" t="n"/>
      <c r="BT107" s="1883" t="n"/>
      <c r="BU107" s="1882">
        <f t="array" ref="BU107">BU109*BU101</f>
        <v/>
      </c>
      <c r="BV107" s="1847" t="n"/>
      <c r="BW107" s="1847" t="n"/>
      <c r="BX107" s="1847" t="n"/>
      <c r="BY107" s="1883" t="n"/>
      <c r="BZ107" s="1882">
        <f t="array" ref="BZ107">BZ109*BZ101</f>
        <v/>
      </c>
      <c r="CA107" s="1686" t="n"/>
      <c r="CB107" s="1851">
        <f t="array" ref="CB107">(BP107/AL107)^(1/6)-1</f>
        <v/>
      </c>
      <c r="CC107" s="1852">
        <f t="array" ref="CC107">(BU107/AL107)^(1/7)-1</f>
        <v/>
      </c>
      <c r="CD107" s="701" t="n"/>
      <c r="CE107" s="701" t="n"/>
      <c r="CF107" s="701" t="n"/>
      <c r="CG107" s="701" t="n"/>
      <c r="CH107" s="701" t="n"/>
      <c r="CI107" s="701" t="n"/>
      <c r="CJ107" s="701" t="n"/>
      <c r="CK107" s="701" t="n"/>
      <c r="CL107" s="701" t="n"/>
      <c r="CM107" s="701" t="n"/>
      <c r="CN107" s="701" t="n"/>
      <c r="CO107" s="701" t="n"/>
      <c r="CP107" s="701" t="n"/>
      <c r="CQ107" s="701" t="n"/>
      <c r="CR107" s="701" t="n"/>
      <c r="CS107" s="701" t="n"/>
      <c r="CT107" s="701" t="n"/>
      <c r="CU107" s="701" t="n"/>
      <c r="CV107" s="701" t="n"/>
      <c r="CW107" s="30" t="n"/>
    </row>
    <row r="108" ht="13.15" customHeight="1" s="1676">
      <c r="A108" s="31" t="n"/>
      <c r="B108" s="103" t="inlineStr">
        <is>
          <t>Text_24</t>
        </is>
      </c>
      <c r="C108" s="699" t="n"/>
      <c r="D108" s="1782" t="n"/>
      <c r="E108" s="1782" t="n"/>
      <c r="F108" s="1782" t="n"/>
      <c r="G108" s="1782" t="n"/>
      <c r="H108" s="1751" t="n"/>
      <c r="I108" s="1861" t="n"/>
      <c r="J108" s="1861" t="n"/>
      <c r="K108" s="1861" t="n"/>
      <c r="L108" s="1714" t="n"/>
      <c r="M108" s="1751" t="n"/>
      <c r="N108" s="1861" t="n"/>
      <c r="O108" s="1861" t="n"/>
      <c r="P108" s="1861" t="n"/>
      <c r="Q108" s="1714" t="n"/>
      <c r="R108" s="1751" t="n"/>
      <c r="S108" s="1853" t="n"/>
      <c r="T108" s="1853" t="n"/>
      <c r="U108" s="1853" t="n"/>
      <c r="V108" s="1853" t="n"/>
      <c r="W108" s="1751" t="n"/>
      <c r="X108" s="1853" t="n"/>
      <c r="Y108" s="1853" t="n"/>
      <c r="Z108" s="1853" t="n"/>
      <c r="AA108" s="1853" t="n"/>
      <c r="AB108" s="1751" t="n"/>
      <c r="AC108" s="1751" t="n"/>
      <c r="AD108" s="1751" t="n"/>
      <c r="AE108" s="1751" t="n"/>
      <c r="AF108" s="1751" t="n"/>
      <c r="AG108" s="1861" t="n"/>
      <c r="AH108" s="1861" t="n"/>
      <c r="AI108" s="1861" t="n"/>
      <c r="AJ108" s="1861" t="n"/>
      <c r="AK108" s="1714" t="n"/>
      <c r="AL108" s="1861" t="n"/>
      <c r="AM108" s="1861" t="n"/>
      <c r="AN108" s="1861" t="n"/>
      <c r="AO108" s="1861" t="n"/>
      <c r="AP108" s="1714" t="n"/>
      <c r="AQ108" s="1751">
        <f t="array" ref="AQ108">AQ107/AL107-1</f>
        <v/>
      </c>
      <c r="AR108" s="1861" t="n"/>
      <c r="AS108" s="1861" t="n"/>
      <c r="AT108" s="1861" t="n"/>
      <c r="AU108" s="1714" t="n"/>
      <c r="AV108" s="1751">
        <f t="array" ref="AV108">AV107/AQ107-1</f>
        <v/>
      </c>
      <c r="AW108" s="1749" t="n"/>
      <c r="AX108" s="1750" t="n"/>
      <c r="AY108" s="1750" t="n"/>
      <c r="AZ108" s="1750" t="n"/>
      <c r="BA108" s="1784">
        <f t="array" ref="BA108">BA107/AV107-1</f>
        <v/>
      </c>
      <c r="BB108" s="1749" t="n"/>
      <c r="BC108" s="1750" t="n"/>
      <c r="BD108" s="1750" t="n"/>
      <c r="BE108" s="1750" t="n"/>
      <c r="BF108" s="1875">
        <f t="array" ref="BF108">BF107/BA107-1</f>
        <v/>
      </c>
      <c r="BG108" s="1751" t="n"/>
      <c r="BH108" s="1751" t="n"/>
      <c r="BI108" s="1751" t="n"/>
      <c r="BJ108" s="1751" t="n"/>
      <c r="BK108" s="1876">
        <f t="array" ref="BK108">BK107/BF107-1</f>
        <v/>
      </c>
      <c r="BL108" s="1876" t="n"/>
      <c r="BM108" s="1876" t="n"/>
      <c r="BN108" s="1876" t="n"/>
      <c r="BO108" s="1876" t="n"/>
      <c r="BP108" s="1876">
        <f t="array" ref="BP108">BP107/BK107-1</f>
        <v/>
      </c>
      <c r="BQ108" s="1876" t="n"/>
      <c r="BR108" s="1876" t="n"/>
      <c r="BS108" s="1876" t="n"/>
      <c r="BT108" s="1876" t="n"/>
      <c r="BU108" s="1876">
        <f t="array" ref="BU108">BU107/BP107-1</f>
        <v/>
      </c>
      <c r="BV108" s="1876" t="n"/>
      <c r="BW108" s="1876" t="n"/>
      <c r="BX108" s="1876" t="n"/>
      <c r="BY108" s="1876" t="n"/>
      <c r="BZ108" s="1876">
        <f t="array" ref="BZ108">BZ107/BU107-1</f>
        <v/>
      </c>
      <c r="CA108" s="1686" t="n"/>
      <c r="CB108" s="314" t="inlineStr">
        <is>
          <t>Text_90</t>
        </is>
      </c>
      <c r="CC108" s="701" t="n"/>
      <c r="CD108" s="701" t="n"/>
      <c r="CE108" s="701" t="n"/>
      <c r="CF108" s="701" t="n"/>
      <c r="CG108" s="701" t="n"/>
      <c r="CH108" s="701" t="n"/>
      <c r="CI108" s="701" t="n"/>
      <c r="CJ108" s="701" t="n"/>
      <c r="CK108" s="701" t="n"/>
      <c r="CL108" s="701" t="n"/>
      <c r="CM108" s="701" t="n"/>
      <c r="CN108" s="701" t="n"/>
      <c r="CO108" s="701" t="n"/>
      <c r="CP108" s="701" t="n"/>
      <c r="CQ108" s="701" t="n"/>
      <c r="CR108" s="701" t="n"/>
      <c r="CS108" s="701" t="n"/>
      <c r="CT108" s="701" t="n"/>
      <c r="CU108" s="701" t="n"/>
      <c r="CV108" s="701" t="n"/>
      <c r="CW108" s="30" t="n"/>
    </row>
    <row r="109" ht="13.15" customHeight="1" s="1676">
      <c r="A109" s="31" t="n"/>
      <c r="B109" s="167" t="inlineStr">
        <is>
          <t>Text_91</t>
        </is>
      </c>
      <c r="C109" s="699" t="n"/>
      <c r="D109" s="1884" t="n"/>
      <c r="E109" s="1884" t="n"/>
      <c r="F109" s="1884" t="n"/>
      <c r="G109" s="1884" t="n"/>
      <c r="H109" s="1751" t="n"/>
      <c r="I109" s="1885" t="n"/>
      <c r="J109" s="1885" t="n"/>
      <c r="K109" s="1885" t="n"/>
      <c r="L109" s="1714" t="n"/>
      <c r="M109" s="1751" t="n"/>
      <c r="N109" s="1885" t="n"/>
      <c r="O109" s="1885" t="n"/>
      <c r="P109" s="1885" t="n"/>
      <c r="Q109" s="1714" t="n"/>
      <c r="R109" s="1751" t="n"/>
      <c r="S109" s="1886" t="n"/>
      <c r="T109" s="1886" t="n"/>
      <c r="U109" s="1886" t="n"/>
      <c r="V109" s="1886" t="n"/>
      <c r="W109" s="1751" t="n"/>
      <c r="X109" s="1886" t="n"/>
      <c r="Y109" s="1886" t="n"/>
      <c r="Z109" s="1886" t="n"/>
      <c r="AA109" s="1886" t="n"/>
      <c r="AB109" s="1751" t="n"/>
      <c r="AC109" s="1751" t="n"/>
      <c r="AD109" s="1751" t="n"/>
      <c r="AE109" s="1751" t="n"/>
      <c r="AF109" s="1751" t="n"/>
      <c r="AG109" s="1885" t="n"/>
      <c r="AH109" s="1885" t="n"/>
      <c r="AI109" s="1885" t="n"/>
      <c r="AJ109" s="1885" t="n"/>
      <c r="AK109" s="1714" t="n"/>
      <c r="AL109" s="1751">
        <f t="array" ref="AL109">AL107/AL101</f>
        <v/>
      </c>
      <c r="AM109" s="1885" t="n"/>
      <c r="AN109" s="1885" t="n"/>
      <c r="AO109" s="1885" t="n"/>
      <c r="AP109" s="1714" t="n"/>
      <c r="AQ109" s="1751">
        <f t="array" ref="AQ109">AQ107/AQ101</f>
        <v/>
      </c>
      <c r="AR109" s="1885" t="n"/>
      <c r="AS109" s="1885" t="n"/>
      <c r="AT109" s="1885" t="n"/>
      <c r="AU109" s="1714" t="n"/>
      <c r="AV109" s="1751">
        <f t="array" ref="AV109">AV107/AV101</f>
        <v/>
      </c>
      <c r="AW109" s="1749" t="n"/>
      <c r="AX109" s="1750" t="n"/>
      <c r="AY109" s="1750" t="n"/>
      <c r="AZ109" s="1750" t="n"/>
      <c r="BA109" s="1784">
        <f t="array" ref="BA109">BA107/BA101</f>
        <v/>
      </c>
      <c r="BB109" s="1749" t="n"/>
      <c r="BC109" s="1750" t="n"/>
      <c r="BD109" s="1750" t="n"/>
      <c r="BE109" s="1750" t="n"/>
      <c r="BF109" s="1855">
        <f t="array" ref="BF109">BA109+0.25%</f>
        <v/>
      </c>
      <c r="BG109" s="1751" t="n"/>
      <c r="BH109" s="1751" t="n"/>
      <c r="BI109" s="1751" t="n"/>
      <c r="BJ109" s="1751" t="n"/>
      <c r="BK109" s="1856">
        <f t="array" ref="BK109">BF109+0.25%</f>
        <v/>
      </c>
      <c r="BL109" s="1860" t="n"/>
      <c r="BM109" s="1860" t="n"/>
      <c r="BN109" s="1860" t="n"/>
      <c r="BO109" s="1860" t="n"/>
      <c r="BP109" s="1856">
        <f t="array" ref="BP109">BK109+0.25%</f>
        <v/>
      </c>
      <c r="BQ109" s="1860" t="n"/>
      <c r="BR109" s="1860" t="n"/>
      <c r="BS109" s="1860" t="n"/>
      <c r="BT109" s="1860" t="n"/>
      <c r="BU109" s="1856">
        <f t="array" ref="BU109">BP109+0.25%</f>
        <v/>
      </c>
      <c r="BV109" s="1860" t="n"/>
      <c r="BW109" s="1860" t="n"/>
      <c r="BX109" s="1860" t="n"/>
      <c r="BY109" s="1860" t="n"/>
      <c r="BZ109" s="1856">
        <f t="array" ref="BZ109">BU109+0.25%</f>
        <v/>
      </c>
      <c r="CA109" s="1686" t="n"/>
      <c r="CB109" s="314" t="inlineStr">
        <is>
          <t>Text_92</t>
        </is>
      </c>
      <c r="CC109" s="701" t="n"/>
      <c r="CD109" s="701" t="n"/>
      <c r="CE109" s="701" t="n"/>
      <c r="CF109" s="701" t="n"/>
      <c r="CG109" s="701" t="n"/>
      <c r="CH109" s="701" t="n"/>
      <c r="CI109" s="701" t="n"/>
      <c r="CJ109" s="701" t="n"/>
      <c r="CK109" s="701" t="n"/>
      <c r="CL109" s="701" t="n"/>
      <c r="CM109" s="701" t="n"/>
      <c r="CN109" s="701" t="n"/>
      <c r="CO109" s="701" t="n"/>
      <c r="CP109" s="701" t="n"/>
      <c r="CQ109" s="701" t="n"/>
      <c r="CR109" s="701" t="n"/>
      <c r="CS109" s="701" t="n"/>
      <c r="CT109" s="701" t="n"/>
      <c r="CU109" s="701" t="n"/>
      <c r="CV109" s="701" t="n"/>
      <c r="CW109" s="30" t="n"/>
    </row>
    <row r="110" ht="13.15" customHeight="1" s="1676">
      <c r="A110" s="31" t="n"/>
      <c r="B110" s="351" t="n"/>
      <c r="C110" s="699" t="n"/>
      <c r="D110" s="1782" t="n"/>
      <c r="E110" s="1782" t="n"/>
      <c r="F110" s="1782" t="n"/>
      <c r="G110" s="1782" t="n"/>
      <c r="H110" s="1751" t="n"/>
      <c r="I110" s="1861" t="n"/>
      <c r="J110" s="1861" t="n"/>
      <c r="K110" s="1861" t="n"/>
      <c r="L110" s="1714" t="n"/>
      <c r="M110" s="1751" t="n"/>
      <c r="N110" s="1861" t="n"/>
      <c r="O110" s="1861" t="n"/>
      <c r="P110" s="1861" t="n"/>
      <c r="Q110" s="1714" t="n"/>
      <c r="R110" s="1751" t="n"/>
      <c r="S110" s="1853" t="n"/>
      <c r="T110" s="1853" t="n"/>
      <c r="U110" s="1853" t="n"/>
      <c r="V110" s="1853" t="n"/>
      <c r="W110" s="1751" t="n"/>
      <c r="X110" s="1853" t="n"/>
      <c r="Y110" s="1853" t="n"/>
      <c r="Z110" s="1853" t="n"/>
      <c r="AA110" s="1853" t="n"/>
      <c r="AB110" s="1751" t="n"/>
      <c r="AC110" s="1751" t="n"/>
      <c r="AD110" s="1751" t="n"/>
      <c r="AE110" s="1751" t="n"/>
      <c r="AF110" s="1751" t="n"/>
      <c r="AG110" s="1861" t="n"/>
      <c r="AH110" s="1861" t="n"/>
      <c r="AI110" s="1861" t="n"/>
      <c r="AJ110" s="1861" t="n"/>
      <c r="AK110" s="1714" t="n"/>
      <c r="AL110" s="1861" t="n"/>
      <c r="AM110" s="1861" t="n"/>
      <c r="AN110" s="1861" t="n"/>
      <c r="AO110" s="1861" t="n"/>
      <c r="AP110" s="1714" t="n"/>
      <c r="AQ110" s="1751" t="n"/>
      <c r="AR110" s="1861" t="n"/>
      <c r="AS110" s="1861" t="n"/>
      <c r="AT110" s="1861" t="n"/>
      <c r="AU110" s="1714" t="n"/>
      <c r="AV110" s="1751" t="n"/>
      <c r="AW110" s="1749" t="n"/>
      <c r="AX110" s="1750" t="n"/>
      <c r="AY110" s="1750" t="n"/>
      <c r="AZ110" s="1750" t="n"/>
      <c r="BA110" s="1784" t="n"/>
      <c r="BB110" s="1749" t="n"/>
      <c r="BC110" s="1750" t="n"/>
      <c r="BD110" s="1750" t="n"/>
      <c r="BE110" s="1750" t="n"/>
      <c r="BF110" s="1784" t="n"/>
      <c r="BG110" s="1751" t="n"/>
      <c r="BH110" s="1751" t="n"/>
      <c r="BI110" s="1751" t="n"/>
      <c r="BJ110" s="1751" t="n"/>
      <c r="BK110" s="1751" t="n"/>
      <c r="BL110" s="1751" t="n"/>
      <c r="BM110" s="1751" t="n"/>
      <c r="BN110" s="1751" t="n"/>
      <c r="BO110" s="1751" t="n"/>
      <c r="BP110" s="1751" t="n"/>
      <c r="BQ110" s="1751" t="n"/>
      <c r="BR110" s="1751" t="n"/>
      <c r="BS110" s="1751" t="n"/>
      <c r="BT110" s="1751" t="n"/>
      <c r="BU110" s="1751" t="n"/>
      <c r="BV110" s="1751" t="n"/>
      <c r="BW110" s="1751" t="n"/>
      <c r="BX110" s="1751" t="n"/>
      <c r="BY110" s="1751" t="n"/>
      <c r="BZ110" s="1751" t="n"/>
      <c r="CA110" s="1686" t="n"/>
      <c r="CB110" s="456" t="n"/>
      <c r="CC110" s="701" t="n"/>
      <c r="CD110" s="701" t="n"/>
      <c r="CE110" s="701" t="n"/>
      <c r="CF110" s="701" t="n"/>
      <c r="CG110" s="701" t="n"/>
      <c r="CH110" s="701" t="n"/>
      <c r="CI110" s="701" t="n"/>
      <c r="CJ110" s="701" t="n"/>
      <c r="CK110" s="701" t="n"/>
      <c r="CL110" s="701" t="n"/>
      <c r="CM110" s="701" t="n"/>
      <c r="CN110" s="701" t="n"/>
      <c r="CO110" s="701" t="n"/>
      <c r="CP110" s="701" t="n"/>
      <c r="CQ110" s="701" t="n"/>
      <c r="CR110" s="701" t="n"/>
      <c r="CS110" s="701" t="n"/>
      <c r="CT110" s="701" t="n"/>
      <c r="CU110" s="701" t="n"/>
      <c r="CV110" s="701" t="n"/>
      <c r="CW110" s="30" t="n"/>
    </row>
    <row r="111" ht="12.75" customHeight="1" s="1676">
      <c r="A111" s="31" t="n"/>
      <c r="B111" s="156" t="inlineStr">
        <is>
          <t>Text_93</t>
        </is>
      </c>
      <c r="C111" s="699" t="n"/>
      <c r="D111" s="1713" t="n"/>
      <c r="E111" s="1713" t="n"/>
      <c r="F111" s="1713" t="n"/>
      <c r="G111" s="1713" t="n"/>
      <c r="H111" s="1714" t="n"/>
      <c r="I111" s="1744">
        <f t="array" ref="I111">K73</f>
        <v/>
      </c>
      <c r="J111" s="1744">
        <f t="array" ref="J111">L73</f>
        <v/>
      </c>
      <c r="K111" s="1744">
        <f t="array" ref="K111">N73</f>
        <v/>
      </c>
      <c r="L111" s="1744">
        <f t="array" ref="L111">O73</f>
        <v/>
      </c>
      <c r="M111" s="1744">
        <f t="array" ref="M111">L111+K111+J111+I111</f>
        <v/>
      </c>
      <c r="N111" s="1744">
        <f t="array" ref="N111">P73</f>
        <v/>
      </c>
      <c r="O111" s="1744">
        <f t="array" ref="O111">Q73</f>
        <v/>
      </c>
      <c r="P111" s="1744">
        <f t="array" ref="P111">S73</f>
        <v/>
      </c>
      <c r="Q111" s="1744">
        <f t="array" ref="Q111">T73</f>
        <v/>
      </c>
      <c r="R111" s="1744">
        <f t="array" ref="R111">Q111+P111+O111+N111</f>
        <v/>
      </c>
      <c r="S111" s="1744">
        <f t="array" ref="S111">U73</f>
        <v/>
      </c>
      <c r="T111" s="1744">
        <f t="array" ref="T111">V73</f>
        <v/>
      </c>
      <c r="U111" s="1744">
        <f t="array" ref="U111">X73</f>
        <v/>
      </c>
      <c r="V111" s="1744">
        <f t="array" ref="V111">Y73</f>
        <v/>
      </c>
      <c r="W111" s="1744">
        <f t="array" ref="W111">V111+U111+T111+S111</f>
        <v/>
      </c>
      <c r="X111" s="1744">
        <f t="array" ref="X111">Z73</f>
        <v/>
      </c>
      <c r="Y111" s="1744">
        <f t="array" ref="Y111">AA73</f>
        <v/>
      </c>
      <c r="Z111" s="1744">
        <f t="array" ref="Z111">AC73</f>
        <v/>
      </c>
      <c r="AA111" s="1744">
        <f t="array" ref="AA111">AD73</f>
        <v/>
      </c>
      <c r="AB111" s="1744">
        <f t="array" ref="AB111">AA111+Z111+Y111+X111</f>
        <v/>
      </c>
      <c r="AC111" s="1744">
        <f t="array" ref="AC111">AE73</f>
        <v/>
      </c>
      <c r="AD111" s="1744">
        <f t="array" ref="AD111">AF73</f>
        <v/>
      </c>
      <c r="AE111" s="1744">
        <f t="array" ref="AE111">AH73</f>
        <v/>
      </c>
      <c r="AF111" s="1744">
        <f t="array" ref="AF111">AI73</f>
        <v/>
      </c>
      <c r="AG111" s="1744">
        <f t="array" ref="AG111">AF111+AE111+AD111+AC111</f>
        <v/>
      </c>
      <c r="AH111" s="1744">
        <f t="array" ref="AH111">AJ73</f>
        <v/>
      </c>
      <c r="AI111" s="1744">
        <f t="array" ref="AI111">AK73</f>
        <v/>
      </c>
      <c r="AJ111" s="1744">
        <f t="array" ref="AJ111">AM73</f>
        <v/>
      </c>
      <c r="AK111" s="1744">
        <f t="array" ref="AK111">AN73</f>
        <v/>
      </c>
      <c r="AL111" s="1744">
        <f t="array" ref="AL111">AK111+AJ111+AI111+AH111</f>
        <v/>
      </c>
      <c r="AM111" s="1744">
        <f t="array" ref="AM111">AO73</f>
        <v/>
      </c>
      <c r="AN111" s="1744">
        <f t="array" ref="AN111">AP73</f>
        <v/>
      </c>
      <c r="AO111" s="1744">
        <f t="array" ref="AO111">AR73</f>
        <v/>
      </c>
      <c r="AP111" s="1744">
        <f t="array" ref="AP111">AS73</f>
        <v/>
      </c>
      <c r="AQ111" s="1744">
        <f t="array" ref="AQ111">AP111+AO111+AN111+AM111</f>
        <v/>
      </c>
      <c r="AR111" s="1744">
        <f t="array" ref="AR111">AT73</f>
        <v/>
      </c>
      <c r="AS111" s="1744">
        <f t="array" ref="AS111">AU73</f>
        <v/>
      </c>
      <c r="AT111" s="1744">
        <f t="array" ref="AT111">AW73</f>
        <v/>
      </c>
      <c r="AU111" s="1744">
        <f t="array" ref="AU111">AX73</f>
        <v/>
      </c>
      <c r="AV111" s="1744">
        <f t="array" ref="AV111">AU111+AT111+AS111+AR111</f>
        <v/>
      </c>
      <c r="AW111" s="1746">
        <f t="array" ref="AW111">AY73</f>
        <v/>
      </c>
      <c r="AX111" s="1747">
        <f t="array" ref="AX111">AZ73</f>
        <v/>
      </c>
      <c r="AY111" s="1747">
        <f t="array" ref="AY111">BB73</f>
        <v/>
      </c>
      <c r="AZ111" s="1747">
        <f t="array" ref="AZ111">BC73</f>
        <v/>
      </c>
      <c r="BA111" s="1887">
        <f t="array" ref="BA111">AZ111+AY111+AX111+AW111</f>
        <v/>
      </c>
      <c r="BB111" s="1746">
        <f t="array" ref="BB111">BD73</f>
        <v/>
      </c>
      <c r="BC111" s="1747">
        <f t="array" ref="BC111">BE73</f>
        <v/>
      </c>
      <c r="BD111" s="1747">
        <f t="array" ref="BD111">BG73</f>
        <v/>
      </c>
      <c r="BE111" s="1747">
        <f t="array" ref="BE111">BH73</f>
        <v/>
      </c>
      <c r="BF111" s="1887">
        <f t="array" ref="BF111">BE111+BD111+BC111+BB111</f>
        <v/>
      </c>
      <c r="BG111" s="1744">
        <f t="array" ref="BG111">BI73</f>
        <v/>
      </c>
      <c r="BH111" s="1744">
        <f t="array" ref="BH111">BJ73</f>
        <v/>
      </c>
      <c r="BI111" s="1744">
        <f t="array" ref="BI111">BL73</f>
        <v/>
      </c>
      <c r="BJ111" s="1744">
        <f t="array" ref="BJ111">BM73</f>
        <v/>
      </c>
      <c r="BK111" s="1744">
        <f t="array" ref="BK111">BJ111+BI111+BH111+BG111</f>
        <v/>
      </c>
      <c r="BL111" s="1744">
        <f t="array" ref="BL111">BN73</f>
        <v/>
      </c>
      <c r="BM111" s="1744">
        <f t="array" ref="BM111">BO73</f>
        <v/>
      </c>
      <c r="BN111" s="1744">
        <f t="array" ref="BN111">BQ73</f>
        <v/>
      </c>
      <c r="BO111" s="1744">
        <f t="array" ref="BO111">BR73</f>
        <v/>
      </c>
      <c r="BP111" s="1744">
        <f t="array" ref="BP111">BO111+BN111+BM111+BL111</f>
        <v/>
      </c>
      <c r="BQ111" s="1744">
        <f t="array" ref="BQ111">BS73</f>
        <v/>
      </c>
      <c r="BR111" s="1744">
        <f t="array" ref="BR111">BT73</f>
        <v/>
      </c>
      <c r="BS111" s="1744">
        <f t="array" ref="BS111">BV73</f>
        <v/>
      </c>
      <c r="BT111" s="1744">
        <f t="array" ref="BT111">BW73</f>
        <v/>
      </c>
      <c r="BU111" s="1888">
        <f t="array" ref="BU111">(BR111+BQ111)*2</f>
        <v/>
      </c>
      <c r="BV111" s="1744">
        <f t="array" ref="BV111">BX73</f>
        <v/>
      </c>
      <c r="BW111" s="1744">
        <f t="array" ref="BW111">BY73</f>
        <v/>
      </c>
      <c r="BX111" s="1744" t="n"/>
      <c r="BY111" s="1744" t="n"/>
      <c r="BZ111" s="1888">
        <f t="array" ref="BZ111">(BW111+BV111)*2</f>
        <v/>
      </c>
      <c r="CA111" s="110" t="inlineStr">
        <is>
          <t>Text_94</t>
        </is>
      </c>
      <c r="CB111" s="1851">
        <f t="array" ref="CB111">(BP111/AL111)^(1/6)-1</f>
        <v/>
      </c>
      <c r="CC111" s="1852">
        <f t="array" ref="CC111">(BZ111/AQ111)^(1/7)-1</f>
        <v/>
      </c>
      <c r="CD111" s="701" t="n"/>
      <c r="CE111" s="701" t="n"/>
      <c r="CF111" s="701" t="n"/>
      <c r="CG111" s="701" t="n"/>
      <c r="CH111" s="701" t="n"/>
      <c r="CI111" s="701" t="n"/>
      <c r="CJ111" s="701" t="n"/>
      <c r="CK111" s="701" t="n"/>
      <c r="CL111" s="701" t="n"/>
      <c r="CM111" s="701" t="n"/>
      <c r="CN111" s="701" t="n"/>
      <c r="CO111" s="701" t="n"/>
      <c r="CP111" s="701" t="n"/>
      <c r="CQ111" s="701" t="n"/>
      <c r="CR111" s="701" t="n"/>
      <c r="CS111" s="701" t="n"/>
      <c r="CT111" s="701" t="n"/>
      <c r="CU111" s="701" t="n"/>
      <c r="CV111" s="701" t="n"/>
      <c r="CW111" s="30" t="n"/>
    </row>
    <row r="112" ht="15" customHeight="1" s="1676">
      <c r="A112" s="31" t="n"/>
      <c r="B112" s="103" t="inlineStr">
        <is>
          <t>Text_24</t>
        </is>
      </c>
      <c r="C112" s="699" t="n"/>
      <c r="D112" s="1713" t="n"/>
      <c r="E112" s="1713" t="n"/>
      <c r="F112" s="1713" t="n"/>
      <c r="G112" s="1713" t="n"/>
      <c r="H112" s="1714" t="n"/>
      <c r="I112" s="1720" t="n"/>
      <c r="J112" s="1720" t="n"/>
      <c r="K112" s="1720" t="n"/>
      <c r="L112" s="1720" t="n"/>
      <c r="M112" s="1720" t="n"/>
      <c r="N112" s="1720">
        <f t="array" ref="N112">N111/I111-1</f>
        <v/>
      </c>
      <c r="O112" s="1720">
        <f t="array" ref="O112">O111/J111-1</f>
        <v/>
      </c>
      <c r="P112" s="1720">
        <f t="array" ref="P112">P111/K111-1</f>
        <v/>
      </c>
      <c r="Q112" s="1720">
        <f t="array" ref="Q112">Q111/L111-1</f>
        <v/>
      </c>
      <c r="R112" s="1720">
        <f t="array" ref="R112">R111/M111-1</f>
        <v/>
      </c>
      <c r="S112" s="1720">
        <f t="array" ref="S112">S111/N111-1</f>
        <v/>
      </c>
      <c r="T112" s="1720">
        <f t="array" ref="T112">T111/O111-1</f>
        <v/>
      </c>
      <c r="U112" s="1720">
        <f t="array" ref="U112">U111/P111-1</f>
        <v/>
      </c>
      <c r="V112" s="1720">
        <f t="array" ref="V112">V111/Q111-1</f>
        <v/>
      </c>
      <c r="W112" s="1720">
        <f t="array" ref="W112">W111/R111-1</f>
        <v/>
      </c>
      <c r="X112" s="1720">
        <f t="array" ref="X112">X111/S111-1</f>
        <v/>
      </c>
      <c r="Y112" s="1720">
        <f t="array" ref="Y112">Y111/T111-1</f>
        <v/>
      </c>
      <c r="Z112" s="1720">
        <f t="array" ref="Z112">Z111/U111-1</f>
        <v/>
      </c>
      <c r="AA112" s="1720">
        <f t="array" ref="AA112">AA111/V111-1</f>
        <v/>
      </c>
      <c r="AB112" s="1720">
        <f t="array" ref="AB112">AB111/W111-1</f>
        <v/>
      </c>
      <c r="AC112" s="1720">
        <f t="array" ref="AC112">AC111/X111-1</f>
        <v/>
      </c>
      <c r="AD112" s="1720">
        <f t="array" ref="AD112">AD111/Y111-1</f>
        <v/>
      </c>
      <c r="AE112" s="1720">
        <f t="array" ref="AE112">AE111/Z111-1</f>
        <v/>
      </c>
      <c r="AF112" s="1720">
        <f t="array" ref="AF112">AF111/AA111-1</f>
        <v/>
      </c>
      <c r="AG112" s="1720">
        <f t="array" ref="AG112">AG111/AB111-1</f>
        <v/>
      </c>
      <c r="AH112" s="1720">
        <f t="array" ref="AH112">AH111/AC111-1</f>
        <v/>
      </c>
      <c r="AI112" s="1720">
        <f t="array" ref="AI112">AI111/AD111-1</f>
        <v/>
      </c>
      <c r="AJ112" s="1720">
        <f t="array" ref="AJ112">AJ111/AE111-1</f>
        <v/>
      </c>
      <c r="AK112" s="1720">
        <f t="array" ref="AK112">AK111/AF111-1</f>
        <v/>
      </c>
      <c r="AL112" s="1720">
        <f t="array" ref="AL112">AL111/AG111-1</f>
        <v/>
      </c>
      <c r="AM112" s="1720">
        <f t="array" ref="AM112">AM111/AH111-1</f>
        <v/>
      </c>
      <c r="AN112" s="1720">
        <f t="array" ref="AN112">AN111/AI111-1</f>
        <v/>
      </c>
      <c r="AO112" s="1720">
        <f t="array" ref="AO112">AO111/AJ111-1</f>
        <v/>
      </c>
      <c r="AP112" s="1720">
        <f t="array" ref="AP112">AP111/AK111-1</f>
        <v/>
      </c>
      <c r="AQ112" s="1720">
        <f t="array" ref="AQ112">AQ111/AL111-1</f>
        <v/>
      </c>
      <c r="AR112" s="1720">
        <f t="array" ref="AR112">AR111/AM111-1</f>
        <v/>
      </c>
      <c r="AS112" s="1720">
        <f t="array" ref="AS112">AS111/AN111-1</f>
        <v/>
      </c>
      <c r="AT112" s="1720">
        <f t="array" ref="AT112">AT111/AO111-1</f>
        <v/>
      </c>
      <c r="AU112" s="1720">
        <f t="array" ref="AU112">AU111/AP111-1</f>
        <v/>
      </c>
      <c r="AV112" s="1720">
        <f t="array" ref="AV112">AV111/AQ111-1</f>
        <v/>
      </c>
      <c r="AW112" s="1721">
        <f t="array" ref="AW112">AW111/AR111-1</f>
        <v/>
      </c>
      <c r="AX112" s="1722">
        <f t="array" ref="AX112">AX111/AS111-1</f>
        <v/>
      </c>
      <c r="AY112" s="1722">
        <f t="array" ref="AY112">AY111/AT111-1</f>
        <v/>
      </c>
      <c r="AZ112" s="1722">
        <f t="array" ref="AZ112">AZ111/AU111-1</f>
        <v/>
      </c>
      <c r="BA112" s="1723">
        <f t="array" ref="BA112">BA111/AV111-1</f>
        <v/>
      </c>
      <c r="BB112" s="1721">
        <f t="array" ref="BB112">BB111/AW111-1</f>
        <v/>
      </c>
      <c r="BC112" s="1722">
        <f t="array" ref="BC112">BC111/AX111-1</f>
        <v/>
      </c>
      <c r="BD112" s="1722">
        <f t="array" ref="BD112">BD111/AY111-1</f>
        <v/>
      </c>
      <c r="BE112" s="1722">
        <f t="array" ref="BE112">BE111/AZ111-1</f>
        <v/>
      </c>
      <c r="BF112" s="1798">
        <f t="array" ref="BF112">BF111/BA111-1</f>
        <v/>
      </c>
      <c r="BG112" s="1720">
        <f t="array" ref="BG112">BG111/BB111-1</f>
        <v/>
      </c>
      <c r="BH112" s="1720">
        <f t="array" ref="BH112">BH111/BC111-1</f>
        <v/>
      </c>
      <c r="BI112" s="1720">
        <f t="array" ref="BI112">BI111/BD111-1</f>
        <v/>
      </c>
      <c r="BJ112" s="1720">
        <f t="array" ref="BJ112">BJ111/BE111-1</f>
        <v/>
      </c>
      <c r="BK112" s="1720">
        <f t="array" ref="BK112">BK111/BF111-1</f>
        <v/>
      </c>
      <c r="BL112" s="1720">
        <f t="array" ref="BL112">BL111/BG111-1</f>
        <v/>
      </c>
      <c r="BM112" s="1720">
        <f t="array" ref="BM112">BM111/BH111-1</f>
        <v/>
      </c>
      <c r="BN112" s="1720">
        <f t="array" ref="BN112">BN111/BI111-1</f>
        <v/>
      </c>
      <c r="BO112" s="1720">
        <f t="array" ref="BO112">BO111/BJ111-1</f>
        <v/>
      </c>
      <c r="BP112" s="1720">
        <f t="array" ref="BP112">BP111/BK111-1</f>
        <v/>
      </c>
      <c r="BQ112" s="1720">
        <f t="array" ref="BQ112">BQ111/BL111-1</f>
        <v/>
      </c>
      <c r="BR112" s="1720">
        <f t="array" ref="BR112">BR111/BM111-1</f>
        <v/>
      </c>
      <c r="BS112" s="1720">
        <f t="array" ref="BS112">BS111/BN111-1</f>
        <v/>
      </c>
      <c r="BT112" s="1720">
        <f t="array" ref="BT112">BT111/BO111-1</f>
        <v/>
      </c>
      <c r="BU112" s="1720">
        <f t="array" ref="BU112">BU111/BP111-1</f>
        <v/>
      </c>
      <c r="BV112" s="1720">
        <f t="array" ref="BV112">BV111/BQ111-1</f>
        <v/>
      </c>
      <c r="BW112" s="1720">
        <f t="array" ref="BW112">BW111/BR111-1</f>
        <v/>
      </c>
      <c r="BX112" s="1720" t="n"/>
      <c r="BY112" s="1720" t="n"/>
      <c r="BZ112" s="1720">
        <f t="array" ref="BZ112">BZ111/BU111-1</f>
        <v/>
      </c>
      <c r="CA112" s="1686" t="n"/>
      <c r="CB112" s="354" t="n"/>
      <c r="CC112" s="701" t="n"/>
      <c r="CD112" s="701" t="n"/>
      <c r="CE112" s="701" t="n"/>
      <c r="CF112" s="701" t="n"/>
      <c r="CG112" s="701" t="n"/>
      <c r="CH112" s="701" t="n"/>
      <c r="CI112" s="701" t="n"/>
      <c r="CJ112" s="701" t="n"/>
      <c r="CK112" s="701" t="n"/>
      <c r="CL112" s="701" t="n"/>
      <c r="CM112" s="701" t="n"/>
      <c r="CN112" s="701" t="n"/>
      <c r="CO112" s="701" t="n"/>
      <c r="CP112" s="701" t="n"/>
      <c r="CQ112" s="701" t="n"/>
      <c r="CR112" s="701" t="n"/>
      <c r="CS112" s="701" t="n"/>
      <c r="CT112" s="701" t="n"/>
      <c r="CU112" s="701" t="n"/>
      <c r="CV112" s="701" t="n"/>
      <c r="CW112" s="30" t="n"/>
    </row>
    <row r="113" ht="12.75" customHeight="1" s="1676">
      <c r="A113" s="31" t="n"/>
      <c r="B113" s="167" t="inlineStr">
        <is>
          <t>Text_91</t>
        </is>
      </c>
      <c r="C113" s="699" t="n"/>
      <c r="D113" s="1713" t="n"/>
      <c r="E113" s="1713" t="n"/>
      <c r="F113" s="1713" t="n"/>
      <c r="G113" s="1713" t="n"/>
      <c r="H113" s="1714" t="n"/>
      <c r="I113" s="1752" t="n"/>
      <c r="J113" s="1752" t="n"/>
      <c r="K113" s="1752" t="n"/>
      <c r="L113" s="1752" t="n"/>
      <c r="M113" s="1752" t="n"/>
      <c r="N113" s="1752" t="n"/>
      <c r="O113" s="1752" t="n"/>
      <c r="P113" s="1752" t="n"/>
      <c r="Q113" s="1752" t="n"/>
      <c r="R113" s="1889">
        <f t="array" ref="R113">R111/R$101</f>
        <v/>
      </c>
      <c r="S113" s="1752" t="n"/>
      <c r="T113" s="1752" t="n"/>
      <c r="U113" s="1752" t="n"/>
      <c r="V113" s="1752" t="n"/>
      <c r="W113" s="1889">
        <f t="array" ref="W113">W111/W$101</f>
        <v/>
      </c>
      <c r="X113" s="1752" t="n"/>
      <c r="Y113" s="1752" t="n"/>
      <c r="Z113" s="1752" t="n"/>
      <c r="AA113" s="1752" t="n"/>
      <c r="AB113" s="1889">
        <f t="array" ref="AB113">AB111/AB$101</f>
        <v/>
      </c>
      <c r="AC113" s="1752" t="n"/>
      <c r="AD113" s="1752" t="n"/>
      <c r="AE113" s="1752" t="n"/>
      <c r="AF113" s="1752" t="n"/>
      <c r="AG113" s="1889">
        <f t="array" ref="AG113">AG111/AG$101</f>
        <v/>
      </c>
      <c r="AH113" s="1752" t="n"/>
      <c r="AI113" s="1752" t="n"/>
      <c r="AJ113" s="1752" t="n"/>
      <c r="AK113" s="1752" t="n"/>
      <c r="AL113" s="1889">
        <f t="array" ref="AL113">AL111/AL$101</f>
        <v/>
      </c>
      <c r="AM113" s="1752" t="n"/>
      <c r="AN113" s="1752" t="n"/>
      <c r="AO113" s="1752" t="n"/>
      <c r="AP113" s="1752" t="n"/>
      <c r="AQ113" s="1889">
        <f t="array" ref="AQ113">AQ111/AQ$101</f>
        <v/>
      </c>
      <c r="AR113" s="1752" t="n"/>
      <c r="AS113" s="1752" t="n"/>
      <c r="AT113" s="1752" t="n"/>
      <c r="AU113" s="1752" t="n"/>
      <c r="AV113" s="1889">
        <f t="array" ref="AV113">AV111/AV$101</f>
        <v/>
      </c>
      <c r="AW113" s="1754" t="n"/>
      <c r="AX113" s="1755" t="n"/>
      <c r="AY113" s="1755" t="n"/>
      <c r="AZ113" s="1755" t="n"/>
      <c r="BA113" s="1890">
        <f t="array" ref="BA113">BA111/BA$101</f>
        <v/>
      </c>
      <c r="BB113" s="1754" t="n"/>
      <c r="BC113" s="1755" t="n"/>
      <c r="BD113" s="1755" t="n"/>
      <c r="BE113" s="1755" t="n"/>
      <c r="BF113" s="1890">
        <f t="array" ref="BF113">BF111/BF$101</f>
        <v/>
      </c>
      <c r="BG113" s="1752" t="n"/>
      <c r="BH113" s="1752" t="n"/>
      <c r="BI113" s="1752" t="n"/>
      <c r="BJ113" s="1752" t="n"/>
      <c r="BK113" s="1889">
        <f t="array" ref="BK113">BK111/BK$101</f>
        <v/>
      </c>
      <c r="BL113" s="1752" t="n"/>
      <c r="BM113" s="1752" t="n"/>
      <c r="BN113" s="1752" t="n"/>
      <c r="BO113" s="1752" t="n"/>
      <c r="BP113" s="1889">
        <f t="array" ref="BP113">BP111/BP$101</f>
        <v/>
      </c>
      <c r="BQ113" s="1752" t="n"/>
      <c r="BR113" s="1752" t="n"/>
      <c r="BS113" s="1752" t="n"/>
      <c r="BT113" s="1752" t="n"/>
      <c r="BU113" s="1889" t="n"/>
      <c r="BV113" s="1752" t="n"/>
      <c r="BW113" s="1752" t="n"/>
      <c r="BX113" s="1752" t="n"/>
      <c r="BY113" s="1752" t="n"/>
      <c r="BZ113" s="1889" t="n"/>
      <c r="CA113" s="1686" t="n"/>
      <c r="CB113" s="354" t="n"/>
      <c r="CC113" s="701" t="n"/>
      <c r="CD113" s="701" t="n"/>
      <c r="CE113" s="701" t="n"/>
      <c r="CF113" s="701" t="n"/>
      <c r="CG113" s="701" t="n"/>
      <c r="CH113" s="701" t="n"/>
      <c r="CI113" s="701" t="n"/>
      <c r="CJ113" s="701" t="n"/>
      <c r="CK113" s="701" t="n"/>
      <c r="CL113" s="701" t="n"/>
      <c r="CM113" s="701" t="n"/>
      <c r="CN113" s="701" t="n"/>
      <c r="CO113" s="701" t="n"/>
      <c r="CP113" s="701" t="n"/>
      <c r="CQ113" s="701" t="n"/>
      <c r="CR113" s="701" t="n"/>
      <c r="CS113" s="701" t="n"/>
      <c r="CT113" s="701" t="n"/>
      <c r="CU113" s="701" t="n"/>
      <c r="CV113" s="701" t="n"/>
      <c r="CW113" s="30" t="n"/>
    </row>
    <row r="114" ht="12.75" customHeight="1" s="1676">
      <c r="A114" s="31" t="n"/>
      <c r="B114" s="167" t="inlineStr">
        <is>
          <t>Text_95</t>
        </is>
      </c>
      <c r="C114" s="610" t="n"/>
      <c r="D114" s="1886" t="n"/>
      <c r="E114" s="1886" t="n"/>
      <c r="F114" s="1886" t="n"/>
      <c r="G114" s="1886" t="n"/>
      <c r="H114" s="1891" t="n"/>
      <c r="I114" s="1752" t="n"/>
      <c r="J114" s="1752" t="n"/>
      <c r="K114" s="1752" t="n"/>
      <c r="L114" s="1752" t="n"/>
      <c r="M114" s="1752" t="n"/>
      <c r="N114" s="1752" t="n"/>
      <c r="O114" s="1752" t="n"/>
      <c r="P114" s="1752" t="n"/>
      <c r="Q114" s="1752" t="n"/>
      <c r="R114" s="1889" t="n"/>
      <c r="S114" s="1752" t="n"/>
      <c r="T114" s="1752" t="n"/>
      <c r="U114" s="1752" t="n"/>
      <c r="V114" s="1752" t="n"/>
      <c r="W114" s="1889">
        <f t="array" ref="W114">W111/W$107</f>
        <v/>
      </c>
      <c r="X114" s="1752" t="n"/>
      <c r="Y114" s="1752" t="n"/>
      <c r="Z114" s="1752" t="n"/>
      <c r="AA114" s="1752" t="n"/>
      <c r="AB114" s="1889">
        <f t="array" ref="AB114">AB111/AB$107</f>
        <v/>
      </c>
      <c r="AC114" s="1752" t="n"/>
      <c r="AD114" s="1752" t="n"/>
      <c r="AE114" s="1752" t="n"/>
      <c r="AF114" s="1752" t="n"/>
      <c r="AG114" s="1889">
        <f t="array" ref="AG114">AG111/AG$107</f>
        <v/>
      </c>
      <c r="AH114" s="1752" t="n"/>
      <c r="AI114" s="1752" t="n"/>
      <c r="AJ114" s="1752" t="n"/>
      <c r="AK114" s="1752" t="n"/>
      <c r="AL114" s="1889">
        <f t="array" ref="AL114">AL111/AL$107</f>
        <v/>
      </c>
      <c r="AM114" s="1752" t="n"/>
      <c r="AN114" s="1752" t="n"/>
      <c r="AO114" s="1752" t="n"/>
      <c r="AP114" s="1752" t="n"/>
      <c r="AQ114" s="1889">
        <f t="array" ref="AQ114">AQ111/AQ$107</f>
        <v/>
      </c>
      <c r="AR114" s="1752" t="n"/>
      <c r="AS114" s="1752" t="n"/>
      <c r="AT114" s="1752" t="n"/>
      <c r="AU114" s="1752" t="n"/>
      <c r="AV114" s="1889">
        <f t="array" ref="AV114">AV111/AV$107</f>
        <v/>
      </c>
      <c r="AW114" s="1754" t="n"/>
      <c r="AX114" s="1755" t="n"/>
      <c r="AY114" s="1755" t="n"/>
      <c r="AZ114" s="1755" t="n"/>
      <c r="BA114" s="1890">
        <f t="array" ref="BA114">BA111/BA$107</f>
        <v/>
      </c>
      <c r="BB114" s="1754" t="n"/>
      <c r="BC114" s="1755" t="n"/>
      <c r="BD114" s="1755" t="n"/>
      <c r="BE114" s="1755" t="n"/>
      <c r="BF114" s="1890">
        <f t="array" ref="BF114">BF111/BF$107</f>
        <v/>
      </c>
      <c r="BG114" s="1752" t="n"/>
      <c r="BH114" s="1752" t="n"/>
      <c r="BI114" s="1752" t="n"/>
      <c r="BJ114" s="1752" t="n"/>
      <c r="BK114" s="1889">
        <f t="array" ref="BK114">BK111/BK$107</f>
        <v/>
      </c>
      <c r="BL114" s="1752" t="n"/>
      <c r="BM114" s="1752" t="n"/>
      <c r="BN114" s="1752" t="n"/>
      <c r="BO114" s="1752" t="n"/>
      <c r="BP114" s="1889">
        <f t="array" ref="BP114">BP111/BP$107</f>
        <v/>
      </c>
      <c r="BQ114" s="1752" t="n"/>
      <c r="BR114" s="1752" t="n"/>
      <c r="BS114" s="1752" t="n"/>
      <c r="BT114" s="1752" t="n"/>
      <c r="BU114" s="1889" t="n"/>
      <c r="BV114" s="1752" t="n"/>
      <c r="BW114" s="1752" t="n"/>
      <c r="BX114" s="1752" t="n"/>
      <c r="BY114" s="1752" t="n"/>
      <c r="BZ114" s="1889" t="n"/>
      <c r="CA114" s="1686" t="n"/>
      <c r="CB114" s="359" t="n"/>
      <c r="CC114" s="701" t="n"/>
      <c r="CD114" s="701" t="n"/>
      <c r="CE114" s="701" t="n"/>
      <c r="CF114" s="701" t="n"/>
      <c r="CG114" s="701" t="n"/>
      <c r="CH114" s="701" t="n"/>
      <c r="CI114" s="701" t="n"/>
      <c r="CJ114" s="701" t="n"/>
      <c r="CK114" s="701" t="n"/>
      <c r="CL114" s="701" t="n"/>
      <c r="CM114" s="701" t="n"/>
      <c r="CN114" s="701" t="n"/>
      <c r="CO114" s="701" t="n"/>
      <c r="CP114" s="701" t="n"/>
      <c r="CQ114" s="701" t="n"/>
      <c r="CR114" s="701" t="n"/>
      <c r="CS114" s="701" t="n"/>
      <c r="CT114" s="701" t="n"/>
      <c r="CU114" s="701" t="n"/>
      <c r="CV114" s="701" t="n"/>
      <c r="CW114" s="30" t="n"/>
    </row>
    <row r="115" ht="12.75" customHeight="1" s="1676">
      <c r="A115" s="31" t="n"/>
      <c r="B115" s="103" t="inlineStr">
        <is>
          <t>Text_96</t>
        </is>
      </c>
      <c r="C115" s="699" t="n"/>
      <c r="D115" s="1713" t="n"/>
      <c r="E115" s="1713" t="n"/>
      <c r="F115" s="1713" t="n"/>
      <c r="G115" s="1713" t="n"/>
      <c r="H115" s="1714" t="n"/>
      <c r="I115" s="1715">
        <f t="array" ref="I115">K154</f>
        <v/>
      </c>
      <c r="J115" s="1715">
        <f t="array" ref="J115">L154</f>
        <v/>
      </c>
      <c r="K115" s="1715">
        <f t="array" ref="K115">N154</f>
        <v/>
      </c>
      <c r="L115" s="1715">
        <f t="array" ref="L115">O154</f>
        <v/>
      </c>
      <c r="M115" s="1715">
        <f t="array" ref="M115">L115+K115+J115+I115</f>
        <v/>
      </c>
      <c r="N115" s="1715">
        <f t="array" ref="N115">P154</f>
        <v/>
      </c>
      <c r="O115" s="1715">
        <f t="array" ref="O115">Q154</f>
        <v/>
      </c>
      <c r="P115" s="1715">
        <f t="array" ref="P115">S154</f>
        <v/>
      </c>
      <c r="Q115" s="1715">
        <f t="array" ref="Q115">T154</f>
        <v/>
      </c>
      <c r="R115" s="1715">
        <f t="array" ref="R115">Q115+P115+O115+N115</f>
        <v/>
      </c>
      <c r="S115" s="1715">
        <f t="array" ref="S115">U154</f>
        <v/>
      </c>
      <c r="T115" s="1715">
        <f t="array" ref="T115">V154</f>
        <v/>
      </c>
      <c r="U115" s="1715">
        <f t="array" ref="U115">X154</f>
        <v/>
      </c>
      <c r="V115" s="1715">
        <f t="array" ref="V115">Y154</f>
        <v/>
      </c>
      <c r="W115" s="1715">
        <f t="array" ref="W115">V115+U115+T115+S115</f>
        <v/>
      </c>
      <c r="X115" s="1715">
        <f t="array" ref="X115">Z154</f>
        <v/>
      </c>
      <c r="Y115" s="1715">
        <f t="array" ref="Y115">AA154</f>
        <v/>
      </c>
      <c r="Z115" s="1715">
        <f t="array" ref="Z115">AC154</f>
        <v/>
      </c>
      <c r="AA115" s="1715">
        <f t="array" ref="AA115">AD154</f>
        <v/>
      </c>
      <c r="AB115" s="1715">
        <f t="array" ref="AB115">AA115+Z115+Y115+X115</f>
        <v/>
      </c>
      <c r="AC115" s="1715">
        <f t="array" ref="AC115">AE154</f>
        <v/>
      </c>
      <c r="AD115" s="1715">
        <f t="array" ref="AD115">AF154</f>
        <v/>
      </c>
      <c r="AE115" s="1715">
        <f t="array" ref="AE115">AH154</f>
        <v/>
      </c>
      <c r="AF115" s="1715">
        <f t="array" ref="AF115">AI154</f>
        <v/>
      </c>
      <c r="AG115" s="1715">
        <f t="array" ref="AG115">AF115+AE115+AD115+AC115</f>
        <v/>
      </c>
      <c r="AH115" s="1715">
        <f t="array" ref="AH115">AJ154</f>
        <v/>
      </c>
      <c r="AI115" s="1715">
        <f t="array" ref="AI115">AK154</f>
        <v/>
      </c>
      <c r="AJ115" s="1715">
        <f t="array" ref="AJ115">AM154</f>
        <v/>
      </c>
      <c r="AK115" s="1715">
        <f t="array" ref="AK115">AN154</f>
        <v/>
      </c>
      <c r="AL115" s="1715">
        <f t="array" ref="AL115">AK115+AJ115+AI115+AH115</f>
        <v/>
      </c>
      <c r="AM115" s="1715">
        <f t="array" ref="AM115">AO154</f>
        <v/>
      </c>
      <c r="AN115" s="1715">
        <f t="array" ref="AN115">AP154</f>
        <v/>
      </c>
      <c r="AO115" s="1715">
        <f t="array" ref="AO115">AR154</f>
        <v/>
      </c>
      <c r="AP115" s="1715">
        <f t="array" ref="AP115">AS154</f>
        <v/>
      </c>
      <c r="AQ115" s="1715">
        <f t="array" ref="AQ115">AP115+AO115+AN115+AM115</f>
        <v/>
      </c>
      <c r="AR115" s="1715">
        <f t="array" ref="AR115">AT154</f>
        <v/>
      </c>
      <c r="AS115" s="1715">
        <f t="array" ref="AS115">AU154</f>
        <v/>
      </c>
      <c r="AT115" s="1715">
        <f t="array" ref="AT115">AW154</f>
        <v/>
      </c>
      <c r="AU115" s="1715">
        <f t="array" ref="AU115">AX154</f>
        <v/>
      </c>
      <c r="AV115" s="1715">
        <f t="array" ref="AV115">AU115+AT115+AS115+AR115</f>
        <v/>
      </c>
      <c r="AW115" s="1716">
        <f t="array" ref="AW115">AY154</f>
        <v/>
      </c>
      <c r="AX115" s="1717">
        <f t="array" ref="AX115">AZ154</f>
        <v/>
      </c>
      <c r="AY115" s="1717">
        <f t="array" ref="AY115">BB154</f>
        <v/>
      </c>
      <c r="AZ115" s="1717">
        <f t="array" ref="AZ115">BC154</f>
        <v/>
      </c>
      <c r="BA115" s="1718">
        <f t="array" ref="BA115">AZ115+AY115+AX115+AW115</f>
        <v/>
      </c>
      <c r="BB115" s="1716">
        <f t="array" ref="BB115">BD154</f>
        <v/>
      </c>
      <c r="BC115" s="1717">
        <f t="array" ref="BC115">BE154</f>
        <v/>
      </c>
      <c r="BD115" s="1717">
        <f t="array" ref="BD115">BG154</f>
        <v/>
      </c>
      <c r="BE115" s="1717">
        <f t="array" ref="BE115">BH154</f>
        <v/>
      </c>
      <c r="BF115" s="1718">
        <f t="array" ref="BF115">BE115+BD115+BC115+BB115</f>
        <v/>
      </c>
      <c r="BG115" s="1715">
        <f t="array" ref="BG115">BI154</f>
        <v/>
      </c>
      <c r="BH115" s="1715">
        <f t="array" ref="BH115">BJ154</f>
        <v/>
      </c>
      <c r="BI115" s="1715">
        <f t="array" ref="BI115">BL154</f>
        <v/>
      </c>
      <c r="BJ115" s="1715">
        <f t="array" ref="BJ115">BM154</f>
        <v/>
      </c>
      <c r="BK115" s="1715">
        <f t="array" ref="BK115">BJ115+BI115+BH115+BG115</f>
        <v/>
      </c>
      <c r="BL115" s="1715">
        <f t="array" ref="BL115">BN154</f>
        <v/>
      </c>
      <c r="BM115" s="1715">
        <f t="array" ref="BM115">BO154</f>
        <v/>
      </c>
      <c r="BN115" s="1715">
        <f t="array" ref="BN115">BQ154</f>
        <v/>
      </c>
      <c r="BO115" s="1715">
        <f t="array" ref="BO115">BR154</f>
        <v/>
      </c>
      <c r="BP115" s="1715">
        <f t="array" ref="BP115">BO115+BN115+BM115+BL115</f>
        <v/>
      </c>
      <c r="BQ115" s="1715">
        <f t="array" ref="BQ115">BS154</f>
        <v/>
      </c>
      <c r="BR115" s="1715">
        <f t="array" ref="BR115">BT154</f>
        <v/>
      </c>
      <c r="BS115" s="1715">
        <f t="array" ref="BS115">BV154</f>
        <v/>
      </c>
      <c r="BT115" s="1715">
        <f t="array" ref="BT115">BW154</f>
        <v/>
      </c>
      <c r="BU115" s="1715">
        <f t="array" ref="BU115">BT115+BS115+BR115+BQ115</f>
        <v/>
      </c>
      <c r="BV115" s="1715">
        <f t="array" ref="BV115">BX154</f>
        <v/>
      </c>
      <c r="BW115" s="1715">
        <f t="array" ref="BW115">BY154</f>
        <v/>
      </c>
      <c r="BX115" s="1715" t="n"/>
      <c r="BY115" s="1715" t="n"/>
      <c r="BZ115" s="1715" t="n"/>
      <c r="CA115" s="1686" t="n"/>
      <c r="CB115" s="354" t="n"/>
      <c r="CC115" s="701" t="n"/>
      <c r="CD115" s="701" t="n"/>
      <c r="CE115" s="701" t="n"/>
      <c r="CF115" s="701" t="n"/>
      <c r="CG115" s="701" t="n"/>
      <c r="CH115" s="701" t="n"/>
      <c r="CI115" s="701" t="n"/>
      <c r="CJ115" s="701" t="n"/>
      <c r="CK115" s="701" t="n"/>
      <c r="CL115" s="701" t="n"/>
      <c r="CM115" s="701" t="n"/>
      <c r="CN115" s="701" t="n"/>
      <c r="CO115" s="701" t="n"/>
      <c r="CP115" s="701" t="n"/>
      <c r="CQ115" s="701" t="n"/>
      <c r="CR115" s="701" t="n"/>
      <c r="CS115" s="701" t="n"/>
      <c r="CT115" s="701" t="n"/>
      <c r="CU115" s="701" t="n"/>
      <c r="CV115" s="701" t="n"/>
      <c r="CW115" s="30" t="n"/>
    </row>
    <row r="116" ht="15" customHeight="1" s="1676">
      <c r="A116" s="31" t="n"/>
      <c r="B116" s="103" t="inlineStr">
        <is>
          <t>Text_24</t>
        </is>
      </c>
      <c r="C116" s="699" t="n"/>
      <c r="D116" s="1713" t="n"/>
      <c r="E116" s="1713" t="n"/>
      <c r="F116" s="1713" t="n"/>
      <c r="G116" s="1713" t="n"/>
      <c r="H116" s="1714" t="n"/>
      <c r="I116" s="1720" t="n"/>
      <c r="J116" s="1720" t="n"/>
      <c r="K116" s="1720" t="n"/>
      <c r="L116" s="1720" t="n"/>
      <c r="M116" s="1720" t="n"/>
      <c r="N116" s="1720">
        <f t="array" ref="N116">N115/I115-1</f>
        <v/>
      </c>
      <c r="O116" s="1720">
        <f t="array" ref="O116">O115/J115-1</f>
        <v/>
      </c>
      <c r="P116" s="1720">
        <f t="array" ref="P116">P115/K115-1</f>
        <v/>
      </c>
      <c r="Q116" s="1720">
        <f t="array" ref="Q116">Q115/L115-1</f>
        <v/>
      </c>
      <c r="R116" s="1720">
        <f t="array" ref="R116">R115/M115-1</f>
        <v/>
      </c>
      <c r="S116" s="1720">
        <f t="array" ref="S116">S115/N115-1</f>
        <v/>
      </c>
      <c r="T116" s="1720">
        <f t="array" ref="T116">T115/O115-1</f>
        <v/>
      </c>
      <c r="U116" s="1720">
        <f t="array" ref="U116">U115/P115-1</f>
        <v/>
      </c>
      <c r="V116" s="1720">
        <f t="array" ref="V116">V115/Q115-1</f>
        <v/>
      </c>
      <c r="W116" s="1720">
        <f t="array" ref="W116">W115/R115-1</f>
        <v/>
      </c>
      <c r="X116" s="1720">
        <f t="array" ref="X116">X115/S115-1</f>
        <v/>
      </c>
      <c r="Y116" s="1720">
        <f t="array" ref="Y116">Y115/T115-1</f>
        <v/>
      </c>
      <c r="Z116" s="1720">
        <f t="array" ref="Z116">Z115/U115-1</f>
        <v/>
      </c>
      <c r="AA116" s="1720">
        <f t="array" ref="AA116">AA115/V115-1</f>
        <v/>
      </c>
      <c r="AB116" s="1720">
        <f t="array" ref="AB116">AB115/W115-1</f>
        <v/>
      </c>
      <c r="AC116" s="1720">
        <f t="array" ref="AC116">AC115/X115-1</f>
        <v/>
      </c>
      <c r="AD116" s="1720">
        <f t="array" ref="AD116">AD115/Y115-1</f>
        <v/>
      </c>
      <c r="AE116" s="1720">
        <f t="array" ref="AE116">AE115/Z115-1</f>
        <v/>
      </c>
      <c r="AF116" s="1720">
        <f t="array" ref="AF116">AF115/AA115-1</f>
        <v/>
      </c>
      <c r="AG116" s="1720">
        <f t="array" ref="AG116">AG115/AB115-1</f>
        <v/>
      </c>
      <c r="AH116" s="1720">
        <f t="array" ref="AH116">AH115/AC115-1</f>
        <v/>
      </c>
      <c r="AI116" s="1720">
        <f t="array" ref="AI116">AI115/AD115-1</f>
        <v/>
      </c>
      <c r="AJ116" s="1720">
        <f t="array" ref="AJ116">AJ115/AE115-1</f>
        <v/>
      </c>
      <c r="AK116" s="1720">
        <f t="array" ref="AK116">AK115/AF115-1</f>
        <v/>
      </c>
      <c r="AL116" s="1720">
        <f t="array" ref="AL116">AL115/AG115-1</f>
        <v/>
      </c>
      <c r="AM116" s="1720">
        <f t="array" ref="AM116">AM115/AH115-1</f>
        <v/>
      </c>
      <c r="AN116" s="1720">
        <f t="array" ref="AN116">AN115/AI115-1</f>
        <v/>
      </c>
      <c r="AO116" s="1720">
        <f t="array" ref="AO116">AO115/AJ115-1</f>
        <v/>
      </c>
      <c r="AP116" s="1720">
        <f t="array" ref="AP116">AP115/AK115-1</f>
        <v/>
      </c>
      <c r="AQ116" s="1720">
        <f t="array" ref="AQ116">AQ115/AL115-1</f>
        <v/>
      </c>
      <c r="AR116" s="1720">
        <f t="array" ref="AR116">AR115/AM115-1</f>
        <v/>
      </c>
      <c r="AS116" s="1720">
        <f t="array" ref="AS116">AS115/AN115-1</f>
        <v/>
      </c>
      <c r="AT116" s="1720">
        <f t="array" ref="AT116">AT115/AO115-1</f>
        <v/>
      </c>
      <c r="AU116" s="1720">
        <f t="array" ref="AU116">AU115/AP115-1</f>
        <v/>
      </c>
      <c r="AV116" s="1720">
        <f t="array" ref="AV116">AV115/AQ115-1</f>
        <v/>
      </c>
      <c r="AW116" s="1721">
        <f t="array" ref="AW116">AW115/AR115-1</f>
        <v/>
      </c>
      <c r="AX116" s="1722">
        <f t="array" ref="AX116">AX115/AS115-1</f>
        <v/>
      </c>
      <c r="AY116" s="1722">
        <f t="array" ref="AY116">AY115/AT115-1</f>
        <v/>
      </c>
      <c r="AZ116" s="1722">
        <f t="array" ref="AZ116">AZ115/AU115-1</f>
        <v/>
      </c>
      <c r="BA116" s="1723">
        <f t="array" ref="BA116">BA115/AV115-1</f>
        <v/>
      </c>
      <c r="BB116" s="1721">
        <f t="array" ref="BB116">BB115/AW115-1</f>
        <v/>
      </c>
      <c r="BC116" s="1722">
        <f t="array" ref="BC116">BC115/AX115-1</f>
        <v/>
      </c>
      <c r="BD116" s="1722">
        <f t="array" ref="BD116">BD115/AY115-1</f>
        <v/>
      </c>
      <c r="BE116" s="1722">
        <f t="array" ref="BE116">BE115/AZ115-1</f>
        <v/>
      </c>
      <c r="BF116" s="1723">
        <f t="array" ref="BF116">BF115/BA115-1</f>
        <v/>
      </c>
      <c r="BG116" s="1720">
        <f t="array" ref="BG116">BG115/BB115-1</f>
        <v/>
      </c>
      <c r="BH116" s="1720">
        <f t="array" ref="BH116">BH115/BC115-1</f>
        <v/>
      </c>
      <c r="BI116" s="1720">
        <f t="array" ref="BI116">BI115/BD115-1</f>
        <v/>
      </c>
      <c r="BJ116" s="1720">
        <f t="array" ref="BJ116">BJ115/BE115-1</f>
        <v/>
      </c>
      <c r="BK116" s="1720">
        <f t="array" ref="BK116">BK115/BF115-1</f>
        <v/>
      </c>
      <c r="BL116" s="1720">
        <f t="array" ref="BL116">BL115/BG115-1</f>
        <v/>
      </c>
      <c r="BM116" s="1720">
        <f t="array" ref="BM116">BM115/BH115-1</f>
        <v/>
      </c>
      <c r="BN116" s="1720">
        <f t="array" ref="BN116">BN115/BI115-1</f>
        <v/>
      </c>
      <c r="BO116" s="1720">
        <f t="array" ref="BO116">BO115/BJ115-1</f>
        <v/>
      </c>
      <c r="BP116" s="1720">
        <f t="array" ref="BP116">BP115/BK115-1</f>
        <v/>
      </c>
      <c r="BQ116" s="1720">
        <f t="array" ref="BQ116">BQ115/BL115-1</f>
        <v/>
      </c>
      <c r="BR116" s="1720">
        <f t="array" ref="BR116">BR115/BM115-1</f>
        <v/>
      </c>
      <c r="BS116" s="1720">
        <f t="array" ref="BS116">BS115/BN115-1</f>
        <v/>
      </c>
      <c r="BT116" s="1720">
        <f t="array" ref="BT116">BT115/BO115-1</f>
        <v/>
      </c>
      <c r="BU116" s="1720">
        <f t="array" ref="BU116">BU115/BP115-1</f>
        <v/>
      </c>
      <c r="BV116" s="1720" t="n"/>
      <c r="BW116" s="1720" t="n"/>
      <c r="BX116" s="1720" t="n"/>
      <c r="BY116" s="1720" t="n"/>
      <c r="BZ116" s="1720" t="n"/>
      <c r="CA116" s="1686" t="n"/>
      <c r="CB116" s="354" t="n"/>
      <c r="CC116" s="701" t="n"/>
      <c r="CD116" s="701" t="n"/>
      <c r="CE116" s="701" t="n"/>
      <c r="CF116" s="701" t="n"/>
      <c r="CG116" s="701" t="n"/>
      <c r="CH116" s="701" t="n"/>
      <c r="CI116" s="701" t="n"/>
      <c r="CJ116" s="701" t="n"/>
      <c r="CK116" s="701" t="n"/>
      <c r="CL116" s="701" t="n"/>
      <c r="CM116" s="701" t="n"/>
      <c r="CN116" s="701" t="n"/>
      <c r="CO116" s="701" t="n"/>
      <c r="CP116" s="701" t="n"/>
      <c r="CQ116" s="701" t="n"/>
      <c r="CR116" s="701" t="n"/>
      <c r="CS116" s="701" t="n"/>
      <c r="CT116" s="701" t="n"/>
      <c r="CU116" s="701" t="n"/>
      <c r="CV116" s="701" t="n"/>
      <c r="CW116" s="30" t="n"/>
    </row>
    <row r="117" ht="12.75" customHeight="1" s="1676">
      <c r="A117" s="31" t="n"/>
      <c r="B117" s="167" t="inlineStr">
        <is>
          <t>Text_91</t>
        </is>
      </c>
      <c r="C117" s="699" t="n"/>
      <c r="D117" s="1713" t="n"/>
      <c r="E117" s="1713" t="n"/>
      <c r="F117" s="1713" t="n"/>
      <c r="G117" s="1713" t="n"/>
      <c r="H117" s="1714" t="n"/>
      <c r="I117" s="1752" t="n"/>
      <c r="J117" s="1752" t="n"/>
      <c r="K117" s="1752" t="n"/>
      <c r="L117" s="1752" t="n"/>
      <c r="M117" s="1889">
        <f t="array" ref="M117">M115/M$101</f>
        <v/>
      </c>
      <c r="N117" s="1752" t="n"/>
      <c r="O117" s="1752" t="n"/>
      <c r="P117" s="1752" t="n"/>
      <c r="Q117" s="1752" t="n"/>
      <c r="R117" s="1889">
        <f t="array" ref="R117">R115/R$101</f>
        <v/>
      </c>
      <c r="S117" s="1752" t="n"/>
      <c r="T117" s="1752" t="n"/>
      <c r="U117" s="1752" t="n"/>
      <c r="V117" s="1752" t="n"/>
      <c r="W117" s="1889">
        <f t="array" ref="W117">W115/W$101</f>
        <v/>
      </c>
      <c r="X117" s="1752" t="n"/>
      <c r="Y117" s="1752" t="n"/>
      <c r="Z117" s="1752" t="n"/>
      <c r="AA117" s="1752" t="n"/>
      <c r="AB117" s="1889">
        <f t="array" ref="AB117">AB115/AB$101</f>
        <v/>
      </c>
      <c r="AC117" s="1752" t="n"/>
      <c r="AD117" s="1752" t="n"/>
      <c r="AE117" s="1752" t="n"/>
      <c r="AF117" s="1752" t="n"/>
      <c r="AG117" s="1889">
        <f t="array" ref="AG117">AG115/AG$101</f>
        <v/>
      </c>
      <c r="AH117" s="1752" t="n"/>
      <c r="AI117" s="1752" t="n"/>
      <c r="AJ117" s="1752" t="n"/>
      <c r="AK117" s="1752" t="n"/>
      <c r="AL117" s="1889">
        <f t="array" ref="AL117">AL115/AL$101</f>
        <v/>
      </c>
      <c r="AM117" s="1752" t="n"/>
      <c r="AN117" s="1752" t="n"/>
      <c r="AO117" s="1752" t="n"/>
      <c r="AP117" s="1752" t="n"/>
      <c r="AQ117" s="1889">
        <f t="array" ref="AQ117">AQ115/AQ$101</f>
        <v/>
      </c>
      <c r="AR117" s="1752" t="n"/>
      <c r="AS117" s="1752" t="n"/>
      <c r="AT117" s="1752" t="n"/>
      <c r="AU117" s="1752" t="n"/>
      <c r="AV117" s="1889">
        <f t="array" ref="AV117">AV115/AV$101</f>
        <v/>
      </c>
      <c r="AW117" s="1754" t="n"/>
      <c r="AX117" s="1755" t="n"/>
      <c r="AY117" s="1755" t="n"/>
      <c r="AZ117" s="1755" t="n"/>
      <c r="BA117" s="1890">
        <f t="array" ref="BA117">BA115/BA$101</f>
        <v/>
      </c>
      <c r="BB117" s="1754" t="n"/>
      <c r="BC117" s="1755" t="n"/>
      <c r="BD117" s="1755" t="n"/>
      <c r="BE117" s="1755" t="n"/>
      <c r="BF117" s="1892">
        <f t="array" ref="BF117">BF115/BF$101</f>
        <v/>
      </c>
      <c r="BG117" s="1752" t="n"/>
      <c r="BH117" s="1752" t="n"/>
      <c r="BI117" s="1752" t="n"/>
      <c r="BJ117" s="1752" t="n"/>
      <c r="BK117" s="1893">
        <f t="array" ref="BK117">BK115/BK$101</f>
        <v/>
      </c>
      <c r="BL117" s="1894" t="n"/>
      <c r="BM117" s="1894" t="n"/>
      <c r="BN117" s="1894" t="n"/>
      <c r="BO117" s="1894" t="n"/>
      <c r="BP117" s="1893">
        <f t="array" ref="BP117">BP115/BP$101</f>
        <v/>
      </c>
      <c r="BQ117" s="1752" t="n"/>
      <c r="BR117" s="1752" t="n"/>
      <c r="BS117" s="1752" t="n"/>
      <c r="BT117" s="1752" t="n"/>
      <c r="BU117" s="1893">
        <f t="array" ref="BU117">BU115/BU$101</f>
        <v/>
      </c>
      <c r="BV117" s="1752" t="n"/>
      <c r="BW117" s="1752" t="n"/>
      <c r="BX117" s="1752" t="n"/>
      <c r="BY117" s="1752" t="n"/>
      <c r="BZ117" s="1889" t="n"/>
      <c r="CA117" s="238" t="inlineStr">
        <is>
          <t>Text_97</t>
        </is>
      </c>
      <c r="CB117" s="354" t="n"/>
      <c r="CC117" s="701" t="n"/>
      <c r="CD117" s="701" t="n"/>
      <c r="CE117" s="701" t="n"/>
      <c r="CF117" s="701" t="n"/>
      <c r="CG117" s="701" t="n"/>
      <c r="CH117" s="701" t="n"/>
      <c r="CI117" s="701" t="n"/>
      <c r="CJ117" s="701" t="n"/>
      <c r="CK117" s="701" t="n"/>
      <c r="CL117" s="701" t="n"/>
      <c r="CM117" s="701" t="n"/>
      <c r="CN117" s="701" t="n"/>
      <c r="CO117" s="701" t="n"/>
      <c r="CP117" s="701" t="n"/>
      <c r="CQ117" s="701" t="n"/>
      <c r="CR117" s="701" t="n"/>
      <c r="CS117" s="701" t="n"/>
      <c r="CT117" s="701" t="n"/>
      <c r="CU117" s="701" t="n"/>
      <c r="CV117" s="701" t="n"/>
      <c r="CW117" s="30" t="n"/>
    </row>
    <row r="118" ht="12.75" customHeight="1" s="1676">
      <c r="A118" s="31" t="n"/>
      <c r="B118" s="167" t="inlineStr">
        <is>
          <t>Text_95</t>
        </is>
      </c>
      <c r="C118" s="610" t="n"/>
      <c r="D118" s="1886" t="n"/>
      <c r="E118" s="1886" t="n"/>
      <c r="F118" s="1886" t="n"/>
      <c r="G118" s="1886" t="n"/>
      <c r="H118" s="1891" t="n"/>
      <c r="I118" s="1752" t="n"/>
      <c r="J118" s="1752" t="n"/>
      <c r="K118" s="1752" t="n"/>
      <c r="L118" s="1752" t="n"/>
      <c r="M118" s="363">
        <f t="array" ref="M118">M115/M$107</f>
        <v/>
      </c>
      <c r="N118" s="363" t="n"/>
      <c r="O118" s="363" t="n"/>
      <c r="P118" s="363" t="n"/>
      <c r="Q118" s="363" t="n"/>
      <c r="R118" s="363">
        <f t="array" ref="R118">R115/R$107</f>
        <v/>
      </c>
      <c r="S118" s="363" t="n"/>
      <c r="T118" s="363" t="n"/>
      <c r="U118" s="363" t="n"/>
      <c r="V118" s="363" t="n"/>
      <c r="W118" s="363">
        <f t="array" ref="W118">W115/W$107</f>
        <v/>
      </c>
      <c r="X118" s="363" t="n"/>
      <c r="Y118" s="363" t="n"/>
      <c r="Z118" s="363" t="n"/>
      <c r="AA118" s="363" t="n"/>
      <c r="AB118" s="363">
        <f t="array" ref="AB118">AB115/AB$107</f>
        <v/>
      </c>
      <c r="AC118" s="363" t="n"/>
      <c r="AD118" s="363" t="n"/>
      <c r="AE118" s="363" t="n"/>
      <c r="AF118" s="363" t="n"/>
      <c r="AG118" s="363">
        <f t="array" ref="AG118">AG115/AG$107</f>
        <v/>
      </c>
      <c r="AH118" s="363" t="n"/>
      <c r="AI118" s="363" t="n"/>
      <c r="AJ118" s="363" t="n"/>
      <c r="AK118" s="363" t="n"/>
      <c r="AL118" s="363">
        <f t="array" ref="AL118">AL115/AL$107</f>
        <v/>
      </c>
      <c r="AM118" s="363" t="n"/>
      <c r="AN118" s="363" t="n"/>
      <c r="AO118" s="363" t="n"/>
      <c r="AP118" s="363" t="n"/>
      <c r="AQ118" s="363">
        <f t="array" ref="AQ118">AQ115/AQ$107</f>
        <v/>
      </c>
      <c r="AR118" s="363" t="n"/>
      <c r="AS118" s="363" t="n"/>
      <c r="AT118" s="363" t="n"/>
      <c r="AU118" s="363" t="n"/>
      <c r="AV118" s="363">
        <f t="array" ref="AV118">AV115/AV$107</f>
        <v/>
      </c>
      <c r="AW118" s="364" t="n"/>
      <c r="AX118" s="365" t="n"/>
      <c r="AY118" s="365" t="n"/>
      <c r="AZ118" s="365" t="n"/>
      <c r="BA118" s="366">
        <f t="array" ref="BA118">BA115/BA$107</f>
        <v/>
      </c>
      <c r="BB118" s="1895" t="n"/>
      <c r="BC118" s="365" t="n"/>
      <c r="BD118" s="365" t="n"/>
      <c r="BE118" s="365" t="n"/>
      <c r="BF118" s="366">
        <f t="array" ref="BF118">BF115/BF$107</f>
        <v/>
      </c>
      <c r="BG118" s="363" t="n"/>
      <c r="BH118" s="363" t="n"/>
      <c r="BI118" s="363" t="n"/>
      <c r="BJ118" s="363" t="n"/>
      <c r="BK118" s="363">
        <f t="array" ref="BK118">BK115/BK$107</f>
        <v/>
      </c>
      <c r="BL118" s="1752" t="n"/>
      <c r="BM118" s="1752" t="n"/>
      <c r="BN118" s="363" t="n"/>
      <c r="BO118" s="1752" t="n"/>
      <c r="BP118" s="363">
        <f t="array" ref="BP118">BP115/BP$107</f>
        <v/>
      </c>
      <c r="BQ118" s="1752" t="n"/>
      <c r="BR118" s="1752" t="n"/>
      <c r="BS118" s="1752" t="n"/>
      <c r="BT118" s="1752" t="n"/>
      <c r="BU118" s="363">
        <f t="array" ref="BU118">BU115/BU$107</f>
        <v/>
      </c>
      <c r="BV118" s="1752" t="n"/>
      <c r="BW118" s="1752" t="n"/>
      <c r="BX118" s="1752" t="n"/>
      <c r="BY118" s="1752" t="n"/>
      <c r="BZ118" s="1889" t="n"/>
      <c r="CA118" s="238" t="inlineStr">
        <is>
          <t>Text_98</t>
        </is>
      </c>
      <c r="CB118" s="359" t="n"/>
      <c r="CC118" s="701" t="n"/>
      <c r="CD118" s="701" t="n"/>
      <c r="CE118" s="701" t="n"/>
      <c r="CF118" s="701" t="n"/>
      <c r="CG118" s="701" t="n"/>
      <c r="CH118" s="701" t="n"/>
      <c r="CI118" s="701" t="n"/>
      <c r="CJ118" s="701" t="n"/>
      <c r="CK118" s="701" t="n"/>
      <c r="CL118" s="701" t="n"/>
      <c r="CM118" s="701" t="n"/>
      <c r="CN118" s="701" t="n"/>
      <c r="CO118" s="701" t="n"/>
      <c r="CP118" s="701" t="n"/>
      <c r="CQ118" s="701" t="n"/>
      <c r="CR118" s="701" t="n"/>
      <c r="CS118" s="701" t="n"/>
      <c r="CT118" s="701" t="n"/>
      <c r="CU118" s="701" t="n"/>
      <c r="CV118" s="701" t="n"/>
      <c r="CW118" s="30" t="n"/>
    </row>
    <row r="119" ht="12.75" customHeight="1" s="1676">
      <c r="A119" s="31" t="n"/>
      <c r="B119" s="156" t="inlineStr">
        <is>
          <t>Text_99</t>
        </is>
      </c>
      <c r="C119" s="610" t="n"/>
      <c r="D119" s="1886" t="n"/>
      <c r="E119" s="1886" t="n"/>
      <c r="F119" s="1886" t="n"/>
      <c r="G119" s="1886" t="n"/>
      <c r="H119" s="1891" t="n"/>
      <c r="I119" s="1752" t="n"/>
      <c r="J119" s="1752" t="n"/>
      <c r="K119" s="1752" t="n"/>
      <c r="L119" s="1752" t="n"/>
      <c r="M119" s="363" t="n"/>
      <c r="N119" s="363" t="n"/>
      <c r="O119" s="363" t="n"/>
      <c r="P119" s="363" t="n"/>
      <c r="Q119" s="363" t="n"/>
      <c r="R119" s="364" t="n"/>
      <c r="S119" s="1747">
        <f t="array" ref="S119">U22</f>
        <v/>
      </c>
      <c r="T119" s="1747">
        <f t="array" ref="T119">V22</f>
        <v/>
      </c>
      <c r="U119" s="1747">
        <f t="array" ref="U119">X22</f>
        <v/>
      </c>
      <c r="V119" s="1747">
        <f t="array" ref="V119">Y22</f>
        <v/>
      </c>
      <c r="W119" s="1887">
        <f t="array" ref="W119">V119+U119+T119+S119</f>
        <v/>
      </c>
      <c r="X119" s="1744">
        <f t="array" ref="X119">Z22</f>
        <v/>
      </c>
      <c r="Y119" s="1744">
        <f t="array" ref="Y119">AA22</f>
        <v/>
      </c>
      <c r="Z119" s="1744">
        <f t="array" ref="Z119">AC22</f>
        <v/>
      </c>
      <c r="AA119" s="1744">
        <f t="array" ref="AA119">AD22</f>
        <v/>
      </c>
      <c r="AB119" s="1744">
        <f t="array" ref="AB119">AA119+Z119+Y119+X119</f>
        <v/>
      </c>
      <c r="AC119" s="1744">
        <f t="array" ref="AC119">AE22</f>
        <v/>
      </c>
      <c r="AD119" s="1744">
        <f t="array" ref="AD119">AF22</f>
        <v/>
      </c>
      <c r="AE119" s="1744">
        <f t="array" ref="AE119">AH22</f>
        <v/>
      </c>
      <c r="AF119" s="1744">
        <f t="array" ref="AF119">AI22</f>
        <v/>
      </c>
      <c r="AG119" s="1744">
        <f t="array" ref="AG119">AF119+AE119+AD119+AC119</f>
        <v/>
      </c>
      <c r="AH119" s="1744">
        <f t="array" ref="AH119">AJ22</f>
        <v/>
      </c>
      <c r="AI119" s="1744">
        <f t="array" ref="AI119">AK22</f>
        <v/>
      </c>
      <c r="AJ119" s="1744">
        <f t="array" ref="AJ119">AM22</f>
        <v/>
      </c>
      <c r="AK119" s="1744">
        <f t="array" ref="AK119">AN22</f>
        <v/>
      </c>
      <c r="AL119" s="1744">
        <f t="array" ref="AL119">AK119+AJ119+AI119+AH119</f>
        <v/>
      </c>
      <c r="AM119" s="1744">
        <f t="array" ref="AM119">AO22</f>
        <v/>
      </c>
      <c r="AN119" s="1744">
        <f t="array" ref="AN119">AP22</f>
        <v/>
      </c>
      <c r="AO119" s="1744">
        <f t="array" ref="AO119">AR22</f>
        <v/>
      </c>
      <c r="AP119" s="1744">
        <f t="array" ref="AP119">AS22</f>
        <v/>
      </c>
      <c r="AQ119" s="1744">
        <f t="array" ref="AQ119">AP119+AO119+AN119+AM119</f>
        <v/>
      </c>
      <c r="AR119" s="1744">
        <f t="array" ref="AR119">AT22</f>
        <v/>
      </c>
      <c r="AS119" s="1744">
        <f t="array" ref="AS119">AU22</f>
        <v/>
      </c>
      <c r="AT119" s="1744">
        <f t="array" ref="AT119">AW22</f>
        <v/>
      </c>
      <c r="AU119" s="1744">
        <f t="array" ref="AU119">AX22</f>
        <v/>
      </c>
      <c r="AV119" s="1744">
        <f t="array" ref="AV119">AU119+AT119+AS119+AR119</f>
        <v/>
      </c>
      <c r="AW119" s="1746">
        <f t="array" ref="AW119">AY22</f>
        <v/>
      </c>
      <c r="AX119" s="1747">
        <f t="array" ref="AX119">AZ22</f>
        <v/>
      </c>
      <c r="AY119" s="1747">
        <f t="array" ref="AY119">BB22</f>
        <v/>
      </c>
      <c r="AZ119" s="1747">
        <f t="array" ref="AZ119">BC22</f>
        <v/>
      </c>
      <c r="BA119" s="1887">
        <f t="array" ref="BA119">AZ119+AY119+AX119+AW119</f>
        <v/>
      </c>
      <c r="BB119" s="1746">
        <f t="array" ref="BB119">BD22</f>
        <v/>
      </c>
      <c r="BC119" s="1747">
        <f t="array" ref="BC119">BE22</f>
        <v/>
      </c>
      <c r="BD119" s="1747">
        <f t="array" ref="BD119">BG22</f>
        <v/>
      </c>
      <c r="BE119" s="1747">
        <f t="array" ref="BE119">BH22</f>
        <v/>
      </c>
      <c r="BF119" s="1887">
        <f t="array" ref="BF119">BE119+BD119+BC119+BB119</f>
        <v/>
      </c>
      <c r="BG119" s="1744">
        <f t="array" ref="BG119">BI22</f>
        <v/>
      </c>
      <c r="BH119" s="1744">
        <f t="array" ref="BH119">BJ22</f>
        <v/>
      </c>
      <c r="BI119" s="1744">
        <f t="array" ref="BI119">BL22</f>
        <v/>
      </c>
      <c r="BJ119" s="1744">
        <f t="array" ref="BJ119">BM22</f>
        <v/>
      </c>
      <c r="BK119" s="1744">
        <f t="array" ref="BK119">BJ119+BI119+BH119+BG119</f>
        <v/>
      </c>
      <c r="BL119" s="1744">
        <f t="array" ref="BL119">BN22</f>
        <v/>
      </c>
      <c r="BM119" s="1744">
        <f t="array" ref="BM119">BO22</f>
        <v/>
      </c>
      <c r="BN119" s="1744">
        <f t="array" ref="BN119">BQ22</f>
        <v/>
      </c>
      <c r="BO119" s="1744">
        <f t="array" ref="BO119">BR22</f>
        <v/>
      </c>
      <c r="BP119" s="1744">
        <f t="array" ref="BP119">BO119+BN119+BM119+BL119</f>
        <v/>
      </c>
      <c r="BQ119" s="1752" t="n"/>
      <c r="BR119" s="1752" t="n"/>
      <c r="BS119" s="1752" t="n"/>
      <c r="BT119" s="1752" t="n"/>
      <c r="BU119" s="1744" t="n"/>
      <c r="BV119" s="1752" t="n"/>
      <c r="BW119" s="1752" t="n"/>
      <c r="BX119" s="1752" t="n"/>
      <c r="BY119" s="1752" t="n"/>
      <c r="BZ119" s="1895" t="n"/>
      <c r="CA119" s="1896" t="n"/>
      <c r="CB119" s="369" t="n"/>
      <c r="CC119" s="701" t="n"/>
      <c r="CD119" s="701" t="n"/>
      <c r="CE119" s="701" t="n"/>
      <c r="CF119" s="701" t="n"/>
      <c r="CG119" s="701" t="n"/>
      <c r="CH119" s="701" t="n"/>
      <c r="CI119" s="701" t="n"/>
      <c r="CJ119" s="701" t="n"/>
      <c r="CK119" s="701" t="n"/>
      <c r="CL119" s="701" t="n"/>
      <c r="CM119" s="701" t="n"/>
      <c r="CN119" s="701" t="n"/>
      <c r="CO119" s="701" t="n"/>
      <c r="CP119" s="701" t="n"/>
      <c r="CQ119" s="701" t="n"/>
      <c r="CR119" s="701" t="n"/>
      <c r="CS119" s="701" t="n"/>
      <c r="CT119" s="701" t="n"/>
      <c r="CU119" s="701" t="n"/>
      <c r="CV119" s="701" t="n"/>
      <c r="CW119" s="30" t="n"/>
    </row>
    <row r="120" ht="12.75" customHeight="1" s="1676">
      <c r="A120" s="31" t="n"/>
      <c r="B120" s="103" t="inlineStr">
        <is>
          <t>Text_24</t>
        </is>
      </c>
      <c r="C120" s="610" t="n"/>
      <c r="D120" s="1886" t="n"/>
      <c r="E120" s="1886" t="n"/>
      <c r="F120" s="1886" t="n"/>
      <c r="G120" s="1886" t="n"/>
      <c r="H120" s="1891" t="n"/>
      <c r="I120" s="1752" t="n"/>
      <c r="J120" s="1752" t="n"/>
      <c r="K120" s="1752" t="n"/>
      <c r="L120" s="1752" t="n"/>
      <c r="M120" s="363" t="n"/>
      <c r="N120" s="363" t="n"/>
      <c r="O120" s="363" t="n"/>
      <c r="P120" s="363" t="n"/>
      <c r="Q120" s="363" t="n"/>
      <c r="R120" s="364" t="n"/>
      <c r="S120" s="370" t="n"/>
      <c r="T120" s="370" t="n"/>
      <c r="U120" s="370" t="n"/>
      <c r="V120" s="370" t="n"/>
      <c r="W120" s="370" t="n"/>
      <c r="X120" s="370">
        <f t="array" ref="X120">X119/S119-1</f>
        <v/>
      </c>
      <c r="Y120" s="370">
        <f t="array" ref="Y120">Y119/T119-1</f>
        <v/>
      </c>
      <c r="Z120" s="370">
        <f t="array" ref="Z120">Z119/U119-1</f>
        <v/>
      </c>
      <c r="AA120" s="370">
        <f t="array" ref="AA120">AA119/V119-1</f>
        <v/>
      </c>
      <c r="AB120" s="370">
        <f t="array" ref="AB120">AB119/W119-1</f>
        <v/>
      </c>
      <c r="AC120" s="370">
        <f t="array" ref="AC120">AC119/X119-1</f>
        <v/>
      </c>
      <c r="AD120" s="370">
        <f t="array" ref="AD120">AD119/Y119-1</f>
        <v/>
      </c>
      <c r="AE120" s="370">
        <f t="array" ref="AE120">AE119/Z119-1</f>
        <v/>
      </c>
      <c r="AF120" s="370">
        <f t="array" ref="AF120">AF119/AA119-1</f>
        <v/>
      </c>
      <c r="AG120" s="370">
        <f t="array" ref="AG120">AG119/AB119-1</f>
        <v/>
      </c>
      <c r="AH120" s="370">
        <f t="array" ref="AH120">AH119/AC119-1</f>
        <v/>
      </c>
      <c r="AI120" s="370">
        <f t="array" ref="AI120">AI119/AD119-1</f>
        <v/>
      </c>
      <c r="AJ120" s="370">
        <f t="array" ref="AJ120">AJ119/AE119-1</f>
        <v/>
      </c>
      <c r="AK120" s="370">
        <f t="array" ref="AK120">AK119/AF119-1</f>
        <v/>
      </c>
      <c r="AL120" s="370">
        <f t="array" ref="AL120">AL119/AG119-1</f>
        <v/>
      </c>
      <c r="AM120" s="370">
        <f t="array" ref="AM120">AM119/AH119-1</f>
        <v/>
      </c>
      <c r="AN120" s="370">
        <f t="array" ref="AN120">AN119/AI119-1</f>
        <v/>
      </c>
      <c r="AO120" s="370">
        <f t="array" ref="AO120">AO119/AJ119-1</f>
        <v/>
      </c>
      <c r="AP120" s="370">
        <f t="array" ref="AP120">AP119/AK119-1</f>
        <v/>
      </c>
      <c r="AQ120" s="370">
        <f t="array" ref="AQ120">AQ119/AL119-1</f>
        <v/>
      </c>
      <c r="AR120" s="370">
        <f t="array" ref="AR120">AR119/AM119-1</f>
        <v/>
      </c>
      <c r="AS120" s="370">
        <f t="array" ref="AS120">AS119/AN119-1</f>
        <v/>
      </c>
      <c r="AT120" s="370">
        <f t="array" ref="AT120">AT119/AO119-1</f>
        <v/>
      </c>
      <c r="AU120" s="370">
        <f t="array" ref="AU120">AU119/AP119-1</f>
        <v/>
      </c>
      <c r="AV120" s="370">
        <f t="array" ref="AV120">AV119/AQ119-1</f>
        <v/>
      </c>
      <c r="AW120" s="370">
        <f t="array" ref="AW120">AW119/AR119-1</f>
        <v/>
      </c>
      <c r="AX120" s="370">
        <f t="array" ref="AX120">AX119/AS119-1</f>
        <v/>
      </c>
      <c r="AY120" s="370">
        <f t="array" ref="AY120">AY119/AT119-1</f>
        <v/>
      </c>
      <c r="AZ120" s="371">
        <f t="array" ref="AZ120">AZ119/AU119-1</f>
        <v/>
      </c>
      <c r="BA120" s="370">
        <f t="array" ref="BA120">BA119/AV119-1</f>
        <v/>
      </c>
      <c r="BB120" s="371">
        <f t="array" ref="BB120">BB119/AW119-1</f>
        <v/>
      </c>
      <c r="BC120" s="371">
        <f t="array" ref="BC120">BC119/AX119-1</f>
        <v/>
      </c>
      <c r="BD120" s="371">
        <f t="array" ref="BD120">BD119/AY119-1</f>
        <v/>
      </c>
      <c r="BE120" s="371">
        <f t="array" ref="BE120">BE119/AZ119-1</f>
        <v/>
      </c>
      <c r="BF120" s="371">
        <f t="array" ref="BF120">BF119/BA119-1</f>
        <v/>
      </c>
      <c r="BG120" s="1897">
        <f t="array" ref="BG120">BA119*0.4</f>
        <v/>
      </c>
      <c r="BH120" s="1897">
        <f t="array" ref="BH120">BG120-BF119</f>
        <v/>
      </c>
      <c r="BI120" s="1897">
        <f t="array" ref="BI120">BF111+BH120</f>
        <v/>
      </c>
      <c r="BJ120" s="373">
        <f t="array" ref="BJ120">BI120/BF111-1</f>
        <v/>
      </c>
      <c r="BK120" s="370">
        <f t="array" ref="BK120">BK119/BF119-1</f>
        <v/>
      </c>
      <c r="BL120" s="1747" t="n"/>
      <c r="BM120" s="1747" t="n"/>
      <c r="BN120" s="1747" t="n"/>
      <c r="BO120" s="1747" t="n"/>
      <c r="BP120" s="370">
        <f t="array" ref="BP120">BP119/BK119-1</f>
        <v/>
      </c>
      <c r="BQ120" s="1755" t="n"/>
      <c r="BR120" s="1755" t="n"/>
      <c r="BS120" s="1755" t="n"/>
      <c r="BT120" s="1755" t="n"/>
      <c r="BU120" s="1747" t="n"/>
      <c r="BV120" s="1755" t="n"/>
      <c r="BW120" s="1755" t="n"/>
      <c r="BX120" s="1755" t="n"/>
      <c r="BY120" s="1755" t="n"/>
      <c r="BZ120" s="1898" t="n"/>
      <c r="CA120" s="1896" t="n"/>
      <c r="CB120" s="369" t="n"/>
      <c r="CC120" s="701" t="n"/>
      <c r="CD120" s="701" t="n"/>
      <c r="CE120" s="701" t="n"/>
      <c r="CF120" s="701" t="n"/>
      <c r="CG120" s="701" t="n"/>
      <c r="CH120" s="701" t="n"/>
      <c r="CI120" s="701" t="n"/>
      <c r="CJ120" s="701" t="n"/>
      <c r="CK120" s="701" t="n"/>
      <c r="CL120" s="701" t="n"/>
      <c r="CM120" s="701" t="n"/>
      <c r="CN120" s="701" t="n"/>
      <c r="CO120" s="701" t="n"/>
      <c r="CP120" s="701" t="n"/>
      <c r="CQ120" s="701" t="n"/>
      <c r="CR120" s="701" t="n"/>
      <c r="CS120" s="701" t="n"/>
      <c r="CT120" s="701" t="n"/>
      <c r="CU120" s="701" t="n"/>
      <c r="CV120" s="701" t="n"/>
      <c r="CW120" s="30" t="n"/>
    </row>
    <row r="121" ht="12.75" customHeight="1" s="1676">
      <c r="A121" s="74" t="n"/>
      <c r="B121" s="375" t="inlineStr">
        <is>
          <t>Text_100</t>
        </is>
      </c>
      <c r="C121" s="376" t="n"/>
      <c r="D121" s="1899" t="n"/>
      <c r="E121" s="1899" t="n"/>
      <c r="F121" s="1899" t="n"/>
      <c r="G121" s="1899" t="n"/>
      <c r="H121" s="1900" t="n"/>
      <c r="I121" s="1755" t="n"/>
      <c r="J121" s="1755" t="n"/>
      <c r="K121" s="1755" t="n"/>
      <c r="L121" s="1755" t="n"/>
      <c r="M121" s="365" t="n"/>
      <c r="N121" s="365" t="n"/>
      <c r="O121" s="365" t="n"/>
      <c r="P121" s="365" t="n"/>
      <c r="Q121" s="365" t="n"/>
      <c r="R121" s="365" t="n"/>
      <c r="S121" s="365">
        <f t="array" ref="S121">S119/S111</f>
        <v/>
      </c>
      <c r="T121" s="365">
        <f t="array" ref="T121">T119/T111</f>
        <v/>
      </c>
      <c r="U121" s="365">
        <f t="array" ref="U121">U119/U111</f>
        <v/>
      </c>
      <c r="V121" s="365">
        <f t="array" ref="V121">V119/V111</f>
        <v/>
      </c>
      <c r="W121" s="365">
        <f t="array" ref="W121">W119/W111</f>
        <v/>
      </c>
      <c r="X121" s="365">
        <f t="array" ref="X121">X119/X111</f>
        <v/>
      </c>
      <c r="Y121" s="365">
        <f t="array" ref="Y121">Y119/Y111</f>
        <v/>
      </c>
      <c r="Z121" s="365">
        <f t="array" ref="Z121">Z119/Z111</f>
        <v/>
      </c>
      <c r="AA121" s="365">
        <f t="array" ref="AA121">AA119/AA111</f>
        <v/>
      </c>
      <c r="AB121" s="365">
        <f t="array" ref="AB121">AB119/AB111</f>
        <v/>
      </c>
      <c r="AC121" s="365">
        <f t="array" ref="AC121">AC119/AC111</f>
        <v/>
      </c>
      <c r="AD121" s="365">
        <f t="array" ref="AD121">AD119/AD111</f>
        <v/>
      </c>
      <c r="AE121" s="365">
        <f t="array" ref="AE121">AE119/AE111</f>
        <v/>
      </c>
      <c r="AF121" s="365">
        <f t="array" ref="AF121">AF119/AF111</f>
        <v/>
      </c>
      <c r="AG121" s="365">
        <f t="array" ref="AG121">AG119/AG111</f>
        <v/>
      </c>
      <c r="AH121" s="365">
        <f t="array" ref="AH121">AH119/AH111</f>
        <v/>
      </c>
      <c r="AI121" s="365">
        <f t="array" ref="AI121">AI119/AI111</f>
        <v/>
      </c>
      <c r="AJ121" s="365">
        <f t="array" ref="AJ121">AJ119/AJ111</f>
        <v/>
      </c>
      <c r="AK121" s="365">
        <f t="array" ref="AK121">AK119/AK111</f>
        <v/>
      </c>
      <c r="AL121" s="365">
        <f t="array" ref="AL121">AL119/AL111</f>
        <v/>
      </c>
      <c r="AM121" s="365">
        <f t="array" ref="AM121">AM119/AM111</f>
        <v/>
      </c>
      <c r="AN121" s="365">
        <f t="array" ref="AN121">AN119/AN111</f>
        <v/>
      </c>
      <c r="AO121" s="365">
        <f t="array" ref="AO121">AO119/AO111</f>
        <v/>
      </c>
      <c r="AP121" s="365">
        <f t="array" ref="AP121">AP119/AP111</f>
        <v/>
      </c>
      <c r="AQ121" s="365">
        <f t="array" ref="AQ121">AQ119/AQ111</f>
        <v/>
      </c>
      <c r="AR121" s="365">
        <f t="array" ref="AR121">AR119/AR111</f>
        <v/>
      </c>
      <c r="AS121" s="365">
        <f t="array" ref="AS121">AS119/AS111</f>
        <v/>
      </c>
      <c r="AT121" s="365">
        <f t="array" ref="AT121">AT119/AT111</f>
        <v/>
      </c>
      <c r="AU121" s="365">
        <f t="array" ref="AU121">AU119/AU111</f>
        <v/>
      </c>
      <c r="AV121" s="365">
        <f t="array" ref="AV121">AV119/AV111</f>
        <v/>
      </c>
      <c r="AW121" s="365">
        <f t="array" ref="AW121">AW119/AW111</f>
        <v/>
      </c>
      <c r="AX121" s="365">
        <f t="array" ref="AX121">AX119/AX111</f>
        <v/>
      </c>
      <c r="AY121" s="365">
        <f t="array" ref="AY121">AY119/AY111</f>
        <v/>
      </c>
      <c r="AZ121" s="365">
        <f t="array" ref="AZ121">AZ119/AZ111</f>
        <v/>
      </c>
      <c r="BA121" s="365">
        <f t="array" ref="BA121">BA119/BA111</f>
        <v/>
      </c>
      <c r="BB121" s="365">
        <f t="array" ref="BB121">BB119/BB111</f>
        <v/>
      </c>
      <c r="BC121" s="365">
        <f t="array" ref="BC121">BC119/BC111</f>
        <v/>
      </c>
      <c r="BD121" s="365">
        <f t="array" ref="BD121">BD119/BD111</f>
        <v/>
      </c>
      <c r="BE121" s="365">
        <f t="array" ref="BE121">BE119/BE111</f>
        <v/>
      </c>
      <c r="BF121" s="365">
        <f t="array" ref="BF121">BF119/BF111</f>
        <v/>
      </c>
      <c r="BG121" s="365">
        <f t="array" ref="BG121">BG119/BG111</f>
        <v/>
      </c>
      <c r="BH121" s="365">
        <f t="array" ref="BH121">BH119/BH111</f>
        <v/>
      </c>
      <c r="BI121" s="379">
        <f t="array" ref="BI121">BG120/BI120</f>
        <v/>
      </c>
      <c r="BJ121" s="365">
        <f t="array" ref="BJ121">BJ120*1.5</f>
        <v/>
      </c>
      <c r="BK121" s="365">
        <f t="array" ref="BK121">BK119/BK111</f>
        <v/>
      </c>
      <c r="BL121" s="1755" t="n"/>
      <c r="BM121" s="1755" t="n"/>
      <c r="BN121" s="365" t="n"/>
      <c r="BO121" s="1755" t="n"/>
      <c r="BP121" s="365">
        <f t="array" ref="BP121">BP119/BP111</f>
        <v/>
      </c>
      <c r="BQ121" s="1755" t="n"/>
      <c r="BR121" s="1755" t="n"/>
      <c r="BS121" s="1755" t="n"/>
      <c r="BT121" s="1755" t="n"/>
      <c r="BU121" s="365" t="n"/>
      <c r="BV121" s="1755" t="n"/>
      <c r="BW121" s="1755" t="n"/>
      <c r="BX121" s="1755" t="n"/>
      <c r="BY121" s="1755" t="n"/>
      <c r="BZ121" s="1898" t="n"/>
      <c r="CA121" s="1896" t="n"/>
      <c r="CB121" s="369" t="n"/>
      <c r="CC121" s="701" t="n"/>
      <c r="CD121" s="701" t="n"/>
      <c r="CE121" s="701" t="n"/>
      <c r="CF121" s="701" t="n"/>
      <c r="CG121" s="701" t="n"/>
      <c r="CH121" s="701" t="n"/>
      <c r="CI121" s="701" t="n"/>
      <c r="CJ121" s="701" t="n"/>
      <c r="CK121" s="701" t="n"/>
      <c r="CL121" s="701" t="n"/>
      <c r="CM121" s="701" t="n"/>
      <c r="CN121" s="701" t="n"/>
      <c r="CO121" s="701" t="n"/>
      <c r="CP121" s="701" t="n"/>
      <c r="CQ121" s="701" t="n"/>
      <c r="CR121" s="701" t="n"/>
      <c r="CS121" s="701" t="n"/>
      <c r="CT121" s="701" t="n"/>
      <c r="CU121" s="701" t="n"/>
      <c r="CV121" s="701" t="n"/>
      <c r="CW121" s="30" t="n"/>
    </row>
    <row r="122" ht="12" customHeight="1" s="1676">
      <c r="A122" s="31" t="n"/>
      <c r="B122" s="180" t="inlineStr">
        <is>
          <t>Text_101</t>
        </is>
      </c>
      <c r="C122" s="699" t="n"/>
      <c r="D122" s="1760" t="n"/>
      <c r="E122" s="1760" t="n"/>
      <c r="F122" s="1760" t="n"/>
      <c r="G122" s="1760" t="n"/>
      <c r="H122" s="1760" t="n"/>
      <c r="I122" s="268" t="inlineStr">
        <is>
          <t>Q116</t>
        </is>
      </c>
      <c r="J122" s="268" t="inlineStr">
        <is>
          <t>Q162</t>
        </is>
      </c>
      <c r="K122" s="268" t="inlineStr">
        <is>
          <t>Q316</t>
        </is>
      </c>
      <c r="L122" s="268" t="inlineStr">
        <is>
          <t>Q416</t>
        </is>
      </c>
      <c r="M122" s="268" t="inlineStr">
        <is>
          <t>CY16</t>
        </is>
      </c>
      <c r="N122" s="268" t="inlineStr">
        <is>
          <t>Q117</t>
        </is>
      </c>
      <c r="O122" s="268" t="inlineStr">
        <is>
          <t>Q172</t>
        </is>
      </c>
      <c r="P122" s="268" t="inlineStr">
        <is>
          <t>Q317</t>
        </is>
      </c>
      <c r="Q122" s="268" t="inlineStr">
        <is>
          <t>Q417</t>
        </is>
      </c>
      <c r="R122" s="268" t="inlineStr">
        <is>
          <t>CY17</t>
        </is>
      </c>
      <c r="S122" s="268" t="inlineStr">
        <is>
          <t>Q118</t>
        </is>
      </c>
      <c r="T122" s="268" t="inlineStr">
        <is>
          <t>Q182</t>
        </is>
      </c>
      <c r="U122" s="268" t="inlineStr">
        <is>
          <t>Q318</t>
        </is>
      </c>
      <c r="V122" s="268" t="inlineStr">
        <is>
          <t>Q418</t>
        </is>
      </c>
      <c r="W122" s="268" t="inlineStr">
        <is>
          <t>CY18</t>
        </is>
      </c>
      <c r="X122" s="268" t="inlineStr">
        <is>
          <t>Q119</t>
        </is>
      </c>
      <c r="Y122" s="268" t="inlineStr">
        <is>
          <t>Q192</t>
        </is>
      </c>
      <c r="Z122" s="268" t="inlineStr">
        <is>
          <t>Q319</t>
        </is>
      </c>
      <c r="AA122" s="268" t="inlineStr">
        <is>
          <t>Q419</t>
        </is>
      </c>
      <c r="AB122" s="268" t="inlineStr">
        <is>
          <t>CY19</t>
        </is>
      </c>
      <c r="AC122" s="268" t="inlineStr">
        <is>
          <t>Q120</t>
        </is>
      </c>
      <c r="AD122" s="268" t="inlineStr">
        <is>
          <t>Q202</t>
        </is>
      </c>
      <c r="AE122" s="268" t="inlineStr">
        <is>
          <t>Q320</t>
        </is>
      </c>
      <c r="AF122" s="268" t="inlineStr">
        <is>
          <t>Q420</t>
        </is>
      </c>
      <c r="AG122" s="268" t="inlineStr">
        <is>
          <t>CY20</t>
        </is>
      </c>
      <c r="AH122" s="268" t="inlineStr">
        <is>
          <t>Q121</t>
        </is>
      </c>
      <c r="AI122" s="268" t="inlineStr">
        <is>
          <t>Q212</t>
        </is>
      </c>
      <c r="AJ122" s="268" t="inlineStr">
        <is>
          <t>Q321</t>
        </is>
      </c>
      <c r="AK122" s="268" t="inlineStr">
        <is>
          <t>Q421</t>
        </is>
      </c>
      <c r="AL122" s="268" t="inlineStr">
        <is>
          <t>CY21</t>
        </is>
      </c>
      <c r="AM122" s="268" t="inlineStr">
        <is>
          <t>Q122</t>
        </is>
      </c>
      <c r="AN122" s="268" t="inlineStr">
        <is>
          <t>Q222</t>
        </is>
      </c>
      <c r="AO122" s="268" t="inlineStr">
        <is>
          <t>Q322</t>
        </is>
      </c>
      <c r="AP122" s="268" t="inlineStr">
        <is>
          <t>Q422</t>
        </is>
      </c>
      <c r="AQ122" s="268" t="inlineStr">
        <is>
          <t>CY22</t>
        </is>
      </c>
      <c r="AR122" s="268" t="inlineStr">
        <is>
          <t>Q123</t>
        </is>
      </c>
      <c r="AS122" s="268" t="inlineStr">
        <is>
          <t>Q223</t>
        </is>
      </c>
      <c r="AT122" s="268" t="inlineStr">
        <is>
          <t>Q323</t>
        </is>
      </c>
      <c r="AU122" s="268" t="inlineStr">
        <is>
          <t>Q423</t>
        </is>
      </c>
      <c r="AV122" s="268" t="inlineStr">
        <is>
          <t>CY23E</t>
        </is>
      </c>
      <c r="AW122" s="268" t="inlineStr">
        <is>
          <t>Q124</t>
        </is>
      </c>
      <c r="AX122" s="268" t="inlineStr">
        <is>
          <t>Q224</t>
        </is>
      </c>
      <c r="AY122" s="268" t="inlineStr">
        <is>
          <t>Q324</t>
        </is>
      </c>
      <c r="AZ122" s="268" t="inlineStr">
        <is>
          <t>Q424</t>
        </is>
      </c>
      <c r="BA122" s="268" t="inlineStr">
        <is>
          <t>CY24E</t>
        </is>
      </c>
      <c r="BB122" s="1760" t="n"/>
      <c r="BC122" s="1760" t="n"/>
      <c r="BD122" s="1760" t="n"/>
      <c r="BE122" s="1760" t="n"/>
      <c r="BF122" s="268" t="inlineStr">
        <is>
          <t>CY25E</t>
        </is>
      </c>
      <c r="BG122" s="1818" t="n"/>
      <c r="BH122" s="1818" t="n"/>
      <c r="BI122" s="1818" t="n"/>
      <c r="BJ122" s="1818" t="n"/>
      <c r="BK122" s="268" t="inlineStr">
        <is>
          <t>CY26E</t>
        </is>
      </c>
      <c r="BL122" s="1818" t="n"/>
      <c r="BM122" s="1818" t="n"/>
      <c r="BN122" s="1818" t="n"/>
      <c r="BO122" s="1818" t="n"/>
      <c r="BP122" s="268" t="inlineStr">
        <is>
          <t>CY27E</t>
        </is>
      </c>
      <c r="BQ122" s="1818" t="n"/>
      <c r="BR122" s="1818" t="n"/>
      <c r="BS122" s="1818" t="n"/>
      <c r="BT122" s="1818" t="n"/>
      <c r="BU122" s="268" t="inlineStr">
        <is>
          <t>CY28E</t>
        </is>
      </c>
      <c r="BV122" s="1818" t="n"/>
      <c r="BW122" s="1818" t="n"/>
      <c r="BX122" s="1818" t="n"/>
      <c r="BY122" s="1818" t="n"/>
      <c r="BZ122" s="268" t="inlineStr">
        <is>
          <t>CY28E</t>
        </is>
      </c>
      <c r="CA122" s="1760" t="n"/>
      <c r="CB122" s="380" t="inlineStr">
        <is>
          <t>Text_102</t>
        </is>
      </c>
      <c r="CC122" s="701" t="n"/>
      <c r="CD122" s="701" t="n"/>
      <c r="CE122" s="701" t="n"/>
      <c r="CF122" s="701" t="n"/>
      <c r="CG122" s="701" t="n"/>
      <c r="CH122" s="381" t="n"/>
      <c r="CI122" s="268" t="inlineStr">
        <is>
          <t>CY19</t>
        </is>
      </c>
      <c r="CJ122" s="268" t="inlineStr">
        <is>
          <t>CY20</t>
        </is>
      </c>
      <c r="CK122" s="268" t="inlineStr">
        <is>
          <t>CY21</t>
        </is>
      </c>
      <c r="CL122" s="268" t="inlineStr">
        <is>
          <t>CY22</t>
        </is>
      </c>
      <c r="CM122" s="268" t="inlineStr">
        <is>
          <t>CY23</t>
        </is>
      </c>
      <c r="CN122" s="268" t="inlineStr">
        <is>
          <t>CY24</t>
        </is>
      </c>
      <c r="CO122" s="268" t="inlineStr">
        <is>
          <t>CY25</t>
        </is>
      </c>
      <c r="CP122" s="268" t="inlineStr">
        <is>
          <t>CY26</t>
        </is>
      </c>
      <c r="CQ122" s="268" t="inlineStr">
        <is>
          <t>CY27</t>
        </is>
      </c>
      <c r="CR122" s="382" t="inlineStr">
        <is>
          <t>CY28</t>
        </is>
      </c>
      <c r="CS122" s="701" t="n"/>
      <c r="CT122" s="701" t="n"/>
      <c r="CU122" s="701" t="n"/>
      <c r="CV122" s="701" t="n"/>
      <c r="CW122" s="30" t="n"/>
    </row>
    <row r="123" ht="12.75" customHeight="1" s="1676">
      <c r="A123" s="31" t="n"/>
      <c r="B123" s="183" t="inlineStr">
        <is>
          <t>Text_103</t>
        </is>
      </c>
      <c r="C123" s="699" t="n"/>
      <c r="D123" s="1860" t="n"/>
      <c r="E123" s="1860" t="n"/>
      <c r="F123" s="1860" t="n"/>
      <c r="G123" s="1860" t="n"/>
      <c r="H123" s="1861" t="n"/>
      <c r="I123" s="1861" t="n">
        <v>3379.77933545078</v>
      </c>
      <c r="J123" s="1861" t="n">
        <v>4214.19983777915</v>
      </c>
      <c r="K123" s="1861" t="n">
        <v>8308.638464201211</v>
      </c>
      <c r="L123" s="1714" t="n">
        <v>5678.56339668954</v>
      </c>
      <c r="M123" s="1861" t="n">
        <v>22761.2114456735</v>
      </c>
      <c r="N123" s="1861" t="n">
        <v>5406.1941124</v>
      </c>
      <c r="O123" s="1861" t="n">
        <v>6764.41854159418</v>
      </c>
      <c r="P123" s="1861" t="n">
        <v>6336.80180070699</v>
      </c>
      <c r="Q123" s="1714" t="n">
        <v>6097.3706335197</v>
      </c>
      <c r="R123" s="1861" t="n">
        <v>29855.5337356596</v>
      </c>
      <c r="S123" s="1713" t="n">
        <v>5428.51070200438</v>
      </c>
      <c r="T123" s="1713" t="n">
        <v>7038.91327882377</v>
      </c>
      <c r="U123" s="1713" t="n">
        <v>5223.66342689153</v>
      </c>
      <c r="V123" s="1713" t="n">
        <v>6061.09128757409</v>
      </c>
      <c r="W123" s="1861" t="n">
        <v>25348.3360201969</v>
      </c>
      <c r="X123" s="1713" t="n">
        <v>8451.94876058163</v>
      </c>
      <c r="Y123" s="1713" t="n">
        <v>6741.87739987377</v>
      </c>
      <c r="Z123" s="1713" t="n">
        <v>9034.78532437689</v>
      </c>
      <c r="AA123" s="1713" t="n">
        <v>10094.6226244215</v>
      </c>
      <c r="AB123" s="1861" t="n">
        <v>37285.4106774162</v>
      </c>
      <c r="AC123" s="1861" t="n">
        <v>7766.44793646355</v>
      </c>
      <c r="AD123" s="1861" t="n">
        <v>7962.36474759122</v>
      </c>
      <c r="AE123" s="1861" t="n">
        <v>11127.6867642076</v>
      </c>
      <c r="AF123" s="1861" t="n">
        <v>12707.9546879388</v>
      </c>
      <c r="AG123" s="1861" t="n">
        <v>36043.153970275</v>
      </c>
      <c r="AH123" s="1861" t="n">
        <v>10466.1587496714</v>
      </c>
      <c r="AI123" s="1861" t="n">
        <v>14318.9617871386</v>
      </c>
      <c r="AJ123" s="1861" t="n">
        <v>13120.2581859721</v>
      </c>
      <c r="AK123" s="1714" t="n">
        <v>15437.2893049363</v>
      </c>
      <c r="AL123" s="1861" t="n">
        <v>47713.0660512517</v>
      </c>
      <c r="AM123" s="1861" t="n">
        <v>12377.9893600071</v>
      </c>
      <c r="AN123" s="1861" t="n">
        <v>15505.9712934149</v>
      </c>
      <c r="AO123" s="1861" t="n">
        <v>14465.6602746078</v>
      </c>
      <c r="AP123" s="1714" t="n">
        <v>17244.7426206225</v>
      </c>
      <c r="AQ123" s="1861" t="n">
        <v>54516.8220453669</v>
      </c>
      <c r="AR123" s="1861" t="n"/>
      <c r="AS123" s="1861" t="n"/>
      <c r="AT123" s="1861" t="n"/>
      <c r="AU123" s="1714" t="n"/>
      <c r="AV123" s="1862" t="n">
        <v>59580.3649473953</v>
      </c>
      <c r="AW123" s="1863" t="n"/>
      <c r="AX123" s="1864" t="n"/>
      <c r="AY123" s="1864" t="n"/>
      <c r="AZ123" s="1850" t="n"/>
      <c r="BA123" s="1748">
        <f t="array" ref="BA123">BA126+BA130</f>
        <v/>
      </c>
      <c r="BB123" s="1863" t="n"/>
      <c r="BC123" s="1864" t="n"/>
      <c r="BD123" s="1864" t="n"/>
      <c r="BE123" s="1850" t="n"/>
      <c r="BF123" s="1748">
        <f t="array" ref="BF123">BF126+BF130</f>
        <v/>
      </c>
      <c r="BG123" s="1861" t="n"/>
      <c r="BH123" s="1861" t="n"/>
      <c r="BI123" s="1861" t="n"/>
      <c r="BJ123" s="1714" t="n"/>
      <c r="BK123" s="1745">
        <f t="array" ref="BK123">BK126+BK130</f>
        <v/>
      </c>
      <c r="BL123" s="1714" t="n"/>
      <c r="BM123" s="1714" t="n"/>
      <c r="BN123" s="1714" t="n"/>
      <c r="BO123" s="1714" t="n"/>
      <c r="BP123" s="1745">
        <f t="array" ref="BP123">BP126+BP130</f>
        <v/>
      </c>
      <c r="BQ123" s="1714" t="n"/>
      <c r="BR123" s="1714" t="n"/>
      <c r="BS123" s="1714" t="n"/>
      <c r="BT123" s="1714" t="n"/>
      <c r="BU123" s="1745">
        <f t="array" ref="BU123">BU126+BU130</f>
        <v/>
      </c>
      <c r="BV123" s="1714" t="n"/>
      <c r="BW123" s="1714" t="n"/>
      <c r="BX123" s="1714" t="n"/>
      <c r="BY123" s="1714" t="n"/>
      <c r="BZ123" s="1745">
        <f t="array" ref="BZ123">BZ126+BZ130</f>
        <v/>
      </c>
      <c r="CA123" s="383" t="inlineStr">
        <is>
          <t>Text_104</t>
        </is>
      </c>
      <c r="CB123" s="384">
        <f t="array" ref="CB123">(BU123/AV123)^(1/5)-1</f>
        <v/>
      </c>
      <c r="CC123" s="701" t="n"/>
      <c r="CD123" s="701" t="n"/>
      <c r="CE123" s="701" t="n"/>
      <c r="CF123" s="701" t="n"/>
      <c r="CG123" s="701" t="n"/>
      <c r="CH123" s="385" t="inlineStr">
        <is>
          <t>Text_105</t>
        </is>
      </c>
      <c r="CI123" s="1850">
        <f t="array" ref="CI123">AB126</f>
        <v/>
      </c>
      <c r="CJ123" s="1850">
        <f t="array" ref="CJ123">AG126</f>
        <v/>
      </c>
      <c r="CK123" s="1850">
        <f t="array" ref="CK123">AL126</f>
        <v/>
      </c>
      <c r="CL123" s="1850">
        <f t="array" ref="CL123">AQ126</f>
        <v/>
      </c>
      <c r="CM123" s="1874">
        <f t="array" ref="CM123">AV126</f>
        <v/>
      </c>
      <c r="CN123" s="1874">
        <f t="array" ref="CN123">BA126</f>
        <v/>
      </c>
      <c r="CO123" s="1874">
        <f t="array" ref="CO123">BF126</f>
        <v/>
      </c>
      <c r="CP123" s="1874">
        <f t="array" ref="CP123">BK126</f>
        <v/>
      </c>
      <c r="CQ123" s="701" t="n"/>
      <c r="CR123" s="701" t="n"/>
      <c r="CS123" s="701" t="n"/>
      <c r="CT123" s="701" t="n"/>
      <c r="CU123" s="701" t="n"/>
      <c r="CV123" s="701" t="n"/>
      <c r="CW123" s="30" t="n"/>
    </row>
    <row r="124" ht="13.15" customHeight="1" s="1676">
      <c r="A124" s="31" t="n"/>
      <c r="B124" s="103" t="inlineStr">
        <is>
          <t>Text_24</t>
        </is>
      </c>
      <c r="C124" s="699" t="n"/>
      <c r="D124" s="1782" t="n"/>
      <c r="E124" s="1782" t="n"/>
      <c r="F124" s="1782" t="n"/>
      <c r="G124" s="1782" t="n"/>
      <c r="H124" s="1751" t="n"/>
      <c r="I124" s="1751" t="n"/>
      <c r="J124" s="1751" t="n"/>
      <c r="K124" s="1751" t="n"/>
      <c r="L124" s="1751" t="n"/>
      <c r="M124" s="1751">
        <f t="array" ref="M124">M123/H123-1</f>
        <v/>
      </c>
      <c r="N124" s="1751" t="n"/>
      <c r="O124" s="1751" t="n"/>
      <c r="P124" s="1751" t="n"/>
      <c r="Q124" s="1751" t="n"/>
      <c r="R124" s="1751">
        <f t="array" ref="R124">R123/M123-1</f>
        <v/>
      </c>
      <c r="S124" s="1853" t="n"/>
      <c r="T124" s="1853" t="n"/>
      <c r="U124" s="1853" t="n"/>
      <c r="V124" s="1853" t="n"/>
      <c r="W124" s="1751">
        <f t="array" ref="W124">W123/R123-1</f>
        <v/>
      </c>
      <c r="X124" s="1853" t="n"/>
      <c r="Y124" s="1853" t="n"/>
      <c r="Z124" s="1853" t="n"/>
      <c r="AA124" s="1853" t="n"/>
      <c r="AB124" s="1751">
        <f t="array" ref="AB124">AB123/W123-1</f>
        <v/>
      </c>
      <c r="AC124" s="1751" t="n"/>
      <c r="AD124" s="1751" t="n"/>
      <c r="AE124" s="1751" t="n"/>
      <c r="AF124" s="1751" t="n"/>
      <c r="AG124" s="1751">
        <f t="array" ref="AG124">AG123/AB123-1</f>
        <v/>
      </c>
      <c r="AH124" s="1751" t="n"/>
      <c r="AI124" s="1751" t="n"/>
      <c r="AJ124" s="1751" t="n"/>
      <c r="AK124" s="1751" t="n"/>
      <c r="AL124" s="1751">
        <f t="array" ref="AL124">AL123/AG123-1</f>
        <v/>
      </c>
      <c r="AM124" s="1751" t="n"/>
      <c r="AN124" s="1751" t="n"/>
      <c r="AO124" s="1751" t="n"/>
      <c r="AP124" s="1751" t="n"/>
      <c r="AQ124" s="1751">
        <f t="array" ref="AQ124">AQ123/AL123-1</f>
        <v/>
      </c>
      <c r="AR124" s="1751" t="n"/>
      <c r="AS124" s="1751" t="n"/>
      <c r="AT124" s="1751" t="n"/>
      <c r="AU124" s="1751" t="n"/>
      <c r="AV124" s="1751">
        <f t="array" ref="AV124">AV123/AQ123-1</f>
        <v/>
      </c>
      <c r="AW124" s="1749" t="n"/>
      <c r="AX124" s="122" t="n"/>
      <c r="AY124" s="1750" t="n"/>
      <c r="AZ124" s="1750" t="n"/>
      <c r="BA124" s="1784">
        <f t="array" ref="BA124">BA123/AV123-1</f>
        <v/>
      </c>
      <c r="BB124" s="1749" t="n"/>
      <c r="BC124" s="122" t="n"/>
      <c r="BD124" s="1750" t="n"/>
      <c r="BE124" s="1750" t="n"/>
      <c r="BF124" s="1784">
        <f t="array" ref="BF124">BF123/BA123-1</f>
        <v/>
      </c>
      <c r="BG124" s="1751" t="n"/>
      <c r="BH124" s="117" t="n"/>
      <c r="BI124" s="1751" t="n"/>
      <c r="BJ124" s="1751" t="n"/>
      <c r="BK124" s="1751">
        <f t="array" ref="BK124">BK123/BF123-1</f>
        <v/>
      </c>
      <c r="BL124" s="1751" t="n"/>
      <c r="BM124" s="117" t="n"/>
      <c r="BN124" s="1751" t="n"/>
      <c r="BO124" s="1751" t="n"/>
      <c r="BP124" s="1751">
        <f t="array" ref="BP124">BP123/BK123-1</f>
        <v/>
      </c>
      <c r="BQ124" s="1751" t="n"/>
      <c r="BR124" s="117" t="n"/>
      <c r="BS124" s="1751" t="n"/>
      <c r="BT124" s="1751" t="n"/>
      <c r="BU124" s="1751">
        <f t="array" ref="BU124">BU123/BP123-1</f>
        <v/>
      </c>
      <c r="BV124" s="1751" t="n"/>
      <c r="BW124" s="117" t="n"/>
      <c r="BX124" s="1751" t="n"/>
      <c r="BY124" s="1751" t="n"/>
      <c r="BZ124" s="1751">
        <f t="array" ref="BZ124">BZ123/BU123-1</f>
        <v/>
      </c>
      <c r="CA124" s="386" t="inlineStr">
        <is>
          <t>Text_106</t>
        </is>
      </c>
      <c r="CB124" s="456" t="n"/>
      <c r="CC124" s="701" t="n"/>
      <c r="CD124" s="701" t="n"/>
      <c r="CE124" s="701" t="n"/>
      <c r="CF124" s="701" t="n"/>
      <c r="CG124" s="701" t="n"/>
      <c r="CH124" s="385" t="inlineStr">
        <is>
          <t>Text_107</t>
        </is>
      </c>
      <c r="CI124" s="1850">
        <f t="array" ref="CI124">AB130</f>
        <v/>
      </c>
      <c r="CJ124" s="1850">
        <f t="array" ref="CJ124">AG130</f>
        <v/>
      </c>
      <c r="CK124" s="1850">
        <f t="array" ref="CK124">AL130</f>
        <v/>
      </c>
      <c r="CL124" s="1850">
        <f t="array" ref="CL124">AQ130</f>
        <v/>
      </c>
      <c r="CM124" s="1850">
        <f t="array" ref="CM124">AV130</f>
        <v/>
      </c>
      <c r="CN124" s="1874">
        <f t="array" ref="CN124">BA130</f>
        <v/>
      </c>
      <c r="CO124" s="1874">
        <f t="array" ref="CO124">BF130</f>
        <v/>
      </c>
      <c r="CP124" s="1874">
        <f t="array" ref="CP124">BK130</f>
        <v/>
      </c>
      <c r="CQ124" s="701" t="n"/>
      <c r="CR124" s="701" t="n"/>
      <c r="CS124" s="701" t="n"/>
      <c r="CT124" s="701" t="n"/>
      <c r="CU124" s="701" t="n"/>
      <c r="CV124" s="701" t="n"/>
      <c r="CW124" s="30" t="n"/>
    </row>
    <row r="125" ht="13.15" customHeight="1" s="1676">
      <c r="A125" s="31" t="n"/>
      <c r="B125" s="167" t="inlineStr">
        <is>
          <t>Text_91</t>
        </is>
      </c>
      <c r="C125" s="699" t="n"/>
      <c r="D125" s="1782" t="n"/>
      <c r="E125" s="1782" t="n"/>
      <c r="F125" s="1782" t="n"/>
      <c r="G125" s="1782" t="n"/>
      <c r="H125" s="1751" t="n"/>
      <c r="I125" s="1751" t="n"/>
      <c r="J125" s="1751" t="n"/>
      <c r="K125" s="1751" t="n"/>
      <c r="L125" s="1751" t="n"/>
      <c r="M125" s="192">
        <f t="array" ref="M125">M123/M$101</f>
        <v/>
      </c>
      <c r="N125" s="1751" t="n"/>
      <c r="O125" s="1751" t="n"/>
      <c r="P125" s="1751" t="n"/>
      <c r="Q125" s="1751" t="n"/>
      <c r="R125" s="192">
        <f t="array" ref="R125">R123/R$101</f>
        <v/>
      </c>
      <c r="S125" s="1853" t="n"/>
      <c r="T125" s="1853" t="n"/>
      <c r="U125" s="1853" t="n"/>
      <c r="V125" s="1853" t="n"/>
      <c r="W125" s="192">
        <f t="array" ref="W125">W123/W$101</f>
        <v/>
      </c>
      <c r="X125" s="1853" t="n"/>
      <c r="Y125" s="1853" t="n"/>
      <c r="Z125" s="1853" t="n"/>
      <c r="AA125" s="1853" t="n"/>
      <c r="AB125" s="192">
        <f t="array" ref="AB125">AB123/AB$101</f>
        <v/>
      </c>
      <c r="AC125" s="1751" t="n"/>
      <c r="AD125" s="1751" t="n"/>
      <c r="AE125" s="1751" t="n"/>
      <c r="AF125" s="1751" t="n"/>
      <c r="AG125" s="192">
        <f t="array" ref="AG125">AG123/AG$101</f>
        <v/>
      </c>
      <c r="AH125" s="1751" t="n"/>
      <c r="AI125" s="1751" t="n"/>
      <c r="AJ125" s="1751" t="n"/>
      <c r="AK125" s="1751" t="n"/>
      <c r="AL125" s="192">
        <f t="array" ref="AL125">AL123/AL$101</f>
        <v/>
      </c>
      <c r="AM125" s="1751" t="n"/>
      <c r="AN125" s="1751" t="n"/>
      <c r="AO125" s="1751" t="n"/>
      <c r="AP125" s="1751" t="n"/>
      <c r="AQ125" s="192">
        <f t="array" ref="AQ125">AQ123/AQ$101</f>
        <v/>
      </c>
      <c r="AR125" s="192" t="n"/>
      <c r="AS125" s="192" t="n"/>
      <c r="AT125" s="192" t="n"/>
      <c r="AU125" s="192" t="n"/>
      <c r="AV125" s="192">
        <f t="array" ref="AV125">AV123/AV$101</f>
        <v/>
      </c>
      <c r="AW125" s="193" t="n"/>
      <c r="AX125" s="122" t="n"/>
      <c r="AY125" s="194" t="n"/>
      <c r="AZ125" s="194" t="n"/>
      <c r="BA125" s="387">
        <f t="array" ref="BA125">BA123/BA$101</f>
        <v/>
      </c>
      <c r="BB125" s="193" t="n"/>
      <c r="BC125" s="122" t="n"/>
      <c r="BD125" s="194" t="n"/>
      <c r="BE125" s="194" t="n"/>
      <c r="BF125" s="387">
        <f t="array" ref="BF125">BF123/BF$101</f>
        <v/>
      </c>
      <c r="BG125" s="1751" t="n"/>
      <c r="BH125" s="117" t="n"/>
      <c r="BI125" s="1751" t="n"/>
      <c r="BJ125" s="1751" t="n"/>
      <c r="BK125" s="192">
        <f t="array" ref="BK125">BK123/BK$101</f>
        <v/>
      </c>
      <c r="BL125" s="1751" t="n"/>
      <c r="BM125" s="117" t="n"/>
      <c r="BN125" s="1751" t="n"/>
      <c r="BO125" s="1751" t="n"/>
      <c r="BP125" s="192">
        <f t="array" ref="BP125">BP123/BP$101</f>
        <v/>
      </c>
      <c r="BQ125" s="1751" t="n"/>
      <c r="BR125" s="117" t="n"/>
      <c r="BS125" s="1751" t="n"/>
      <c r="BT125" s="1751" t="n"/>
      <c r="BU125" s="192">
        <f t="array" ref="BU125">BU123/BU$101</f>
        <v/>
      </c>
      <c r="BV125" s="1751" t="n"/>
      <c r="BW125" s="117" t="n"/>
      <c r="BX125" s="1751" t="n"/>
      <c r="BY125" s="1751" t="n"/>
      <c r="BZ125" s="192">
        <f t="array" ref="BZ125">BZ123/BZ$101</f>
        <v/>
      </c>
      <c r="CA125" s="1686" t="n"/>
      <c r="CB125" s="319" t="n"/>
      <c r="CC125" s="701" t="n"/>
      <c r="CD125" s="701" t="n"/>
      <c r="CE125" s="701" t="n"/>
      <c r="CF125" s="701" t="n"/>
      <c r="CG125" s="701" t="n"/>
      <c r="CH125" s="385" t="inlineStr">
        <is>
          <t>Text_108</t>
        </is>
      </c>
      <c r="CI125" s="1850">
        <f t="array" ref="CI125">AB135</f>
        <v/>
      </c>
      <c r="CJ125" s="1850">
        <f t="array" ref="CJ125">AG135</f>
        <v/>
      </c>
      <c r="CK125" s="1850">
        <f t="array" ref="CK125">AL135</f>
        <v/>
      </c>
      <c r="CL125" s="1850">
        <f t="array" ref="CL125">AQ135</f>
        <v/>
      </c>
      <c r="CM125" s="1874">
        <f t="array" ref="CM125">AV135</f>
        <v/>
      </c>
      <c r="CN125" s="1874">
        <f t="array" ref="CN125">BA135</f>
        <v/>
      </c>
      <c r="CO125" s="1874">
        <f t="array" ref="CO125">BF135</f>
        <v/>
      </c>
      <c r="CP125" s="1874">
        <f t="array" ref="CP125">BK135</f>
        <v/>
      </c>
      <c r="CQ125" s="701" t="n"/>
      <c r="CR125" s="701" t="n"/>
      <c r="CS125" s="701" t="n"/>
      <c r="CT125" s="701" t="n"/>
      <c r="CU125" s="701" t="n"/>
      <c r="CV125" s="701" t="n"/>
      <c r="CW125" s="30" t="n"/>
    </row>
    <row r="126" ht="13.15" customHeight="1" s="1676">
      <c r="A126" s="31" t="n"/>
      <c r="B126" s="183" t="inlineStr">
        <is>
          <t>Text_109</t>
        </is>
      </c>
      <c r="C126" s="699" t="n"/>
      <c r="D126" s="1782" t="n"/>
      <c r="E126" s="1782" t="n"/>
      <c r="F126" s="1782" t="n"/>
      <c r="G126" s="1782" t="n"/>
      <c r="H126" s="1751" t="n"/>
      <c r="I126" s="1751" t="n"/>
      <c r="J126" s="1751" t="n"/>
      <c r="K126" s="1751" t="n"/>
      <c r="L126" s="1751" t="n"/>
      <c r="M126" s="1861" t="n">
        <v>16174.6429058894</v>
      </c>
      <c r="N126" s="1861" t="n"/>
      <c r="O126" s="1861" t="n"/>
      <c r="P126" s="1861" t="n"/>
      <c r="Q126" s="1714" t="n"/>
      <c r="R126" s="1861" t="n">
        <v>13776.0984399159</v>
      </c>
      <c r="S126" s="1713" t="n"/>
      <c r="T126" s="1713" t="n"/>
      <c r="U126" s="1713" t="n"/>
      <c r="V126" s="1713" t="n"/>
      <c r="W126" s="1861" t="n">
        <v>15880.4505796441</v>
      </c>
      <c r="X126" s="1713" t="n"/>
      <c r="Y126" s="1713" t="n"/>
      <c r="Z126" s="1713" t="n"/>
      <c r="AA126" s="1713" t="n"/>
      <c r="AB126" s="1861" t="n">
        <v>18515.9431383875</v>
      </c>
      <c r="AC126" s="1861" t="n"/>
      <c r="AD126" s="1861" t="n"/>
      <c r="AE126" s="1861" t="n"/>
      <c r="AF126" s="1861" t="n"/>
      <c r="AG126" s="1861" t="n">
        <v>24998.5059256531</v>
      </c>
      <c r="AH126" s="1861" t="n"/>
      <c r="AI126" s="1861" t="n"/>
      <c r="AJ126" s="1861" t="n"/>
      <c r="AK126" s="1714" t="n"/>
      <c r="AL126" s="1861" t="n">
        <v>33010.8871460283</v>
      </c>
      <c r="AM126" s="1861" t="n"/>
      <c r="AN126" s="1861" t="n"/>
      <c r="AO126" s="1861" t="n"/>
      <c r="AP126" s="1714" t="n"/>
      <c r="AQ126" s="1861" t="n">
        <v>33811.6337892434</v>
      </c>
      <c r="AR126" s="1861" t="n"/>
      <c r="AS126" s="1861" t="n"/>
      <c r="AT126" s="1861" t="n"/>
      <c r="AU126" s="1714" t="n"/>
      <c r="AV126" s="1862" t="n">
        <v>30697.9648922684</v>
      </c>
      <c r="AW126" s="1863" t="n"/>
      <c r="AX126" s="1864" t="n"/>
      <c r="AY126" s="1864" t="n"/>
      <c r="AZ126" s="1850" t="n"/>
      <c r="BA126" s="1748">
        <f t="array" ref="BA126">AV126*(1+BA127)</f>
        <v/>
      </c>
      <c r="BB126" s="1863" t="n"/>
      <c r="BC126" s="1864" t="n"/>
      <c r="BD126" s="1864" t="n"/>
      <c r="BE126" s="1850" t="n"/>
      <c r="BF126" s="1748">
        <f t="array" ref="BF126">BA126*(1+BF127)</f>
        <v/>
      </c>
      <c r="BG126" s="1861" t="n"/>
      <c r="BH126" s="1861" t="n"/>
      <c r="BI126" s="1861" t="n"/>
      <c r="BJ126" s="1714" t="n"/>
      <c r="BK126" s="1745">
        <f t="array" ref="BK126">BF126*(1+BK127)</f>
        <v/>
      </c>
      <c r="BL126" s="1861" t="n"/>
      <c r="BM126" s="1861" t="n"/>
      <c r="BN126" s="1861" t="n"/>
      <c r="BO126" s="1714" t="n"/>
      <c r="BP126" s="1745">
        <f t="array" ref="BP126">BK126*(1+BP127)</f>
        <v/>
      </c>
      <c r="BQ126" s="1861" t="n"/>
      <c r="BR126" s="1861" t="n"/>
      <c r="BS126" s="1861" t="n"/>
      <c r="BT126" s="1714" t="n"/>
      <c r="BU126" s="1745">
        <f t="array" ref="BU126">BP126*(1+BU127)</f>
        <v/>
      </c>
      <c r="BV126" s="1861" t="n"/>
      <c r="BW126" s="1861" t="n"/>
      <c r="BX126" s="1861" t="n"/>
      <c r="BY126" s="1714" t="n"/>
      <c r="BZ126" s="1745">
        <f t="array" ref="BZ126">BU126*(1+BZ127)</f>
        <v/>
      </c>
      <c r="CA126" s="388" t="inlineStr">
        <is>
          <t>Text_110</t>
        </is>
      </c>
      <c r="CB126" s="384">
        <f t="array" ref="CB126">(BU126/AV126)^(1/5)-1</f>
        <v/>
      </c>
      <c r="CC126" s="701" t="n"/>
      <c r="CD126" s="701" t="n"/>
      <c r="CE126" s="701" t="n"/>
      <c r="CF126" s="701" t="n"/>
      <c r="CG126" s="701" t="n"/>
      <c r="CH126" s="701" t="n"/>
      <c r="CI126" s="701" t="n"/>
      <c r="CJ126" s="701" t="n"/>
      <c r="CK126" s="701" t="n"/>
      <c r="CL126" s="701" t="n"/>
      <c r="CM126" s="701" t="n"/>
      <c r="CN126" s="701" t="n"/>
      <c r="CO126" s="701" t="n"/>
      <c r="CP126" s="701" t="n"/>
      <c r="CQ126" s="701" t="n"/>
      <c r="CR126" s="701" t="n"/>
      <c r="CS126" s="701" t="n"/>
      <c r="CT126" s="701" t="n"/>
      <c r="CU126" s="701" t="n"/>
      <c r="CV126" s="701" t="n"/>
      <c r="CW126" s="30" t="n"/>
    </row>
    <row r="127" ht="13.15" customHeight="1" s="1676">
      <c r="A127" s="31" t="n"/>
      <c r="B127" s="103" t="inlineStr">
        <is>
          <t>Text_24</t>
        </is>
      </c>
      <c r="C127" s="699" t="n"/>
      <c r="D127" s="1782" t="n"/>
      <c r="E127" s="1782" t="n"/>
      <c r="F127" s="1782" t="n"/>
      <c r="G127" s="1782" t="n"/>
      <c r="H127" s="1751" t="n"/>
      <c r="I127" s="1751" t="n"/>
      <c r="J127" s="1751" t="n"/>
      <c r="K127" s="1751" t="n"/>
      <c r="L127" s="1751" t="n"/>
      <c r="M127" s="1751">
        <f t="array" ref="M127">M126/H126-1</f>
        <v/>
      </c>
      <c r="N127" s="1751" t="n"/>
      <c r="O127" s="1751" t="n"/>
      <c r="P127" s="1751" t="n"/>
      <c r="Q127" s="1751" t="n"/>
      <c r="R127" s="1751">
        <f t="array" ref="R127">R126/M126-1</f>
        <v/>
      </c>
      <c r="S127" s="1853" t="n"/>
      <c r="T127" s="1853" t="n"/>
      <c r="U127" s="1853" t="n"/>
      <c r="V127" s="1853" t="n"/>
      <c r="W127" s="1751">
        <f t="array" ref="W127">W126/R126-1</f>
        <v/>
      </c>
      <c r="X127" s="1853" t="n"/>
      <c r="Y127" s="1853" t="n"/>
      <c r="Z127" s="1853" t="n"/>
      <c r="AA127" s="1853" t="n"/>
      <c r="AB127" s="1751">
        <f t="array" ref="AB127">AB126/W126-1</f>
        <v/>
      </c>
      <c r="AC127" s="1751" t="n"/>
      <c r="AD127" s="1751" t="n"/>
      <c r="AE127" s="1751" t="n"/>
      <c r="AF127" s="1751" t="n"/>
      <c r="AG127" s="1751">
        <f t="array" ref="AG127">AG126/AB126-1</f>
        <v/>
      </c>
      <c r="AH127" s="1751" t="n"/>
      <c r="AI127" s="1751" t="n"/>
      <c r="AJ127" s="1751" t="n"/>
      <c r="AK127" s="1751" t="n"/>
      <c r="AL127" s="1751">
        <f t="array" ref="AL127">AL126/AG126-1</f>
        <v/>
      </c>
      <c r="AM127" s="1751" t="n"/>
      <c r="AN127" s="1751" t="n"/>
      <c r="AO127" s="1751" t="n"/>
      <c r="AP127" s="1751" t="n"/>
      <c r="AQ127" s="1751">
        <f t="array" ref="AQ127">AQ126/AL126-1</f>
        <v/>
      </c>
      <c r="AR127" s="1751" t="n"/>
      <c r="AS127" s="1751" t="n"/>
      <c r="AT127" s="1751" t="n"/>
      <c r="AU127" s="1751" t="n"/>
      <c r="AV127" s="1751">
        <f t="array" ref="AV127">AV126/AQ126-1</f>
        <v/>
      </c>
      <c r="AW127" s="1749" t="n"/>
      <c r="AX127" s="122" t="n"/>
      <c r="AY127" s="1750" t="n"/>
      <c r="AZ127" s="1750" t="n"/>
      <c r="BA127" s="1855" t="n">
        <v>0.0494122727609818</v>
      </c>
      <c r="BB127" s="1749" t="n"/>
      <c r="BC127" s="122" t="n"/>
      <c r="BD127" s="1750" t="n"/>
      <c r="BE127" s="1750" t="n"/>
      <c r="BF127" s="1855" t="n">
        <v>0.0979849102205733</v>
      </c>
      <c r="BG127" s="1751" t="n"/>
      <c r="BH127" s="117" t="n"/>
      <c r="BI127" s="1751" t="n"/>
      <c r="BJ127" s="1751" t="n"/>
      <c r="BK127" s="1856" t="n">
        <v>0.158590582884957</v>
      </c>
      <c r="BL127" s="1860" t="n"/>
      <c r="BM127" s="1860" t="n"/>
      <c r="BN127" s="1860" t="n"/>
      <c r="BO127" s="1860" t="n"/>
      <c r="BP127" s="1856" t="n">
        <v>0</v>
      </c>
      <c r="BQ127" s="1860" t="n"/>
      <c r="BR127" s="1860" t="n"/>
      <c r="BS127" s="1860" t="n"/>
      <c r="BT127" s="1860" t="n"/>
      <c r="BU127" s="1856" t="n">
        <v>0.15930053821333</v>
      </c>
      <c r="BV127" s="1860" t="n"/>
      <c r="BW127" s="1860" t="n"/>
      <c r="BX127" s="1860" t="n"/>
      <c r="BY127" s="1860" t="n"/>
      <c r="BZ127" s="1856" t="n">
        <v>0.142485944469711</v>
      </c>
      <c r="CA127" s="238" t="inlineStr">
        <is>
          <t>Text_111</t>
        </is>
      </c>
      <c r="CB127" s="456" t="n"/>
      <c r="CC127" s="701" t="n"/>
      <c r="CD127" s="701" t="n"/>
      <c r="CE127" s="701" t="n"/>
      <c r="CF127" s="701" t="n"/>
      <c r="CG127" s="701" t="n"/>
      <c r="CH127" s="701" t="n"/>
      <c r="CI127" s="701" t="n"/>
      <c r="CJ127" s="701" t="n"/>
      <c r="CK127" s="701" t="n"/>
      <c r="CL127" s="701" t="n"/>
      <c r="CM127" s="701" t="n"/>
      <c r="CN127" s="701" t="n"/>
      <c r="CO127" s="701" t="n"/>
      <c r="CP127" s="701" t="n"/>
      <c r="CQ127" s="701" t="n"/>
      <c r="CR127" s="701" t="n"/>
      <c r="CS127" s="701" t="n"/>
      <c r="CT127" s="701" t="n"/>
      <c r="CU127" s="701" t="n"/>
      <c r="CV127" s="701" t="n"/>
      <c r="CW127" s="30" t="n"/>
    </row>
    <row r="128" ht="13.15" customHeight="1" s="1676">
      <c r="A128" s="31" t="n"/>
      <c r="B128" s="167" t="inlineStr">
        <is>
          <t>Text_112</t>
        </is>
      </c>
      <c r="C128" s="699" t="n"/>
      <c r="D128" s="1884" t="n"/>
      <c r="E128" s="1884" t="n"/>
      <c r="F128" s="1884" t="n"/>
      <c r="G128" s="1884" t="n"/>
      <c r="H128" s="1751" t="n"/>
      <c r="I128" s="1751" t="n"/>
      <c r="J128" s="1751" t="n"/>
      <c r="K128" s="1751" t="n"/>
      <c r="L128" s="1751" t="n"/>
      <c r="M128" s="165">
        <f t="array" ref="M128">M126/M$123</f>
        <v/>
      </c>
      <c r="N128" s="1751" t="n"/>
      <c r="O128" s="1751" t="n"/>
      <c r="P128" s="1751" t="n"/>
      <c r="Q128" s="1751" t="n"/>
      <c r="R128" s="165">
        <f t="array" ref="R128">R126/R$123</f>
        <v/>
      </c>
      <c r="S128" s="1886" t="n"/>
      <c r="T128" s="1886" t="n"/>
      <c r="U128" s="1886" t="n"/>
      <c r="V128" s="1886" t="n"/>
      <c r="W128" s="165">
        <f t="array" ref="W128">W126/W$123</f>
        <v/>
      </c>
      <c r="X128" s="1886" t="n"/>
      <c r="Y128" s="1886" t="n"/>
      <c r="Z128" s="1886" t="n"/>
      <c r="AA128" s="1886" t="n"/>
      <c r="AB128" s="165">
        <f t="array" ref="AB128">AB126/AB$123</f>
        <v/>
      </c>
      <c r="AC128" s="1751" t="n"/>
      <c r="AD128" s="1751" t="n"/>
      <c r="AE128" s="1751" t="n"/>
      <c r="AF128" s="1751" t="n"/>
      <c r="AG128" s="165">
        <f t="array" ref="AG128">AG126/AG$123</f>
        <v/>
      </c>
      <c r="AH128" s="1751" t="n"/>
      <c r="AI128" s="1751" t="n"/>
      <c r="AJ128" s="1751" t="n"/>
      <c r="AK128" s="1751" t="n"/>
      <c r="AL128" s="165">
        <f t="array" ref="AL128">AL126/AL$123</f>
        <v/>
      </c>
      <c r="AM128" s="1751" t="n"/>
      <c r="AN128" s="1751" t="n"/>
      <c r="AO128" s="1751" t="n"/>
      <c r="AP128" s="1751" t="n"/>
      <c r="AQ128" s="165">
        <f t="array" ref="AQ128">AQ126/AQ$123</f>
        <v/>
      </c>
      <c r="AR128" s="165" t="n"/>
      <c r="AS128" s="165" t="n"/>
      <c r="AT128" s="165" t="n"/>
      <c r="AU128" s="165" t="n"/>
      <c r="AV128" s="165">
        <f t="array" ref="AV128">AV126/AV$123</f>
        <v/>
      </c>
      <c r="AW128" s="389" t="n"/>
      <c r="AX128" s="122" t="n"/>
      <c r="AY128" s="390" t="n"/>
      <c r="AZ128" s="390" t="n"/>
      <c r="BA128" s="166">
        <f t="array" ref="BA128">BA126/BA$123</f>
        <v/>
      </c>
      <c r="BB128" s="389" t="n"/>
      <c r="BC128" s="122" t="n"/>
      <c r="BD128" s="390" t="n"/>
      <c r="BE128" s="390" t="n"/>
      <c r="BF128" s="166">
        <f t="array" ref="BF128">BF126/BF$123</f>
        <v/>
      </c>
      <c r="BG128" s="1751" t="n"/>
      <c r="BH128" s="117" t="n"/>
      <c r="BI128" s="1751" t="n"/>
      <c r="BJ128" s="1751" t="n"/>
      <c r="BK128" s="165">
        <f t="array" ref="BK128">BK126/BK$123</f>
        <v/>
      </c>
      <c r="BL128" s="1751" t="n"/>
      <c r="BM128" s="117" t="n"/>
      <c r="BN128" s="1751" t="n"/>
      <c r="BO128" s="1751" t="n"/>
      <c r="BP128" s="165">
        <f t="array" ref="BP128">BP126/BP$123</f>
        <v/>
      </c>
      <c r="BQ128" s="1751" t="n"/>
      <c r="BR128" s="117" t="n"/>
      <c r="BS128" s="1751" t="n"/>
      <c r="BT128" s="1751" t="n"/>
      <c r="BU128" s="165">
        <f t="array" ref="BU128">BU126/BU$123</f>
        <v/>
      </c>
      <c r="BV128" s="1751" t="n"/>
      <c r="BW128" s="117" t="n"/>
      <c r="BX128" s="1751" t="n"/>
      <c r="BY128" s="1751" t="n"/>
      <c r="BZ128" s="165">
        <f t="array" ref="BZ128">BZ126/BZ$123</f>
        <v/>
      </c>
      <c r="CA128" s="270" t="inlineStr">
        <is>
          <t>Text_113</t>
        </is>
      </c>
      <c r="CB128" s="391" t="n"/>
      <c r="CC128" s="701" t="n"/>
      <c r="CD128" s="701" t="n"/>
      <c r="CE128" s="701" t="n"/>
      <c r="CF128" s="701" t="n"/>
      <c r="CG128" s="701" t="n"/>
      <c r="CH128" s="701" t="n"/>
      <c r="CI128" s="701" t="n"/>
      <c r="CJ128" s="701" t="n"/>
      <c r="CK128" s="701" t="n"/>
      <c r="CL128" s="701" t="n"/>
      <c r="CM128" s="701" t="n"/>
      <c r="CN128" s="701" t="n"/>
      <c r="CO128" s="701" t="n"/>
      <c r="CP128" s="701" t="n"/>
      <c r="CQ128" s="701" t="n"/>
      <c r="CR128" s="701" t="n"/>
      <c r="CS128" s="701" t="n"/>
      <c r="CT128" s="701" t="n"/>
      <c r="CU128" s="701" t="n"/>
      <c r="CV128" s="701" t="n"/>
      <c r="CW128" s="30" t="n"/>
    </row>
    <row r="129" ht="13.15" customHeight="1" s="1676">
      <c r="A129" s="31" t="n"/>
      <c r="B129" s="167" t="inlineStr">
        <is>
          <t>Text_114</t>
        </is>
      </c>
      <c r="C129" s="699" t="n"/>
      <c r="D129" s="1782" t="n"/>
      <c r="E129" s="1782" t="n"/>
      <c r="F129" s="1782" t="n"/>
      <c r="G129" s="1782" t="n"/>
      <c r="H129" s="1751" t="n"/>
      <c r="I129" s="1751" t="n"/>
      <c r="J129" s="1751" t="n"/>
      <c r="K129" s="1751" t="n"/>
      <c r="L129" s="1751" t="n"/>
      <c r="M129" s="192">
        <f t="array" ref="M129">M126/M$101</f>
        <v/>
      </c>
      <c r="N129" s="1751" t="n"/>
      <c r="O129" s="1751" t="n"/>
      <c r="P129" s="1751" t="n"/>
      <c r="Q129" s="1751" t="n"/>
      <c r="R129" s="192">
        <f t="array" ref="R129">R126/R$101</f>
        <v/>
      </c>
      <c r="S129" s="1853" t="n"/>
      <c r="T129" s="1853" t="n"/>
      <c r="U129" s="1853" t="n"/>
      <c r="V129" s="1853" t="n"/>
      <c r="W129" s="192">
        <f t="array" ref="W129">W126/W$101</f>
        <v/>
      </c>
      <c r="X129" s="1853" t="n"/>
      <c r="Y129" s="1853" t="n"/>
      <c r="Z129" s="1853" t="n"/>
      <c r="AA129" s="1853" t="n"/>
      <c r="AB129" s="192">
        <f t="array" ref="AB129">AB126/AB$101</f>
        <v/>
      </c>
      <c r="AC129" s="1751" t="n"/>
      <c r="AD129" s="1751" t="n"/>
      <c r="AE129" s="1751" t="n"/>
      <c r="AF129" s="1751" t="n"/>
      <c r="AG129" s="192">
        <f t="array" ref="AG129">AG126/AG$101</f>
        <v/>
      </c>
      <c r="AH129" s="1751" t="n"/>
      <c r="AI129" s="1751" t="n"/>
      <c r="AJ129" s="1751" t="n"/>
      <c r="AK129" s="1751" t="n"/>
      <c r="AL129" s="192">
        <f t="array" ref="AL129">AL126/AL$101</f>
        <v/>
      </c>
      <c r="AM129" s="1751" t="n"/>
      <c r="AN129" s="1751" t="n"/>
      <c r="AO129" s="1751" t="n"/>
      <c r="AP129" s="1751" t="n"/>
      <c r="AQ129" s="192">
        <f t="array" ref="AQ129">AQ126/AQ$101</f>
        <v/>
      </c>
      <c r="AR129" s="1751" t="n"/>
      <c r="AS129" s="1751" t="n"/>
      <c r="AT129" s="1751" t="n"/>
      <c r="AU129" s="1751" t="n"/>
      <c r="AV129" s="192">
        <f t="array" ref="AV129">AV126/AV$101</f>
        <v/>
      </c>
      <c r="AW129" s="1901" t="n"/>
      <c r="AX129" s="1902" t="n"/>
      <c r="AY129" s="1902" t="n"/>
      <c r="AZ129" s="1902" t="n"/>
      <c r="BA129" s="195">
        <f t="array" ref="BA129">BA126/BA$101</f>
        <v/>
      </c>
      <c r="BB129" s="1901" t="n"/>
      <c r="BC129" s="1902" t="n"/>
      <c r="BD129" s="1902" t="n"/>
      <c r="BE129" s="1902" t="n"/>
      <c r="BF129" s="195">
        <f t="array" ref="BF129">BF126/BF$101</f>
        <v/>
      </c>
      <c r="BG129" s="1751" t="n"/>
      <c r="BH129" s="1751" t="n"/>
      <c r="BI129" s="1751" t="n"/>
      <c r="BJ129" s="1751" t="n"/>
      <c r="BK129" s="192">
        <f t="array" ref="BK129">BK126/BK$101</f>
        <v/>
      </c>
      <c r="BL129" s="1751" t="n"/>
      <c r="BM129" s="1751" t="n"/>
      <c r="BN129" s="1751" t="n"/>
      <c r="BO129" s="1751" t="n"/>
      <c r="BP129" s="192">
        <f t="array" ref="BP129">BP126/BP$101</f>
        <v/>
      </c>
      <c r="BQ129" s="1751" t="n"/>
      <c r="BR129" s="1751" t="n"/>
      <c r="BS129" s="1751" t="n"/>
      <c r="BT129" s="1751" t="n"/>
      <c r="BU129" s="192">
        <f t="array" ref="BU129">BU126/BU$101</f>
        <v/>
      </c>
      <c r="BV129" s="1751" t="n"/>
      <c r="BW129" s="1751" t="n"/>
      <c r="BX129" s="1751" t="n"/>
      <c r="BY129" s="1751" t="n"/>
      <c r="BZ129" s="192">
        <f t="array" ref="BZ129">BZ126/BZ$101</f>
        <v/>
      </c>
      <c r="CA129" s="1871" t="n"/>
      <c r="CB129" s="456" t="n"/>
      <c r="CC129" s="701" t="n"/>
      <c r="CD129" s="701" t="n"/>
      <c r="CE129" s="701" t="n"/>
      <c r="CF129" s="701" t="n"/>
      <c r="CG129" s="701" t="n"/>
      <c r="CH129" s="701" t="n"/>
      <c r="CI129" s="701" t="n"/>
      <c r="CJ129" s="701" t="n"/>
      <c r="CK129" s="701" t="n"/>
      <c r="CL129" s="701" t="n"/>
      <c r="CM129" s="701" t="n"/>
      <c r="CN129" s="701" t="n"/>
      <c r="CO129" s="701" t="n"/>
      <c r="CP129" s="701" t="n"/>
      <c r="CQ129" s="701" t="n"/>
      <c r="CR129" s="701" t="n"/>
      <c r="CS129" s="701" t="n"/>
      <c r="CT129" s="701" t="n"/>
      <c r="CU129" s="701" t="n"/>
      <c r="CV129" s="701" t="n"/>
      <c r="CW129" s="30" t="n"/>
    </row>
    <row r="130" ht="13.15" customHeight="1" s="1676">
      <c r="A130" s="31" t="n"/>
      <c r="B130" s="183" t="inlineStr">
        <is>
          <t>Text_115</t>
        </is>
      </c>
      <c r="C130" s="699" t="n"/>
      <c r="D130" s="1782" t="n"/>
      <c r="E130" s="1782" t="n"/>
      <c r="F130" s="1782" t="n"/>
      <c r="G130" s="1782" t="n"/>
      <c r="H130" s="1751" t="n"/>
      <c r="I130" s="1751" t="n"/>
      <c r="J130" s="1751" t="n"/>
      <c r="K130" s="1751" t="n"/>
      <c r="L130" s="1751" t="n"/>
      <c r="M130" s="1714">
        <f t="array" ref="M130">M123-M126</f>
        <v/>
      </c>
      <c r="N130" s="1751" t="n"/>
      <c r="O130" s="1751" t="n"/>
      <c r="P130" s="1751" t="n"/>
      <c r="Q130" s="1751" t="n"/>
      <c r="R130" s="1714">
        <f t="array" ref="R130">R123-R126</f>
        <v/>
      </c>
      <c r="S130" s="1853" t="n"/>
      <c r="T130" s="1853" t="n"/>
      <c r="U130" s="1853" t="n"/>
      <c r="V130" s="1853" t="n"/>
      <c r="W130" s="1714">
        <f t="array" ref="W130">W123-W126</f>
        <v/>
      </c>
      <c r="X130" s="1853" t="n"/>
      <c r="Y130" s="1853" t="n"/>
      <c r="Z130" s="1853" t="n"/>
      <c r="AA130" s="1853" t="n"/>
      <c r="AB130" s="1714">
        <f t="array" ref="AB130">AB123-AB126</f>
        <v/>
      </c>
      <c r="AC130" s="1751" t="n"/>
      <c r="AD130" s="1751" t="n"/>
      <c r="AE130" s="1751" t="n"/>
      <c r="AF130" s="1751" t="n"/>
      <c r="AG130" s="1714">
        <f t="array" ref="AG130">AG123-AG126</f>
        <v/>
      </c>
      <c r="AH130" s="1751" t="n"/>
      <c r="AI130" s="1751" t="n"/>
      <c r="AJ130" s="1751" t="n"/>
      <c r="AK130" s="1751" t="n"/>
      <c r="AL130" s="1714">
        <f t="array" ref="AL130">AL123-AL126</f>
        <v/>
      </c>
      <c r="AM130" s="1751" t="n"/>
      <c r="AN130" s="1751" t="n"/>
      <c r="AO130" s="1751" t="n"/>
      <c r="AP130" s="1751" t="n"/>
      <c r="AQ130" s="1714">
        <f t="array" ref="AQ130">AQ123-AQ126</f>
        <v/>
      </c>
      <c r="AR130" s="192" t="n"/>
      <c r="AS130" s="192" t="n"/>
      <c r="AT130" s="192" t="n"/>
      <c r="AU130" s="192" t="n"/>
      <c r="AV130" s="1714">
        <f t="array" ref="AV130">AV123-AV126</f>
        <v/>
      </c>
      <c r="AW130" s="193" t="n"/>
      <c r="AX130" s="122" t="n"/>
      <c r="AY130" s="194" t="n"/>
      <c r="AZ130" s="194" t="n"/>
      <c r="BA130" s="1748">
        <f t="array" ref="BA130">AV130*(1+BA131)</f>
        <v/>
      </c>
      <c r="BB130" s="193" t="n"/>
      <c r="BC130" s="122" t="n"/>
      <c r="BD130" s="194" t="n"/>
      <c r="BE130" s="194" t="n"/>
      <c r="BF130" s="1748">
        <f t="array" ref="BF130">BA130*(1+BF131)</f>
        <v/>
      </c>
      <c r="BG130" s="1751" t="n"/>
      <c r="BH130" s="117" t="n"/>
      <c r="BI130" s="1751" t="n"/>
      <c r="BJ130" s="1751" t="n"/>
      <c r="BK130" s="1745">
        <f t="array" ref="BK130">BF130*(1+BK131)</f>
        <v/>
      </c>
      <c r="BL130" s="1861" t="n"/>
      <c r="BM130" s="1861" t="n"/>
      <c r="BN130" s="1861" t="n"/>
      <c r="BO130" s="1714" t="n"/>
      <c r="BP130" s="1745">
        <f t="array" ref="BP130">BK130*(1+BP131)</f>
        <v/>
      </c>
      <c r="BQ130" s="1861" t="n"/>
      <c r="BR130" s="1861" t="n"/>
      <c r="BS130" s="1861" t="n"/>
      <c r="BT130" s="1714" t="n"/>
      <c r="BU130" s="1745">
        <f t="array" ref="BU130">BP130*(1+BU131)</f>
        <v/>
      </c>
      <c r="BV130" s="1861" t="n"/>
      <c r="BW130" s="1861" t="n"/>
      <c r="BX130" s="1861" t="n"/>
      <c r="BY130" s="1714" t="n"/>
      <c r="BZ130" s="1745">
        <f t="array" ref="BZ130">BU130*(1+BZ131)</f>
        <v/>
      </c>
      <c r="CA130" s="388" t="inlineStr">
        <is>
          <t>Text_116</t>
        </is>
      </c>
      <c r="CB130" s="384">
        <f t="array" ref="CB130">(BU130/AV130)^(1/5)-1</f>
        <v/>
      </c>
      <c r="CC130" s="701" t="n"/>
      <c r="CD130" s="701" t="n"/>
      <c r="CE130" s="701" t="n"/>
      <c r="CF130" s="701" t="n"/>
      <c r="CG130" s="701" t="n"/>
      <c r="CH130" s="701" t="n"/>
      <c r="CI130" s="701" t="n"/>
      <c r="CJ130" s="701" t="n"/>
      <c r="CK130" s="701" t="n"/>
      <c r="CL130" s="701" t="n"/>
      <c r="CM130" s="701" t="n"/>
      <c r="CN130" s="701" t="n"/>
      <c r="CO130" s="701" t="n"/>
      <c r="CP130" s="701" t="n"/>
      <c r="CQ130" s="701" t="n"/>
      <c r="CR130" s="701" t="n"/>
      <c r="CS130" s="701" t="n"/>
      <c r="CT130" s="701" t="n"/>
      <c r="CU130" s="701" t="n"/>
      <c r="CV130" s="701" t="n"/>
      <c r="CW130" s="30" t="n"/>
    </row>
    <row r="131" ht="13.15" customHeight="1" s="1676">
      <c r="A131" s="31" t="n"/>
      <c r="B131" s="103" t="inlineStr">
        <is>
          <t>Text_24</t>
        </is>
      </c>
      <c r="C131" s="699" t="n"/>
      <c r="D131" s="1782" t="n"/>
      <c r="E131" s="1782" t="n"/>
      <c r="F131" s="1782" t="n"/>
      <c r="G131" s="1782" t="n"/>
      <c r="H131" s="1751" t="n"/>
      <c r="I131" s="1751" t="n"/>
      <c r="J131" s="1751" t="n"/>
      <c r="K131" s="1751" t="n"/>
      <c r="L131" s="1751" t="n"/>
      <c r="M131" s="1751">
        <f t="array" ref="M131">M130/H130-1</f>
        <v/>
      </c>
      <c r="N131" s="1751" t="n"/>
      <c r="O131" s="1751" t="n"/>
      <c r="P131" s="1751" t="n"/>
      <c r="Q131" s="1751" t="n"/>
      <c r="R131" s="1751">
        <f t="array" ref="R131">R130/M130-1</f>
        <v/>
      </c>
      <c r="S131" s="1853" t="n"/>
      <c r="T131" s="1853" t="n"/>
      <c r="U131" s="1853" t="n"/>
      <c r="V131" s="1853" t="n"/>
      <c r="W131" s="1751">
        <f t="array" ref="W131">W130/R130-1</f>
        <v/>
      </c>
      <c r="X131" s="1853" t="n"/>
      <c r="Y131" s="1853" t="n"/>
      <c r="Z131" s="1853" t="n"/>
      <c r="AA131" s="1853" t="n"/>
      <c r="AB131" s="1751">
        <f t="array" ref="AB131">AB130/W130-1</f>
        <v/>
      </c>
      <c r="AC131" s="1751" t="n"/>
      <c r="AD131" s="1751" t="n"/>
      <c r="AE131" s="1751" t="n"/>
      <c r="AF131" s="1751" t="n"/>
      <c r="AG131" s="1751">
        <f t="array" ref="AG131">AG130/AB130-1</f>
        <v/>
      </c>
      <c r="AH131" s="1751" t="n"/>
      <c r="AI131" s="1751" t="n"/>
      <c r="AJ131" s="1751" t="n"/>
      <c r="AK131" s="1751" t="n"/>
      <c r="AL131" s="1751">
        <f t="array" ref="AL131">AL130/AG130-1</f>
        <v/>
      </c>
      <c r="AM131" s="1751" t="n"/>
      <c r="AN131" s="1751" t="n"/>
      <c r="AO131" s="1751" t="n"/>
      <c r="AP131" s="1751" t="n"/>
      <c r="AQ131" s="1751">
        <f t="array" ref="AQ131">AQ130/AL130-1</f>
        <v/>
      </c>
      <c r="AR131" s="1751" t="n"/>
      <c r="AS131" s="1751" t="n"/>
      <c r="AT131" s="1751" t="n"/>
      <c r="AU131" s="1751" t="n"/>
      <c r="AV131" s="1751">
        <f t="array" ref="AV131">AV130/AQ130-1</f>
        <v/>
      </c>
      <c r="AW131" s="1749" t="n"/>
      <c r="AX131" s="122" t="n"/>
      <c r="AY131" s="1750" t="n"/>
      <c r="AZ131" s="1750" t="n"/>
      <c r="BA131" s="1855" t="n">
        <v>-0.154617349504073</v>
      </c>
      <c r="BB131" s="1749" t="n"/>
      <c r="BC131" s="122" t="n"/>
      <c r="BD131" s="1750" t="n"/>
      <c r="BE131" s="1750" t="n"/>
      <c r="BF131" s="1855" t="n">
        <v>-0.105844539424281</v>
      </c>
      <c r="BG131" s="1751" t="n"/>
      <c r="BH131" s="117" t="n"/>
      <c r="BI131" s="1751" t="n"/>
      <c r="BJ131" s="1751" t="n"/>
      <c r="BK131" s="1856" t="n">
        <v>0.07659981937243369</v>
      </c>
      <c r="BL131" s="1860" t="n"/>
      <c r="BM131" s="1860" t="n"/>
      <c r="BN131" s="1860" t="n"/>
      <c r="BO131" s="1860" t="n"/>
      <c r="BP131" s="1856" t="n">
        <v>0</v>
      </c>
      <c r="BQ131" s="1860" t="n"/>
      <c r="BR131" s="1860" t="n"/>
      <c r="BS131" s="1860" t="n"/>
      <c r="BT131" s="1860" t="n"/>
      <c r="BU131" s="1856" t="n">
        <v>0.08257195359242731</v>
      </c>
      <c r="BV131" s="1860" t="n"/>
      <c r="BW131" s="1860" t="n"/>
      <c r="BX131" s="1860" t="n"/>
      <c r="BY131" s="1860" t="n"/>
      <c r="BZ131" s="1856" t="n">
        <v>0.0807943798739191</v>
      </c>
      <c r="CA131" s="238" t="inlineStr">
        <is>
          <t>Text_117</t>
        </is>
      </c>
      <c r="CB131" s="456" t="n"/>
      <c r="CC131" s="701" t="n"/>
      <c r="CD131" s="701" t="n"/>
      <c r="CE131" s="701" t="n"/>
      <c r="CF131" s="701" t="n"/>
      <c r="CG131" s="701" t="n"/>
      <c r="CH131" s="701" t="n"/>
      <c r="CI131" s="701" t="n"/>
      <c r="CJ131" s="701" t="n"/>
      <c r="CK131" s="701" t="n"/>
      <c r="CL131" s="701" t="n"/>
      <c r="CM131" s="701" t="n"/>
      <c r="CN131" s="701" t="n"/>
      <c r="CO131" s="701" t="n"/>
      <c r="CP131" s="701" t="n"/>
      <c r="CQ131" s="701" t="n"/>
      <c r="CR131" s="701" t="n"/>
      <c r="CS131" s="701" t="n"/>
      <c r="CT131" s="701" t="n"/>
      <c r="CU131" s="701" t="n"/>
      <c r="CV131" s="701" t="n"/>
      <c r="CW131" s="30" t="n"/>
    </row>
    <row r="132" ht="13.15" customHeight="1" s="1676">
      <c r="A132" s="31" t="n"/>
      <c r="B132" s="167" t="inlineStr">
        <is>
          <t>Text_112</t>
        </is>
      </c>
      <c r="C132" s="699" t="n"/>
      <c r="D132" s="1782" t="n"/>
      <c r="E132" s="1782" t="n"/>
      <c r="F132" s="1782" t="n"/>
      <c r="G132" s="1782" t="n"/>
      <c r="H132" s="1751" t="n"/>
      <c r="I132" s="1751" t="n"/>
      <c r="J132" s="1751" t="n"/>
      <c r="K132" s="1751" t="n"/>
      <c r="L132" s="1751" t="n"/>
      <c r="M132" s="192">
        <f t="array" ref="M132">M130/M$123</f>
        <v/>
      </c>
      <c r="N132" s="1751" t="n"/>
      <c r="O132" s="1751" t="n"/>
      <c r="P132" s="1751" t="n"/>
      <c r="Q132" s="1751" t="n"/>
      <c r="R132" s="192">
        <f t="array" ref="R132">R130/R$123</f>
        <v/>
      </c>
      <c r="S132" s="1853" t="n"/>
      <c r="T132" s="1853" t="n"/>
      <c r="U132" s="1853" t="n"/>
      <c r="V132" s="1853" t="n"/>
      <c r="W132" s="192">
        <f t="array" ref="W132">W130/W$123</f>
        <v/>
      </c>
      <c r="X132" s="1853" t="n"/>
      <c r="Y132" s="1853" t="n"/>
      <c r="Z132" s="1853" t="n"/>
      <c r="AA132" s="1853" t="n"/>
      <c r="AB132" s="192">
        <f t="array" ref="AB132">AB130/AB$123</f>
        <v/>
      </c>
      <c r="AC132" s="1751" t="n"/>
      <c r="AD132" s="1751" t="n"/>
      <c r="AE132" s="1751" t="n"/>
      <c r="AF132" s="1751" t="n"/>
      <c r="AG132" s="192">
        <f t="array" ref="AG132">AG130/AG$123</f>
        <v/>
      </c>
      <c r="AH132" s="1751" t="n"/>
      <c r="AI132" s="1751" t="n"/>
      <c r="AJ132" s="1751" t="n"/>
      <c r="AK132" s="1751" t="n"/>
      <c r="AL132" s="192">
        <f t="array" ref="AL132">AL130/AL$123</f>
        <v/>
      </c>
      <c r="AM132" s="1751" t="n"/>
      <c r="AN132" s="1751" t="n"/>
      <c r="AO132" s="1751" t="n"/>
      <c r="AP132" s="1751" t="n"/>
      <c r="AQ132" s="192">
        <f t="array" ref="AQ132">AQ130/AQ$123</f>
        <v/>
      </c>
      <c r="AR132" s="192" t="n"/>
      <c r="AS132" s="192" t="n"/>
      <c r="AT132" s="192" t="n"/>
      <c r="AU132" s="192" t="n"/>
      <c r="AV132" s="192">
        <f t="array" ref="AV132">AV130/AV$123</f>
        <v/>
      </c>
      <c r="AW132" s="193" t="n"/>
      <c r="AX132" s="122" t="n"/>
      <c r="AY132" s="194" t="n"/>
      <c r="AZ132" s="194" t="n"/>
      <c r="BA132" s="195">
        <f t="array" ref="BA132">BA130/BA$123</f>
        <v/>
      </c>
      <c r="BB132" s="193" t="n"/>
      <c r="BC132" s="122" t="n"/>
      <c r="BD132" s="194" t="n"/>
      <c r="BE132" s="194" t="n"/>
      <c r="BF132" s="195">
        <f t="array" ref="BF132">BF130/BF$123</f>
        <v/>
      </c>
      <c r="BG132" s="1751" t="n"/>
      <c r="BH132" s="117" t="n"/>
      <c r="BI132" s="1751" t="n"/>
      <c r="BJ132" s="1751" t="n"/>
      <c r="BK132" s="192">
        <f t="array" ref="BK132">BK130/BK$123</f>
        <v/>
      </c>
      <c r="BL132" s="1751" t="n"/>
      <c r="BM132" s="117" t="n"/>
      <c r="BN132" s="1751" t="n"/>
      <c r="BO132" s="1751" t="n"/>
      <c r="BP132" s="192">
        <f t="array" ref="BP132">BP130/BP$123</f>
        <v/>
      </c>
      <c r="BQ132" s="1751" t="n"/>
      <c r="BR132" s="117" t="n"/>
      <c r="BS132" s="1751" t="n"/>
      <c r="BT132" s="1751" t="n"/>
      <c r="BU132" s="192">
        <f t="array" ref="BU132">BU130/BU$123</f>
        <v/>
      </c>
      <c r="BV132" s="1751" t="n"/>
      <c r="BW132" s="117" t="n"/>
      <c r="BX132" s="1751" t="n"/>
      <c r="BY132" s="1751" t="n"/>
      <c r="BZ132" s="192">
        <f t="array" ref="BZ132">BZ130/BZ$123</f>
        <v/>
      </c>
      <c r="CA132" s="340" t="inlineStr">
        <is>
          <t>Text_118</t>
        </is>
      </c>
      <c r="CB132" s="319" t="n"/>
      <c r="CC132" s="701" t="n"/>
      <c r="CD132" s="701" t="n"/>
      <c r="CE132" s="701" t="n"/>
      <c r="CF132" s="701" t="n"/>
      <c r="CG132" s="701" t="n"/>
      <c r="CH132" s="701" t="n"/>
      <c r="CI132" s="701" t="n"/>
      <c r="CJ132" s="701" t="n"/>
      <c r="CK132" s="701" t="n"/>
      <c r="CL132" s="701" t="n"/>
      <c r="CM132" s="701" t="n"/>
      <c r="CN132" s="701" t="n"/>
      <c r="CO132" s="701" t="n"/>
      <c r="CP132" s="701" t="n"/>
      <c r="CQ132" s="701" t="n"/>
      <c r="CR132" s="701" t="n"/>
      <c r="CS132" s="701" t="n"/>
      <c r="CT132" s="701" t="n"/>
      <c r="CU132" s="701" t="n"/>
      <c r="CV132" s="701" t="n"/>
      <c r="CW132" s="30" t="n"/>
    </row>
    <row r="133" ht="13.15" customHeight="1" s="1676">
      <c r="A133" s="31" t="n"/>
      <c r="B133" s="167" t="inlineStr">
        <is>
          <t>Text_114</t>
        </is>
      </c>
      <c r="C133" s="699" t="n"/>
      <c r="D133" s="1782" t="n"/>
      <c r="E133" s="1782" t="n"/>
      <c r="F133" s="1782" t="n"/>
      <c r="G133" s="1782" t="n"/>
      <c r="H133" s="1751" t="n"/>
      <c r="I133" s="1751" t="n"/>
      <c r="J133" s="1751" t="n"/>
      <c r="K133" s="1751" t="n"/>
      <c r="L133" s="1751" t="n"/>
      <c r="M133" s="192">
        <f t="array" ref="M133">M130/M$101</f>
        <v/>
      </c>
      <c r="N133" s="1751" t="n"/>
      <c r="O133" s="1751" t="n"/>
      <c r="P133" s="1751" t="n"/>
      <c r="Q133" s="1751" t="n"/>
      <c r="R133" s="192">
        <f t="array" ref="R133">R130/R$101</f>
        <v/>
      </c>
      <c r="S133" s="1853" t="n"/>
      <c r="T133" s="1853" t="n"/>
      <c r="U133" s="1853" t="n"/>
      <c r="V133" s="1853" t="n"/>
      <c r="W133" s="192">
        <f t="array" ref="W133">W130/W$101</f>
        <v/>
      </c>
      <c r="X133" s="1853" t="n"/>
      <c r="Y133" s="1853" t="n"/>
      <c r="Z133" s="1853" t="n"/>
      <c r="AA133" s="1853" t="n"/>
      <c r="AB133" s="192">
        <f t="array" ref="AB133">AB130/AB$101</f>
        <v/>
      </c>
      <c r="AC133" s="1751" t="n"/>
      <c r="AD133" s="1751" t="n"/>
      <c r="AE133" s="1751" t="n"/>
      <c r="AF133" s="1751" t="n"/>
      <c r="AG133" s="192">
        <f t="array" ref="AG133">AG130/AG$101</f>
        <v/>
      </c>
      <c r="AH133" s="1751" t="n"/>
      <c r="AI133" s="1751" t="n"/>
      <c r="AJ133" s="1751" t="n"/>
      <c r="AK133" s="1751" t="n"/>
      <c r="AL133" s="192">
        <f t="array" ref="AL133">AL130/AL$101</f>
        <v/>
      </c>
      <c r="AM133" s="1751" t="n"/>
      <c r="AN133" s="1751" t="n"/>
      <c r="AO133" s="1751" t="n"/>
      <c r="AP133" s="1751" t="n"/>
      <c r="AQ133" s="192">
        <f t="array" ref="AQ133">AQ130/AQ$101</f>
        <v/>
      </c>
      <c r="AR133" s="1751" t="n"/>
      <c r="AS133" s="1751" t="n"/>
      <c r="AT133" s="1751" t="n"/>
      <c r="AU133" s="1751" t="n"/>
      <c r="AV133" s="192">
        <f t="array" ref="AV133">AV130/AV$101</f>
        <v/>
      </c>
      <c r="AW133" s="1901" t="n"/>
      <c r="AX133" s="1902" t="n"/>
      <c r="AY133" s="1902" t="n"/>
      <c r="AZ133" s="1902" t="n"/>
      <c r="BA133" s="195">
        <f t="array" ref="BA133">BA130/BA$101</f>
        <v/>
      </c>
      <c r="BB133" s="1901" t="n"/>
      <c r="BC133" s="1902" t="n"/>
      <c r="BD133" s="1902" t="n"/>
      <c r="BE133" s="1902" t="n"/>
      <c r="BF133" s="195">
        <f t="array" ref="BF133">BF130/BF$101</f>
        <v/>
      </c>
      <c r="BG133" s="1751" t="n"/>
      <c r="BH133" s="1751" t="n"/>
      <c r="BI133" s="1751" t="n"/>
      <c r="BJ133" s="1751" t="n"/>
      <c r="BK133" s="192">
        <f t="array" ref="BK133">BK130/BK$101</f>
        <v/>
      </c>
      <c r="BL133" s="1751" t="n"/>
      <c r="BM133" s="1751" t="n"/>
      <c r="BN133" s="1751" t="n"/>
      <c r="BO133" s="1751" t="n"/>
      <c r="BP133" s="192">
        <f t="array" ref="BP133">BP130/BP$101</f>
        <v/>
      </c>
      <c r="BQ133" s="1751" t="n"/>
      <c r="BR133" s="1751" t="n"/>
      <c r="BS133" s="1751" t="n"/>
      <c r="BT133" s="1751" t="n"/>
      <c r="BU133" s="192">
        <f t="array" ref="BU133">BU130/BU$101</f>
        <v/>
      </c>
      <c r="BV133" s="1751" t="n"/>
      <c r="BW133" s="1751" t="n"/>
      <c r="BX133" s="1751" t="n"/>
      <c r="BY133" s="1751" t="n"/>
      <c r="BZ133" s="192">
        <f t="array" ref="BZ133">BZ130/BZ$101</f>
        <v/>
      </c>
      <c r="CA133" s="1686" t="n"/>
      <c r="CB133" s="456" t="n"/>
      <c r="CC133" s="701" t="n"/>
      <c r="CD133" s="701" t="n"/>
      <c r="CE133" s="701" t="n"/>
      <c r="CF133" s="701" t="n"/>
      <c r="CG133" s="701" t="n"/>
      <c r="CH133" s="701" t="n"/>
      <c r="CI133" s="701" t="n"/>
      <c r="CJ133" s="701" t="n"/>
      <c r="CK133" s="701" t="n"/>
      <c r="CL133" s="701" t="n"/>
      <c r="CM133" s="701" t="n"/>
      <c r="CN133" s="701" t="n"/>
      <c r="CO133" s="701" t="n"/>
      <c r="CP133" s="701" t="n"/>
      <c r="CQ133" s="701" t="n"/>
      <c r="CR133" s="701" t="n"/>
      <c r="CS133" s="701" t="n"/>
      <c r="CT133" s="701" t="n"/>
      <c r="CU133" s="701" t="n"/>
      <c r="CV133" s="701" t="n"/>
      <c r="CW133" s="30" t="n"/>
    </row>
    <row r="134" ht="13.15" customHeight="1" s="1676">
      <c r="A134" s="31" t="n"/>
      <c r="B134" s="1870" t="n"/>
      <c r="C134" s="699" t="n"/>
      <c r="D134" s="1782" t="n"/>
      <c r="E134" s="1782" t="n"/>
      <c r="F134" s="1782" t="n"/>
      <c r="G134" s="1782" t="n"/>
      <c r="H134" s="1751" t="n"/>
      <c r="I134" s="1751" t="n"/>
      <c r="J134" s="1751" t="n"/>
      <c r="K134" s="1751" t="n"/>
      <c r="L134" s="1751" t="n"/>
      <c r="M134" s="192" t="n"/>
      <c r="N134" s="1751" t="n"/>
      <c r="O134" s="1751" t="n"/>
      <c r="P134" s="1751" t="n"/>
      <c r="Q134" s="1751" t="n"/>
      <c r="R134" s="192" t="n"/>
      <c r="S134" s="1853" t="n"/>
      <c r="T134" s="1853" t="n"/>
      <c r="U134" s="1853" t="n"/>
      <c r="V134" s="1853" t="n"/>
      <c r="W134" s="192" t="n"/>
      <c r="X134" s="1853" t="n"/>
      <c r="Y134" s="1853" t="n"/>
      <c r="Z134" s="1853" t="n"/>
      <c r="AA134" s="1853" t="n"/>
      <c r="AB134" s="192" t="n"/>
      <c r="AC134" s="1751" t="n"/>
      <c r="AD134" s="1751" t="n"/>
      <c r="AE134" s="1751" t="n"/>
      <c r="AF134" s="1751" t="n"/>
      <c r="AG134" s="192" t="n"/>
      <c r="AH134" s="1751" t="n"/>
      <c r="AI134" s="1751" t="n"/>
      <c r="AJ134" s="1751" t="n"/>
      <c r="AK134" s="1751" t="n"/>
      <c r="AL134" s="192" t="n"/>
      <c r="AM134" s="1751" t="n"/>
      <c r="AN134" s="1751" t="n"/>
      <c r="AO134" s="1751" t="n"/>
      <c r="AP134" s="1751" t="n"/>
      <c r="AQ134" s="192" t="n"/>
      <c r="AR134" s="192" t="n"/>
      <c r="AS134" s="192" t="n"/>
      <c r="AT134" s="192" t="n"/>
      <c r="AU134" s="192" t="n"/>
      <c r="AV134" s="192" t="n"/>
      <c r="AW134" s="193" t="n"/>
      <c r="AX134" s="122" t="n"/>
      <c r="AY134" s="194" t="n"/>
      <c r="AZ134" s="194" t="n"/>
      <c r="BA134" s="195" t="n"/>
      <c r="BB134" s="193" t="n"/>
      <c r="BC134" s="122" t="n"/>
      <c r="BD134" s="194" t="n"/>
      <c r="BE134" s="194" t="n"/>
      <c r="BF134" s="195" t="n"/>
      <c r="BG134" s="1751" t="n"/>
      <c r="BH134" s="117" t="n"/>
      <c r="BI134" s="1751" t="n"/>
      <c r="BJ134" s="1751" t="n"/>
      <c r="BK134" s="192" t="n"/>
      <c r="BL134" s="1751" t="n"/>
      <c r="BM134" s="117" t="n"/>
      <c r="BN134" s="1751" t="n"/>
      <c r="BO134" s="1751" t="n"/>
      <c r="BP134" s="192" t="n"/>
      <c r="BQ134" s="1751" t="n"/>
      <c r="BR134" s="117" t="n"/>
      <c r="BS134" s="1751" t="n"/>
      <c r="BT134" s="1751" t="n"/>
      <c r="BU134" s="192" t="n"/>
      <c r="BV134" s="1751" t="n"/>
      <c r="BW134" s="117" t="n"/>
      <c r="BX134" s="1751" t="n"/>
      <c r="BY134" s="1751" t="n"/>
      <c r="BZ134" s="192" t="n"/>
      <c r="CA134" s="1686" t="n"/>
      <c r="CB134" s="319" t="n"/>
      <c r="CC134" s="701" t="n"/>
      <c r="CD134" s="701" t="n"/>
      <c r="CE134" s="701" t="n"/>
      <c r="CF134" s="701" t="n"/>
      <c r="CG134" s="701" t="n"/>
      <c r="CH134" s="701" t="n"/>
      <c r="CI134" s="701" t="n"/>
      <c r="CJ134" s="701" t="n"/>
      <c r="CK134" s="701" t="n"/>
      <c r="CL134" s="701" t="n"/>
      <c r="CM134" s="701" t="n"/>
      <c r="CN134" s="701" t="n"/>
      <c r="CO134" s="701" t="n"/>
      <c r="CP134" s="701" t="n"/>
      <c r="CQ134" s="701" t="n"/>
      <c r="CR134" s="701" t="n"/>
      <c r="CS134" s="701" t="n"/>
      <c r="CT134" s="701" t="n"/>
      <c r="CU134" s="701" t="n"/>
      <c r="CV134" s="701" t="n"/>
      <c r="CW134" s="30" t="n"/>
    </row>
    <row r="135" ht="12.75" customHeight="1" s="1676">
      <c r="A135" s="31" t="n"/>
      <c r="B135" s="183" t="inlineStr">
        <is>
          <t>Text_108</t>
        </is>
      </c>
      <c r="C135" s="699" t="n"/>
      <c r="D135" s="1860" t="n"/>
      <c r="E135" s="1860" t="n"/>
      <c r="F135" s="1860" t="n"/>
      <c r="G135" s="1860" t="n"/>
      <c r="H135" s="1861" t="n"/>
      <c r="I135" s="1861" t="n">
        <v>4507.07326606304</v>
      </c>
      <c r="J135" s="1861" t="n">
        <v>3472.06849028471</v>
      </c>
      <c r="K135" s="1861" t="n">
        <v>3424.46883291909</v>
      </c>
      <c r="L135" s="1714" t="n">
        <v>2992.38134970294</v>
      </c>
      <c r="M135" s="1861" t="n">
        <v>12533.7865569184</v>
      </c>
      <c r="N135" s="1861" t="n">
        <v>4798.52555856532</v>
      </c>
      <c r="O135" s="1861" t="n">
        <v>6739.93302061827</v>
      </c>
      <c r="P135" s="1861" t="n">
        <v>6399.97793239074</v>
      </c>
      <c r="Q135" s="1714" t="n">
        <v>7037.20542638463</v>
      </c>
      <c r="R135" s="1861" t="n">
        <v>23121.9145867876</v>
      </c>
      <c r="S135" s="1713" t="n">
        <v>11354.3214777675</v>
      </c>
      <c r="T135" s="1713" t="n">
        <v>8878.160012164561</v>
      </c>
      <c r="U135" s="1713" t="n">
        <v>9630.162939020791</v>
      </c>
      <c r="V135" s="1713" t="n">
        <v>6860.3525339276</v>
      </c>
      <c r="W135" s="1861" t="n">
        <v>33013.1790521351</v>
      </c>
      <c r="X135" s="1713" t="n">
        <v>5562.28368491466</v>
      </c>
      <c r="Y135" s="1713" t="n">
        <v>4891.44405715852</v>
      </c>
      <c r="Z135" s="1713" t="n">
        <v>5337.653022664</v>
      </c>
      <c r="AA135" s="1713" t="n">
        <v>4894.82287282246</v>
      </c>
      <c r="AB135" s="1861" t="n">
        <v>18488.3607101868</v>
      </c>
      <c r="AC135" s="1861" t="n">
        <v>5455.07371218008</v>
      </c>
      <c r="AD135" s="1861" t="n">
        <v>5963.12725186262</v>
      </c>
      <c r="AE135" s="1861" t="n">
        <v>6355.15122803395</v>
      </c>
      <c r="AF135" s="1861" t="n">
        <v>8337.188000268019</v>
      </c>
      <c r="AG135" s="1861" t="n">
        <v>25585.7578288118</v>
      </c>
      <c r="AH135" s="1861" t="n">
        <v>6851.81091301115</v>
      </c>
      <c r="AI135" s="1861" t="n">
        <v>10110.8352333991</v>
      </c>
      <c r="AJ135" s="1861" t="n">
        <v>10351.7074185928</v>
      </c>
      <c r="AK135" s="1714" t="n">
        <v>8310.197475427551</v>
      </c>
      <c r="AL135" s="1861" t="n">
        <v>30323.1904045742</v>
      </c>
      <c r="AM135" s="1861" t="n">
        <v>9937.424027583909</v>
      </c>
      <c r="AN135" s="1861" t="n">
        <v>8562.38896618845</v>
      </c>
      <c r="AO135" s="1861" t="n">
        <v>9060.97584147933</v>
      </c>
      <c r="AP135" s="1714" t="n">
        <v>9061.93564903171</v>
      </c>
      <c r="AQ135" s="1861" t="n">
        <v>37736.9339640688</v>
      </c>
      <c r="AR135" s="1861" t="n"/>
      <c r="AS135" s="1861" t="n"/>
      <c r="AT135" s="1861" t="n"/>
      <c r="AU135" s="1714" t="n"/>
      <c r="AV135" s="1862" t="n">
        <v>19975.288913487</v>
      </c>
      <c r="AW135" s="1863" t="n"/>
      <c r="AX135" s="1864" t="n"/>
      <c r="AY135" s="1864" t="n"/>
      <c r="AZ135" s="1850" t="n"/>
      <c r="BA135" s="1748">
        <f t="array" ref="BA135">BA138+BA142</f>
        <v/>
      </c>
      <c r="BB135" s="1863" t="n"/>
      <c r="BC135" s="1864" t="n"/>
      <c r="BD135" s="1864" t="n"/>
      <c r="BE135" s="1850" t="n"/>
      <c r="BF135" s="1748">
        <f t="array" ref="BF135">BF138+BF142</f>
        <v/>
      </c>
      <c r="BG135" s="1861" t="n"/>
      <c r="BH135" s="1861" t="n"/>
      <c r="BI135" s="1861" t="n"/>
      <c r="BJ135" s="1714" t="n"/>
      <c r="BK135" s="1745">
        <f t="array" ref="BK135">BK138+BK142</f>
        <v/>
      </c>
      <c r="BL135" s="1714" t="n"/>
      <c r="BM135" s="1714" t="n"/>
      <c r="BN135" s="1714" t="n"/>
      <c r="BO135" s="1714" t="n"/>
      <c r="BP135" s="1745">
        <f t="array" ref="BP135">BP138+BP142</f>
        <v/>
      </c>
      <c r="BQ135" s="1714" t="n"/>
      <c r="BR135" s="1714" t="n"/>
      <c r="BS135" s="1714" t="n"/>
      <c r="BT135" s="1714" t="n"/>
      <c r="BU135" s="1745">
        <f t="array" ref="BU135">BU138+BU142</f>
        <v/>
      </c>
      <c r="BV135" s="1714" t="n"/>
      <c r="BW135" s="1714" t="n"/>
      <c r="BX135" s="1714" t="n"/>
      <c r="BY135" s="1714" t="n"/>
      <c r="BZ135" s="1745">
        <f t="array" ref="BZ135">BZ138+BZ142</f>
        <v/>
      </c>
      <c r="CA135" s="270" t="inlineStr">
        <is>
          <t>Text_119</t>
        </is>
      </c>
      <c r="CB135" s="384">
        <f t="array" ref="CB135">(BU135/AV135)^(1/5)-1</f>
        <v/>
      </c>
      <c r="CC135" s="701" t="n"/>
      <c r="CD135" s="701" t="n"/>
      <c r="CE135" s="701" t="n"/>
      <c r="CF135" s="701" t="n"/>
      <c r="CG135" s="701" t="n"/>
      <c r="CH135" s="701" t="n"/>
      <c r="CI135" s="701" t="n"/>
      <c r="CJ135" s="701" t="n"/>
      <c r="CK135" s="701" t="n"/>
      <c r="CL135" s="701" t="n"/>
      <c r="CM135" s="701" t="n"/>
      <c r="CN135" s="701" t="n"/>
      <c r="CO135" s="701" t="n"/>
      <c r="CP135" s="701" t="n"/>
      <c r="CQ135" s="701" t="n"/>
      <c r="CR135" s="701" t="n"/>
      <c r="CS135" s="701" t="n"/>
      <c r="CT135" s="701" t="n"/>
      <c r="CU135" s="701" t="n"/>
      <c r="CV135" s="701" t="n"/>
      <c r="CW135" s="30" t="n"/>
    </row>
    <row r="136" ht="13.15" customHeight="1" s="1676">
      <c r="A136" s="31" t="n"/>
      <c r="B136" s="103" t="inlineStr">
        <is>
          <t>Text_24</t>
        </is>
      </c>
      <c r="C136" s="699" t="n"/>
      <c r="D136" s="1782" t="n"/>
      <c r="E136" s="1782" t="n"/>
      <c r="F136" s="1782" t="n"/>
      <c r="G136" s="1782" t="n"/>
      <c r="H136" s="1751" t="n"/>
      <c r="I136" s="1751" t="n"/>
      <c r="J136" s="1751" t="n"/>
      <c r="K136" s="1751" t="n"/>
      <c r="L136" s="1751" t="n"/>
      <c r="M136" s="1751">
        <f t="array" ref="M136">M135/H135-1</f>
        <v/>
      </c>
      <c r="N136" s="1751" t="n"/>
      <c r="O136" s="1751" t="n"/>
      <c r="P136" s="1751" t="n"/>
      <c r="Q136" s="1751" t="n"/>
      <c r="R136" s="1751">
        <f t="array" ref="R136">R135/M135-1</f>
        <v/>
      </c>
      <c r="S136" s="1853" t="n"/>
      <c r="T136" s="1853" t="n"/>
      <c r="U136" s="1853" t="n"/>
      <c r="V136" s="1853" t="n"/>
      <c r="W136" s="1751">
        <f t="array" ref="W136">W135/R135-1</f>
        <v/>
      </c>
      <c r="X136" s="1853" t="n"/>
      <c r="Y136" s="1853" t="n"/>
      <c r="Z136" s="1853" t="n"/>
      <c r="AA136" s="1853" t="n"/>
      <c r="AB136" s="1751">
        <f t="array" ref="AB136">AB135/W135-1</f>
        <v/>
      </c>
      <c r="AC136" s="1751" t="n"/>
      <c r="AD136" s="1751" t="n"/>
      <c r="AE136" s="1751" t="n"/>
      <c r="AF136" s="1751" t="n"/>
      <c r="AG136" s="1751">
        <f t="array" ref="AG136">AG135/AB135-1</f>
        <v/>
      </c>
      <c r="AH136" s="1751" t="n"/>
      <c r="AI136" s="1751" t="n"/>
      <c r="AJ136" s="1751" t="n"/>
      <c r="AK136" s="1751" t="n"/>
      <c r="AL136" s="1751">
        <f t="array" ref="AL136">AL135/AG135-1</f>
        <v/>
      </c>
      <c r="AM136" s="1751" t="n"/>
      <c r="AN136" s="1751" t="n"/>
      <c r="AO136" s="1751" t="n"/>
      <c r="AP136" s="1751" t="n"/>
      <c r="AQ136" s="1751">
        <f t="array" ref="AQ136">AQ135/AL135-1</f>
        <v/>
      </c>
      <c r="AR136" s="1751" t="n"/>
      <c r="AS136" s="1751" t="n"/>
      <c r="AT136" s="1751" t="n"/>
      <c r="AU136" s="1751" t="n"/>
      <c r="AV136" s="1751">
        <f t="array" ref="AV136">AV135/AQ135-1</f>
        <v/>
      </c>
      <c r="AW136" s="1749" t="n"/>
      <c r="AX136" s="1750" t="n"/>
      <c r="AY136" s="1750" t="n"/>
      <c r="AZ136" s="1750" t="n"/>
      <c r="BA136" s="1784">
        <f t="array" ref="BA136">BA135/AV135-1</f>
        <v/>
      </c>
      <c r="BB136" s="1749" t="n"/>
      <c r="BC136" s="1750" t="n"/>
      <c r="BD136" s="1750" t="n"/>
      <c r="BE136" s="1750" t="n"/>
      <c r="BF136" s="1784">
        <f t="array" ref="BF136">BF135/BA135-1</f>
        <v/>
      </c>
      <c r="BG136" s="1751" t="n"/>
      <c r="BH136" s="1751" t="n"/>
      <c r="BI136" s="1751" t="n"/>
      <c r="BJ136" s="1751" t="n"/>
      <c r="BK136" s="1751">
        <f t="array" ref="BK136">BK135/BF135-1</f>
        <v/>
      </c>
      <c r="BL136" s="1751" t="n"/>
      <c r="BM136" s="1751" t="n"/>
      <c r="BN136" s="1751" t="n"/>
      <c r="BO136" s="1751" t="n"/>
      <c r="BP136" s="1751">
        <f t="array" ref="BP136">BP135/BK135-1</f>
        <v/>
      </c>
      <c r="BQ136" s="1751" t="n"/>
      <c r="BR136" s="1751" t="n"/>
      <c r="BS136" s="1751" t="n"/>
      <c r="BT136" s="1751" t="n"/>
      <c r="BU136" s="1751">
        <f t="array" ref="BU136">BU135/BP135-1</f>
        <v/>
      </c>
      <c r="BV136" s="1751" t="n"/>
      <c r="BW136" s="1751" t="n"/>
      <c r="BX136" s="1751" t="n"/>
      <c r="BY136" s="1751" t="n"/>
      <c r="BZ136" s="1751">
        <f t="array" ref="BZ136">BZ135/BU135-1</f>
        <v/>
      </c>
      <c r="CA136" s="1871" t="n"/>
      <c r="CB136" s="456" t="n"/>
      <c r="CC136" s="701" t="n"/>
      <c r="CD136" s="701" t="n"/>
      <c r="CE136" s="701" t="n"/>
      <c r="CF136" s="701" t="n"/>
      <c r="CG136" s="701" t="n"/>
      <c r="CH136" s="701" t="n"/>
      <c r="CI136" s="701" t="n"/>
      <c r="CJ136" s="701" t="n"/>
      <c r="CK136" s="701" t="n"/>
      <c r="CL136" s="701" t="n"/>
      <c r="CM136" s="701" t="n"/>
      <c r="CN136" s="701" t="n"/>
      <c r="CO136" s="701" t="n"/>
      <c r="CP136" s="701" t="n"/>
      <c r="CQ136" s="701" t="n"/>
      <c r="CR136" s="701" t="n"/>
      <c r="CS136" s="701" t="n"/>
      <c r="CT136" s="701" t="n"/>
      <c r="CU136" s="701" t="n"/>
      <c r="CV136" s="701" t="n"/>
      <c r="CW136" s="30" t="n"/>
    </row>
    <row r="137" ht="13.15" customHeight="1" s="1676">
      <c r="A137" s="31" t="n"/>
      <c r="B137" s="167" t="inlineStr">
        <is>
          <t>Text_91</t>
        </is>
      </c>
      <c r="C137" s="699" t="n"/>
      <c r="D137" s="1782" t="n"/>
      <c r="E137" s="1782" t="n"/>
      <c r="F137" s="1782" t="n"/>
      <c r="G137" s="1782" t="n"/>
      <c r="H137" s="1751" t="n"/>
      <c r="I137" s="1751" t="n"/>
      <c r="J137" s="1751" t="n"/>
      <c r="K137" s="1751" t="n"/>
      <c r="L137" s="1751" t="n"/>
      <c r="M137" s="192">
        <f t="array" ref="M137">M135/M$101</f>
        <v/>
      </c>
      <c r="N137" s="1751" t="n"/>
      <c r="O137" s="1751" t="n"/>
      <c r="P137" s="1751" t="n"/>
      <c r="Q137" s="1751" t="n"/>
      <c r="R137" s="192">
        <f t="array" ref="R137">R135/R$101</f>
        <v/>
      </c>
      <c r="S137" s="1853" t="n"/>
      <c r="T137" s="1853" t="n"/>
      <c r="U137" s="1853" t="n"/>
      <c r="V137" s="1853" t="n"/>
      <c r="W137" s="192">
        <f t="array" ref="W137">W135/W$101</f>
        <v/>
      </c>
      <c r="X137" s="1853" t="n"/>
      <c r="Y137" s="1853" t="n"/>
      <c r="Z137" s="1853" t="n"/>
      <c r="AA137" s="1853" t="n"/>
      <c r="AB137" s="192">
        <f t="array" ref="AB137">AB135/AB$101</f>
        <v/>
      </c>
      <c r="AC137" s="1751" t="n"/>
      <c r="AD137" s="1751" t="n"/>
      <c r="AE137" s="1751" t="n"/>
      <c r="AF137" s="1751" t="n"/>
      <c r="AG137" s="192">
        <f t="array" ref="AG137">AG135/AG$101</f>
        <v/>
      </c>
      <c r="AH137" s="1751" t="n"/>
      <c r="AI137" s="1751" t="n"/>
      <c r="AJ137" s="1751" t="n"/>
      <c r="AK137" s="1751" t="n"/>
      <c r="AL137" s="192">
        <f t="array" ref="AL137">AL135/AL$101</f>
        <v/>
      </c>
      <c r="AM137" s="1751" t="n"/>
      <c r="AN137" s="1751" t="n"/>
      <c r="AO137" s="1751" t="n"/>
      <c r="AP137" s="1751" t="n"/>
      <c r="AQ137" s="192">
        <f t="array" ref="AQ137">AQ135/AQ$101</f>
        <v/>
      </c>
      <c r="AR137" s="192" t="n"/>
      <c r="AS137" s="192" t="n"/>
      <c r="AT137" s="192" t="n"/>
      <c r="AU137" s="192" t="n"/>
      <c r="AV137" s="192">
        <f t="array" ref="AV137">AV135/AV$101</f>
        <v/>
      </c>
      <c r="AW137" s="193" t="n"/>
      <c r="AX137" s="122" t="n"/>
      <c r="AY137" s="194" t="n"/>
      <c r="AZ137" s="194" t="n"/>
      <c r="BA137" s="195">
        <f t="array" ref="BA137">BA135/BA$101</f>
        <v/>
      </c>
      <c r="BB137" s="193" t="n"/>
      <c r="BC137" s="122" t="n"/>
      <c r="BD137" s="194" t="n"/>
      <c r="BE137" s="194" t="n"/>
      <c r="BF137" s="195">
        <f t="array" ref="BF137">BF135/BF$101</f>
        <v/>
      </c>
      <c r="BG137" s="1751" t="n"/>
      <c r="BH137" s="117" t="n"/>
      <c r="BI137" s="1751" t="n"/>
      <c r="BJ137" s="1751" t="n"/>
      <c r="BK137" s="192">
        <f t="array" ref="BK137">BK135/BK$101</f>
        <v/>
      </c>
      <c r="BL137" s="1751" t="n"/>
      <c r="BM137" s="117" t="n"/>
      <c r="BN137" s="1751" t="n"/>
      <c r="BO137" s="1751" t="n"/>
      <c r="BP137" s="192">
        <f t="array" ref="BP137">BP135/BP$101</f>
        <v/>
      </c>
      <c r="BQ137" s="1751" t="n"/>
      <c r="BR137" s="117" t="n"/>
      <c r="BS137" s="1751" t="n"/>
      <c r="BT137" s="1751" t="n"/>
      <c r="BU137" s="192">
        <f t="array" ref="BU137">BU135/BU$101</f>
        <v/>
      </c>
      <c r="BV137" s="1751" t="n"/>
      <c r="BW137" s="117" t="n"/>
      <c r="BX137" s="1751" t="n"/>
      <c r="BY137" s="1751" t="n"/>
      <c r="BZ137" s="192">
        <f t="array" ref="BZ137">BZ135/BZ$101</f>
        <v/>
      </c>
      <c r="CA137" s="238" t="inlineStr">
        <is>
          <t>Text_120</t>
        </is>
      </c>
      <c r="CB137" s="319" t="n"/>
      <c r="CC137" s="701" t="n"/>
      <c r="CD137" s="701" t="n"/>
      <c r="CE137" s="701" t="n"/>
      <c r="CF137" s="701" t="n"/>
      <c r="CG137" s="701" t="n"/>
      <c r="CH137" s="701" t="n"/>
      <c r="CI137" s="701" t="n"/>
      <c r="CJ137" s="701" t="n"/>
      <c r="CK137" s="701" t="n"/>
      <c r="CL137" s="701" t="n"/>
      <c r="CM137" s="701" t="n"/>
      <c r="CN137" s="701" t="n"/>
      <c r="CO137" s="701" t="n"/>
      <c r="CP137" s="701" t="n"/>
      <c r="CQ137" s="701" t="n"/>
      <c r="CR137" s="701" t="n"/>
      <c r="CS137" s="701" t="n"/>
      <c r="CT137" s="701" t="n"/>
      <c r="CU137" s="701" t="n"/>
      <c r="CV137" s="701" t="n"/>
      <c r="CW137" s="30" t="n"/>
    </row>
    <row r="138" ht="12.75" customHeight="1" s="1676">
      <c r="A138" s="31" t="n"/>
      <c r="B138" s="183" t="inlineStr">
        <is>
          <t>Text_121</t>
        </is>
      </c>
      <c r="C138" s="699" t="n"/>
      <c r="D138" s="1860" t="n"/>
      <c r="E138" s="1860" t="n"/>
      <c r="F138" s="1860" t="n"/>
      <c r="G138" s="1860" t="n"/>
      <c r="H138" s="1861" t="n"/>
      <c r="I138" s="1861" t="n">
        <v>1948.35887509178</v>
      </c>
      <c r="J138" s="1861" t="n">
        <v>1092.94195469024</v>
      </c>
      <c r="K138" s="1861" t="n">
        <v>1175.65966064863</v>
      </c>
      <c r="L138" s="1714" t="n">
        <v>1270.10935703201</v>
      </c>
      <c r="M138" s="1861" t="n">
        <v>6121.30773010858</v>
      </c>
      <c r="N138" s="1861" t="n">
        <v>2589.02819685363</v>
      </c>
      <c r="O138" s="1861" t="n">
        <v>2334.1453961978</v>
      </c>
      <c r="P138" s="1861" t="n">
        <v>1972.51223662842</v>
      </c>
      <c r="Q138" s="1714" t="n">
        <v>3136.81081722968</v>
      </c>
      <c r="R138" s="1861" t="n">
        <v>7814.93142380956</v>
      </c>
      <c r="S138" s="1713" t="n">
        <v>5397.75029925122</v>
      </c>
      <c r="T138" s="1713" t="n">
        <v>3408.76011220186</v>
      </c>
      <c r="U138" s="1713" t="n">
        <v>3795.59143099991</v>
      </c>
      <c r="V138" s="1713" t="n">
        <v>3321.10870768055</v>
      </c>
      <c r="W138" s="1861" t="n">
        <v>13478.0393011653</v>
      </c>
      <c r="X138" s="1713" t="n">
        <v>2378.93495692981</v>
      </c>
      <c r="Y138" s="1713" t="n">
        <v>2678.30148717654</v>
      </c>
      <c r="Z138" s="1713" t="n">
        <v>2561.08148670747</v>
      </c>
      <c r="AA138" s="1713" t="n">
        <v>2217.8063879184</v>
      </c>
      <c r="AB138" s="1861" t="n">
        <v>10323.9503944987</v>
      </c>
      <c r="AC138" s="1861" t="n">
        <v>2045.48054526366</v>
      </c>
      <c r="AD138" s="1861" t="n">
        <v>2700.40869042399</v>
      </c>
      <c r="AE138" s="1861" t="n">
        <v>2596.72939370905</v>
      </c>
      <c r="AF138" s="1861" t="n">
        <v>2628.40793205045</v>
      </c>
      <c r="AG138" s="1861" t="n">
        <v>12551.402817595</v>
      </c>
      <c r="AH138" s="1861" t="n">
        <v>3081.94661803045</v>
      </c>
      <c r="AI138" s="1861" t="n">
        <v>3360.04500472174</v>
      </c>
      <c r="AJ138" s="1861" t="n">
        <v>5330.66394914926</v>
      </c>
      <c r="AK138" s="1714" t="n">
        <v>5869.31961919012</v>
      </c>
      <c r="AL138" s="1861" t="n">
        <v>14533.2093621873</v>
      </c>
      <c r="AM138" s="1861" t="n">
        <v>5367.07200107707</v>
      </c>
      <c r="AN138" s="1861" t="n">
        <v>3737.25543810422</v>
      </c>
      <c r="AO138" s="1861" t="n">
        <v>4397.4355791553</v>
      </c>
      <c r="AP138" s="1714" t="n">
        <v>3241.02810405936</v>
      </c>
      <c r="AQ138" s="1861" t="n">
        <v>19692.756355148</v>
      </c>
      <c r="AR138" s="1861" t="n"/>
      <c r="AS138" s="1861" t="n"/>
      <c r="AT138" s="1861" t="n"/>
      <c r="AU138" s="1714" t="n"/>
      <c r="AV138" s="1862" t="n">
        <v>19123.2754383581</v>
      </c>
      <c r="AW138" s="1863" t="n"/>
      <c r="AX138" s="1864" t="n"/>
      <c r="AY138" s="1864" t="n"/>
      <c r="AZ138" s="1850" t="n"/>
      <c r="BA138" s="1748">
        <f t="array" ref="BA138">AV138*(1+BA139)</f>
        <v/>
      </c>
      <c r="BB138" s="1863" t="n"/>
      <c r="BC138" s="1864" t="n"/>
      <c r="BD138" s="1864" t="n"/>
      <c r="BE138" s="1850" t="n"/>
      <c r="BF138" s="1748">
        <f t="array" ref="BF138">BA138*(1+BF139)</f>
        <v/>
      </c>
      <c r="BG138" s="1861" t="n"/>
      <c r="BH138" s="1861" t="n"/>
      <c r="BI138" s="1861" t="n"/>
      <c r="BJ138" s="1714" t="n"/>
      <c r="BK138" s="1745">
        <f t="array" ref="BK138">BF138*(1+BK139)</f>
        <v/>
      </c>
      <c r="BL138" s="1861" t="n"/>
      <c r="BM138" s="1861" t="n"/>
      <c r="BN138" s="1861" t="n"/>
      <c r="BO138" s="1714" t="n"/>
      <c r="BP138" s="1745">
        <f t="array" ref="BP138">BK138*(1+BP139)</f>
        <v/>
      </c>
      <c r="BQ138" s="1861" t="n"/>
      <c r="BR138" s="1861" t="n"/>
      <c r="BS138" s="1861" t="n"/>
      <c r="BT138" s="1714" t="n"/>
      <c r="BU138" s="1745">
        <f t="array" ref="BU138">BP138*(1+BU139)</f>
        <v/>
      </c>
      <c r="BV138" s="1861" t="n"/>
      <c r="BW138" s="1861" t="n"/>
      <c r="BX138" s="1861" t="n"/>
      <c r="BY138" s="1714" t="n"/>
      <c r="BZ138" s="1745">
        <f t="array" ref="BZ138">BU138*(1+BZ139)</f>
        <v/>
      </c>
      <c r="CA138" s="388" t="inlineStr">
        <is>
          <t>Text_122</t>
        </is>
      </c>
      <c r="CB138" s="384">
        <f t="array" ref="CB138">(BU138/AV138)^(1/5)-1</f>
        <v/>
      </c>
      <c r="CC138" s="701" t="n"/>
      <c r="CD138" s="701" t="n"/>
      <c r="CE138" s="701" t="n"/>
      <c r="CF138" s="701" t="n"/>
      <c r="CG138" s="701" t="n"/>
      <c r="CH138" s="701" t="n"/>
      <c r="CI138" s="701" t="n"/>
      <c r="CJ138" s="701" t="n"/>
      <c r="CK138" s="701" t="n"/>
      <c r="CL138" s="701" t="n"/>
      <c r="CM138" s="701" t="n"/>
      <c r="CN138" s="701" t="n"/>
      <c r="CO138" s="701" t="n"/>
      <c r="CP138" s="701" t="n"/>
      <c r="CQ138" s="701" t="n"/>
      <c r="CR138" s="701" t="n"/>
      <c r="CS138" s="701" t="n"/>
      <c r="CT138" s="701" t="n"/>
      <c r="CU138" s="701" t="n"/>
      <c r="CV138" s="701" t="n"/>
      <c r="CW138" s="30" t="n"/>
    </row>
    <row r="139" ht="13.15" customHeight="1" s="1676">
      <c r="A139" s="31" t="n"/>
      <c r="B139" s="103" t="inlineStr">
        <is>
          <t>Text_24</t>
        </is>
      </c>
      <c r="C139" s="699" t="n"/>
      <c r="D139" s="1782" t="n"/>
      <c r="E139" s="1782" t="n"/>
      <c r="F139" s="1782" t="n"/>
      <c r="G139" s="1782" t="n"/>
      <c r="H139" s="1751" t="n"/>
      <c r="I139" s="1751" t="n"/>
      <c r="J139" s="1751" t="n"/>
      <c r="K139" s="1751" t="n"/>
      <c r="L139" s="1751" t="n"/>
      <c r="M139" s="1751">
        <f t="array" ref="M139">M138/H138-1</f>
        <v/>
      </c>
      <c r="N139" s="1751" t="n"/>
      <c r="O139" s="1751" t="n"/>
      <c r="P139" s="1751" t="n"/>
      <c r="Q139" s="1751" t="n"/>
      <c r="R139" s="1751">
        <f t="array" ref="R139">R138/M138-1</f>
        <v/>
      </c>
      <c r="S139" s="1853" t="n"/>
      <c r="T139" s="1853" t="n"/>
      <c r="U139" s="1853" t="n"/>
      <c r="V139" s="1853" t="n"/>
      <c r="W139" s="1751">
        <f t="array" ref="W139">W138/R138-1</f>
        <v/>
      </c>
      <c r="X139" s="1853" t="n"/>
      <c r="Y139" s="1853" t="n"/>
      <c r="Z139" s="1853" t="n"/>
      <c r="AA139" s="1853" t="n"/>
      <c r="AB139" s="1876">
        <f t="array" ref="AB139">AB138/W138-1</f>
        <v/>
      </c>
      <c r="AC139" s="1751" t="n"/>
      <c r="AD139" s="1751" t="n"/>
      <c r="AE139" s="1751" t="n"/>
      <c r="AF139" s="1751" t="n"/>
      <c r="AG139" s="1751">
        <f t="array" ref="AG139">AG138/AB138-1</f>
        <v/>
      </c>
      <c r="AH139" s="1751" t="n"/>
      <c r="AI139" s="1751" t="n"/>
      <c r="AJ139" s="1751" t="n"/>
      <c r="AK139" s="1751" t="n"/>
      <c r="AL139" s="1751">
        <f t="array" ref="AL139">AL138/AG138-1</f>
        <v/>
      </c>
      <c r="AM139" s="1751" t="n"/>
      <c r="AN139" s="1751" t="n"/>
      <c r="AO139" s="1751" t="n"/>
      <c r="AP139" s="1751" t="n"/>
      <c r="AQ139" s="1751">
        <f t="array" ref="AQ139">AQ138/AL138-1</f>
        <v/>
      </c>
      <c r="AR139" s="1751" t="n"/>
      <c r="AS139" s="1751" t="n"/>
      <c r="AT139" s="1751" t="n"/>
      <c r="AU139" s="1751" t="n"/>
      <c r="AV139" s="1751">
        <f t="array" ref="AV139">AV138/AQ138-1</f>
        <v/>
      </c>
      <c r="AW139" s="1749" t="n"/>
      <c r="AX139" s="194" t="n"/>
      <c r="AY139" s="1750" t="n"/>
      <c r="AZ139" s="1750" t="n"/>
      <c r="BA139" s="1855" t="n">
        <v>0.201736884895712</v>
      </c>
      <c r="BB139" s="1749" t="n"/>
      <c r="BC139" s="194" t="n"/>
      <c r="BD139" s="1750" t="n"/>
      <c r="BE139" s="1750" t="n"/>
      <c r="BF139" s="1855" t="n">
        <v>0.153933016477538</v>
      </c>
      <c r="BG139" s="1751" t="n"/>
      <c r="BH139" s="192" t="n"/>
      <c r="BI139" s="1751" t="n"/>
      <c r="BJ139" s="1751" t="n"/>
      <c r="BK139" s="1856" t="n">
        <v>0.158449987623546</v>
      </c>
      <c r="BL139" s="1860" t="n"/>
      <c r="BM139" s="1860" t="n"/>
      <c r="BN139" s="1860" t="n"/>
      <c r="BO139" s="1860" t="n"/>
      <c r="BP139" s="1856" t="n">
        <v>0.0513815908954227</v>
      </c>
      <c r="BQ139" s="1860" t="n"/>
      <c r="BR139" s="1860" t="n"/>
      <c r="BS139" s="1860" t="n"/>
      <c r="BT139" s="1860" t="n"/>
      <c r="BU139" s="1856" t="n">
        <v>0.114440624686628</v>
      </c>
      <c r="BV139" s="1860" t="n"/>
      <c r="BW139" s="1860" t="n"/>
      <c r="BX139" s="1860" t="n"/>
      <c r="BY139" s="1860" t="n"/>
      <c r="BZ139" s="1856" t="n">
        <v>0.121220613762669</v>
      </c>
      <c r="CA139" s="110" t="inlineStr">
        <is>
          <t>Text_123</t>
        </is>
      </c>
      <c r="CB139" s="456" t="n"/>
      <c r="CC139" s="701" t="n"/>
      <c r="CD139" s="701" t="n"/>
      <c r="CE139" s="701" t="n"/>
      <c r="CF139" s="701" t="n"/>
      <c r="CG139" s="701" t="n"/>
      <c r="CH139" s="701" t="n"/>
      <c r="CI139" s="701" t="n"/>
      <c r="CJ139" s="701" t="n"/>
      <c r="CK139" s="701" t="n"/>
      <c r="CL139" s="701" t="n"/>
      <c r="CM139" s="701" t="n"/>
      <c r="CN139" s="701" t="n"/>
      <c r="CO139" s="701" t="n"/>
      <c r="CP139" s="701" t="n"/>
      <c r="CQ139" s="701" t="n"/>
      <c r="CR139" s="701" t="n"/>
      <c r="CS139" s="701" t="n"/>
      <c r="CT139" s="701" t="n"/>
      <c r="CU139" s="701" t="n"/>
      <c r="CV139" s="701" t="n"/>
      <c r="CW139" s="30" t="n"/>
    </row>
    <row r="140" ht="13.15" customHeight="1" s="1676">
      <c r="A140" s="31" t="n"/>
      <c r="B140" s="167" t="inlineStr">
        <is>
          <t>Text_124</t>
        </is>
      </c>
      <c r="C140" s="699" t="n"/>
      <c r="D140" s="1782" t="n"/>
      <c r="E140" s="1782" t="n"/>
      <c r="F140" s="1782" t="n"/>
      <c r="G140" s="1782" t="n"/>
      <c r="H140" s="1751" t="n"/>
      <c r="I140" s="1751" t="n"/>
      <c r="J140" s="1751" t="n"/>
      <c r="K140" s="1751" t="n"/>
      <c r="L140" s="1751" t="n"/>
      <c r="M140" s="192">
        <f t="array" ref="M140">M138/M$135</f>
        <v/>
      </c>
      <c r="N140" s="1751" t="n"/>
      <c r="O140" s="1751" t="n"/>
      <c r="P140" s="1751" t="n"/>
      <c r="Q140" s="1751" t="n"/>
      <c r="R140" s="192">
        <f t="array" ref="R140">R138/R$135</f>
        <v/>
      </c>
      <c r="S140" s="1853" t="n"/>
      <c r="T140" s="1853" t="n"/>
      <c r="U140" s="1853" t="n"/>
      <c r="V140" s="1853" t="n"/>
      <c r="W140" s="192">
        <f t="array" ref="W140">W138/W$135</f>
        <v/>
      </c>
      <c r="X140" s="1853" t="n"/>
      <c r="Y140" s="1853" t="n"/>
      <c r="Z140" s="1853" t="n"/>
      <c r="AA140" s="1853" t="n"/>
      <c r="AB140" s="192">
        <f t="array" ref="AB140">AB138/AB$135</f>
        <v/>
      </c>
      <c r="AC140" s="1751" t="n"/>
      <c r="AD140" s="1751" t="n"/>
      <c r="AE140" s="1751" t="n"/>
      <c r="AF140" s="1751" t="n"/>
      <c r="AG140" s="192">
        <f t="array" ref="AG140">AG138/AG$135</f>
        <v/>
      </c>
      <c r="AH140" s="1751" t="n"/>
      <c r="AI140" s="1751" t="n"/>
      <c r="AJ140" s="1751" t="n"/>
      <c r="AK140" s="1751" t="n"/>
      <c r="AL140" s="192">
        <f t="array" ref="AL140">AL138/AL$135</f>
        <v/>
      </c>
      <c r="AM140" s="1751" t="n"/>
      <c r="AN140" s="1751" t="n"/>
      <c r="AO140" s="1751" t="n"/>
      <c r="AP140" s="1751" t="n"/>
      <c r="AQ140" s="192">
        <f t="array" ref="AQ140">AQ138/AQ$135</f>
        <v/>
      </c>
      <c r="AR140" s="1751" t="n"/>
      <c r="AS140" s="1751" t="n"/>
      <c r="AT140" s="1751" t="n"/>
      <c r="AU140" s="1751" t="n"/>
      <c r="AV140" s="192">
        <f t="array" ref="AV140">AV138/AV$135</f>
        <v/>
      </c>
      <c r="AW140" s="1901" t="n"/>
      <c r="AX140" s="1902" t="n"/>
      <c r="AY140" s="1902" t="n"/>
      <c r="AZ140" s="1902" t="n"/>
      <c r="BA140" s="195">
        <f t="array" ref="BA140">BA138/BA$135</f>
        <v/>
      </c>
      <c r="BB140" s="1901" t="n"/>
      <c r="BC140" s="1902" t="n"/>
      <c r="BD140" s="1902" t="n"/>
      <c r="BE140" s="1902" t="n"/>
      <c r="BF140" s="195">
        <f t="array" ref="BF140">BF138/BF$135</f>
        <v/>
      </c>
      <c r="BG140" s="1751" t="n"/>
      <c r="BH140" s="1751" t="n"/>
      <c r="BI140" s="1751" t="n"/>
      <c r="BJ140" s="1751" t="n"/>
      <c r="BK140" s="192">
        <f t="array" ref="BK140">BK138/BK$135</f>
        <v/>
      </c>
      <c r="BL140" s="1751" t="n"/>
      <c r="BM140" s="1751" t="n"/>
      <c r="BN140" s="1751" t="n"/>
      <c r="BO140" s="1751" t="n"/>
      <c r="BP140" s="192">
        <f t="array" ref="BP140">BP138/BP$135</f>
        <v/>
      </c>
      <c r="BQ140" s="1751" t="n"/>
      <c r="BR140" s="1751" t="n"/>
      <c r="BS140" s="1751" t="n"/>
      <c r="BT140" s="1751" t="n"/>
      <c r="BU140" s="192">
        <f t="array" ref="BU140">BU138/BU$135</f>
        <v/>
      </c>
      <c r="BV140" s="1751" t="n"/>
      <c r="BW140" s="1751" t="n"/>
      <c r="BX140" s="1751" t="n"/>
      <c r="BY140" s="1751" t="n"/>
      <c r="BZ140" s="192">
        <f t="array" ref="BZ140">BZ138/BZ$135</f>
        <v/>
      </c>
      <c r="CA140" s="1686" t="n"/>
      <c r="CB140" s="456" t="n"/>
      <c r="CC140" s="701" t="n"/>
      <c r="CD140" s="701" t="n"/>
      <c r="CE140" s="701" t="n"/>
      <c r="CF140" s="701" t="n"/>
      <c r="CG140" s="701" t="n"/>
      <c r="CH140" s="701" t="n"/>
      <c r="CI140" s="701" t="n"/>
      <c r="CJ140" s="701" t="n"/>
      <c r="CK140" s="701" t="n"/>
      <c r="CL140" s="701" t="n"/>
      <c r="CM140" s="701" t="n"/>
      <c r="CN140" s="701" t="n"/>
      <c r="CO140" s="701" t="n"/>
      <c r="CP140" s="701" t="n"/>
      <c r="CQ140" s="701" t="n"/>
      <c r="CR140" s="701" t="n"/>
      <c r="CS140" s="701" t="n"/>
      <c r="CT140" s="701" t="n"/>
      <c r="CU140" s="701" t="n"/>
      <c r="CV140" s="701" t="n"/>
      <c r="CW140" s="30" t="n"/>
    </row>
    <row r="141" ht="13.15" customHeight="1" s="1676">
      <c r="A141" s="31" t="n"/>
      <c r="B141" s="167" t="inlineStr">
        <is>
          <t>Text_114</t>
        </is>
      </c>
      <c r="C141" s="699" t="n"/>
      <c r="D141" s="1782" t="n"/>
      <c r="E141" s="1782" t="n"/>
      <c r="F141" s="1782" t="n"/>
      <c r="G141" s="1782" t="n"/>
      <c r="H141" s="1751" t="n"/>
      <c r="I141" s="1751" t="n"/>
      <c r="J141" s="1751" t="n"/>
      <c r="K141" s="1751" t="n"/>
      <c r="L141" s="1751" t="n"/>
      <c r="M141" s="192">
        <f t="array" ref="M141">M138/M$101</f>
        <v/>
      </c>
      <c r="N141" s="1751" t="n"/>
      <c r="O141" s="1751" t="n"/>
      <c r="P141" s="1751" t="n"/>
      <c r="Q141" s="1751" t="n"/>
      <c r="R141" s="192">
        <f t="array" ref="R141">R138/R$101</f>
        <v/>
      </c>
      <c r="S141" s="1853" t="n"/>
      <c r="T141" s="1853" t="n"/>
      <c r="U141" s="1853" t="n"/>
      <c r="V141" s="1853" t="n"/>
      <c r="W141" s="192">
        <f t="array" ref="W141">W138/W$101</f>
        <v/>
      </c>
      <c r="X141" s="1853" t="n"/>
      <c r="Y141" s="1853" t="n"/>
      <c r="Z141" s="1853" t="n"/>
      <c r="AA141" s="1853" t="n"/>
      <c r="AB141" s="192">
        <f t="array" ref="AB141">AB138/AB$101</f>
        <v/>
      </c>
      <c r="AC141" s="1751" t="n"/>
      <c r="AD141" s="1751" t="n"/>
      <c r="AE141" s="1751" t="n"/>
      <c r="AF141" s="1751" t="n"/>
      <c r="AG141" s="192">
        <f t="array" ref="AG141">AG138/AG$101</f>
        <v/>
      </c>
      <c r="AH141" s="1751" t="n"/>
      <c r="AI141" s="1751" t="n"/>
      <c r="AJ141" s="1751" t="n"/>
      <c r="AK141" s="1751" t="n"/>
      <c r="AL141" s="192">
        <f t="array" ref="AL141">AL138/AL$101</f>
        <v/>
      </c>
      <c r="AM141" s="1751" t="n"/>
      <c r="AN141" s="1751" t="n"/>
      <c r="AO141" s="1751" t="n"/>
      <c r="AP141" s="1751" t="n"/>
      <c r="AQ141" s="192">
        <f t="array" ref="AQ141">AQ138/AQ$101</f>
        <v/>
      </c>
      <c r="AR141" s="1751" t="n"/>
      <c r="AS141" s="1751" t="n"/>
      <c r="AT141" s="1751" t="n"/>
      <c r="AU141" s="1751" t="n"/>
      <c r="AV141" s="192">
        <f t="array" ref="AV141">AV138/AV$101</f>
        <v/>
      </c>
      <c r="AW141" s="1901" t="n"/>
      <c r="AX141" s="1902" t="n"/>
      <c r="AY141" s="1902" t="n"/>
      <c r="AZ141" s="1902" t="n"/>
      <c r="BA141" s="195">
        <f t="array" ref="BA141">BA138/BA$101</f>
        <v/>
      </c>
      <c r="BB141" s="1901" t="n"/>
      <c r="BC141" s="1902" t="n"/>
      <c r="BD141" s="1902" t="n"/>
      <c r="BE141" s="1902" t="n"/>
      <c r="BF141" s="195">
        <f t="array" ref="BF141">BF138/BF$101</f>
        <v/>
      </c>
      <c r="BG141" s="1751" t="n"/>
      <c r="BH141" s="1751" t="n"/>
      <c r="BI141" s="1751" t="n"/>
      <c r="BJ141" s="1751" t="n"/>
      <c r="BK141" s="192">
        <f t="array" ref="BK141">BK138/BK$101</f>
        <v/>
      </c>
      <c r="BL141" s="1751" t="n"/>
      <c r="BM141" s="1751" t="n"/>
      <c r="BN141" s="1751" t="n"/>
      <c r="BO141" s="1751" t="n"/>
      <c r="BP141" s="192">
        <f t="array" ref="BP141">BP138/BP$101</f>
        <v/>
      </c>
      <c r="BQ141" s="1751" t="n"/>
      <c r="BR141" s="1751" t="n"/>
      <c r="BS141" s="1751" t="n"/>
      <c r="BT141" s="1751" t="n"/>
      <c r="BU141" s="192">
        <f t="array" ref="BU141">BU138/BU$101</f>
        <v/>
      </c>
      <c r="BV141" s="1751" t="n"/>
      <c r="BW141" s="1751" t="n"/>
      <c r="BX141" s="1751" t="n"/>
      <c r="BY141" s="1751" t="n"/>
      <c r="BZ141" s="192">
        <f t="array" ref="BZ141">BZ138/BZ$101</f>
        <v/>
      </c>
      <c r="CA141" s="238" t="inlineStr">
        <is>
          <t>Text_125</t>
        </is>
      </c>
      <c r="CB141" s="456" t="n"/>
      <c r="CC141" s="701" t="n"/>
      <c r="CD141" s="701" t="n"/>
      <c r="CE141" s="701" t="n"/>
      <c r="CF141" s="701" t="n"/>
      <c r="CG141" s="701" t="n"/>
      <c r="CH141" s="701" t="n"/>
      <c r="CI141" s="701" t="n"/>
      <c r="CJ141" s="701" t="n"/>
      <c r="CK141" s="701" t="n"/>
      <c r="CL141" s="701" t="n"/>
      <c r="CM141" s="701" t="n"/>
      <c r="CN141" s="701" t="n"/>
      <c r="CO141" s="701" t="n"/>
      <c r="CP141" s="701" t="n"/>
      <c r="CQ141" s="701" t="n"/>
      <c r="CR141" s="701" t="n"/>
      <c r="CS141" s="701" t="n"/>
      <c r="CT141" s="701" t="n"/>
      <c r="CU141" s="701" t="n"/>
      <c r="CV141" s="701" t="n"/>
      <c r="CW141" s="30" t="n"/>
    </row>
    <row r="142" ht="15" customHeight="1" s="1676">
      <c r="A142" s="31" t="n"/>
      <c r="B142" s="103" t="inlineStr">
        <is>
          <t>Text_126</t>
        </is>
      </c>
      <c r="C142" s="699" t="n"/>
      <c r="D142" s="1713" t="n"/>
      <c r="E142" s="1713" t="n"/>
      <c r="F142" s="1713" t="n"/>
      <c r="G142" s="1713" t="n"/>
      <c r="H142" s="1714" t="n"/>
      <c r="I142" s="1714" t="n">
        <v>1958.62270687065</v>
      </c>
      <c r="J142" s="1714" t="n">
        <v>2736.24189892382</v>
      </c>
      <c r="K142" s="1714" t="n">
        <v>2171.0829828208</v>
      </c>
      <c r="L142" s="1714" t="n">
        <v>2163.85146815593</v>
      </c>
      <c r="M142" s="1714" t="n">
        <v>9978.938940627109</v>
      </c>
      <c r="N142" s="1714" t="n">
        <v>3143.0791931634</v>
      </c>
      <c r="O142" s="1714" t="n">
        <v>3340.88730423977</v>
      </c>
      <c r="P142" s="1714" t="n">
        <v>4648.82823038225</v>
      </c>
      <c r="Q142" s="1714" t="n">
        <v>4765.84702766646</v>
      </c>
      <c r="R142" s="1714" t="n">
        <v>12959.6533380247</v>
      </c>
      <c r="S142" s="1713" t="n">
        <v>5988.61695193718</v>
      </c>
      <c r="T142" s="1713" t="n">
        <v>6051.10854233053</v>
      </c>
      <c r="U142" s="1713" t="n">
        <v>4624.32019468029</v>
      </c>
      <c r="V142" s="1713" t="n">
        <v>4211.1933676838</v>
      </c>
      <c r="W142" s="1714" t="n">
        <v>18279.9656737338</v>
      </c>
      <c r="X142" s="1713" t="n">
        <v>2448.72272691917</v>
      </c>
      <c r="Y142" s="1713" t="n">
        <v>2665.84098743369</v>
      </c>
      <c r="Z142" s="1713" t="n">
        <v>2807.24474702824</v>
      </c>
      <c r="AA142" s="1713" t="n">
        <v>2235.8922013813</v>
      </c>
      <c r="AB142" s="1714" t="n">
        <v>10515.3348102575</v>
      </c>
      <c r="AC142" s="1714" t="n">
        <v>2582.16456924118</v>
      </c>
      <c r="AD142" s="1714" t="n">
        <v>3305.591346823</v>
      </c>
      <c r="AE142" s="1714" t="n">
        <v>4063.0404888241</v>
      </c>
      <c r="AF142" s="1714" t="n">
        <v>3902.66965410478</v>
      </c>
      <c r="AG142" s="1714" t="n">
        <v>12754.0265656974</v>
      </c>
      <c r="AH142" s="1714" t="n">
        <v>5591.74515990165</v>
      </c>
      <c r="AI142" s="1714" t="n">
        <v>5000.04079731507</v>
      </c>
      <c r="AJ142" s="1714" t="n">
        <v>3949.07416216473</v>
      </c>
      <c r="AK142" s="1714" t="n">
        <v>3846.92594081658</v>
      </c>
      <c r="AL142" s="1714" t="n">
        <v>15896.772927833</v>
      </c>
      <c r="AM142" s="1714" t="n">
        <v>3218.5732518857</v>
      </c>
      <c r="AN142" s="1714" t="n">
        <v>4442.46617324728</v>
      </c>
      <c r="AO142" s="1714" t="n">
        <v>4581.00598651959</v>
      </c>
      <c r="AP142" s="1714" t="n">
        <v>4445.858877044</v>
      </c>
      <c r="AQ142" s="1714" t="n">
        <v>15771.5149637009</v>
      </c>
      <c r="AR142" s="1714" t="n"/>
      <c r="AS142" s="1714" t="n"/>
      <c r="AT142" s="1714" t="n"/>
      <c r="AU142" s="1714" t="n"/>
      <c r="AV142" s="1714">
        <f t="array" ref="AV142">AV135-AV138</f>
        <v/>
      </c>
      <c r="AW142" s="1879" t="n"/>
      <c r="AX142" s="194" t="n"/>
      <c r="AY142" s="1850" t="n"/>
      <c r="AZ142" s="1850" t="n"/>
      <c r="BA142" s="1748">
        <f t="array" ref="BA142">AV142*(1+BA143)</f>
        <v/>
      </c>
      <c r="BB142" s="1879" t="n"/>
      <c r="BC142" s="194" t="n"/>
      <c r="BD142" s="1850" t="n"/>
      <c r="BE142" s="1850" t="n"/>
      <c r="BF142" s="1748">
        <f t="array" ref="BF142">BA142*(1+BF143)</f>
        <v/>
      </c>
      <c r="BG142" s="1714" t="n"/>
      <c r="BH142" s="192" t="n"/>
      <c r="BI142" s="1714" t="n"/>
      <c r="BJ142" s="1714" t="n"/>
      <c r="BK142" s="1745">
        <f t="array" ref="BK142">BF142*(1+BK143)</f>
        <v/>
      </c>
      <c r="BL142" s="1861" t="n"/>
      <c r="BM142" s="1861" t="n"/>
      <c r="BN142" s="1861" t="n"/>
      <c r="BO142" s="1714" t="n"/>
      <c r="BP142" s="1745">
        <f t="array" ref="BP142">BK142*(1+BP143)</f>
        <v/>
      </c>
      <c r="BQ142" s="1861" t="n"/>
      <c r="BR142" s="1861" t="n"/>
      <c r="BS142" s="1861" t="n"/>
      <c r="BT142" s="1714" t="n"/>
      <c r="BU142" s="1745">
        <f t="array" ref="BU142">BP142*(1+BU143)</f>
        <v/>
      </c>
      <c r="BV142" s="1861" t="n"/>
      <c r="BW142" s="1861" t="n"/>
      <c r="BX142" s="1861" t="n"/>
      <c r="BY142" s="1714" t="n"/>
      <c r="BZ142" s="1745">
        <f t="array" ref="BZ142">BU142*(1+BZ143)</f>
        <v/>
      </c>
      <c r="CA142" s="110" t="inlineStr">
        <is>
          <t>Text_127</t>
        </is>
      </c>
      <c r="CB142" s="384">
        <f t="array" ref="CB142">(BU142/AV142)^(1/5)-1</f>
        <v/>
      </c>
      <c r="CC142" s="701" t="n"/>
      <c r="CD142" s="701" t="n"/>
      <c r="CE142" s="701" t="n"/>
      <c r="CF142" s="701" t="n"/>
      <c r="CG142" s="701" t="n"/>
      <c r="CH142" s="701" t="n"/>
      <c r="CI142" s="701" t="n"/>
      <c r="CJ142" s="701" t="n"/>
      <c r="CK142" s="701" t="n"/>
      <c r="CL142" s="701" t="n"/>
      <c r="CM142" s="701" t="n"/>
      <c r="CN142" s="701" t="n"/>
      <c r="CO142" s="701" t="n"/>
      <c r="CP142" s="701" t="n"/>
      <c r="CQ142" s="701" t="n"/>
      <c r="CR142" s="701" t="n"/>
      <c r="CS142" s="701" t="n"/>
      <c r="CT142" s="701" t="n"/>
      <c r="CU142" s="701" t="n"/>
      <c r="CV142" s="701" t="n"/>
      <c r="CW142" s="30" t="n"/>
    </row>
    <row r="143" ht="13.15" customHeight="1" s="1676">
      <c r="A143" s="31" t="n"/>
      <c r="B143" s="103" t="inlineStr">
        <is>
          <t>Text_24</t>
        </is>
      </c>
      <c r="C143" s="699" t="n"/>
      <c r="D143" s="1782" t="n"/>
      <c r="E143" s="1782" t="n"/>
      <c r="F143" s="1782" t="n"/>
      <c r="G143" s="1782" t="n"/>
      <c r="H143" s="1751" t="n"/>
      <c r="I143" s="1751" t="n"/>
      <c r="J143" s="1751" t="n"/>
      <c r="K143" s="1751" t="n"/>
      <c r="L143" s="1751" t="n"/>
      <c r="M143" s="1751">
        <f t="array" ref="M143">M142/H142-1</f>
        <v/>
      </c>
      <c r="N143" s="1751" t="n"/>
      <c r="O143" s="1751" t="n"/>
      <c r="P143" s="1751" t="n"/>
      <c r="Q143" s="1751" t="n"/>
      <c r="R143" s="1751">
        <f t="array" ref="R143">R142/M142-1</f>
        <v/>
      </c>
      <c r="S143" s="1853" t="n"/>
      <c r="T143" s="1853" t="n"/>
      <c r="U143" s="1853" t="n"/>
      <c r="V143" s="1853" t="n"/>
      <c r="W143" s="1751">
        <f t="array" ref="W143">W142/R142-1</f>
        <v/>
      </c>
      <c r="X143" s="1853" t="n"/>
      <c r="Y143" s="1853" t="n"/>
      <c r="Z143" s="1853" t="n"/>
      <c r="AA143" s="1853" t="n"/>
      <c r="AB143" s="1751">
        <f t="array" ref="AB143">AB142/W142-1</f>
        <v/>
      </c>
      <c r="AC143" s="1751" t="n"/>
      <c r="AD143" s="1751" t="n"/>
      <c r="AE143" s="1751" t="n"/>
      <c r="AF143" s="1751" t="n"/>
      <c r="AG143" s="1751">
        <f t="array" ref="AG143">AG142/AB142-1</f>
        <v/>
      </c>
      <c r="AH143" s="1751" t="n"/>
      <c r="AI143" s="1751" t="n"/>
      <c r="AJ143" s="1751" t="n"/>
      <c r="AK143" s="1751" t="n"/>
      <c r="AL143" s="1751">
        <f t="array" ref="AL143">AL142/AG142-1</f>
        <v/>
      </c>
      <c r="AM143" s="1751" t="n"/>
      <c r="AN143" s="1751" t="n"/>
      <c r="AO143" s="1751" t="n"/>
      <c r="AP143" s="1751" t="n"/>
      <c r="AQ143" s="1751">
        <f t="array" ref="AQ143">AQ142/AL142-1</f>
        <v/>
      </c>
      <c r="AR143" s="1751" t="n"/>
      <c r="AS143" s="1751" t="n"/>
      <c r="AT143" s="1751" t="n"/>
      <c r="AU143" s="1751" t="n"/>
      <c r="AV143" s="1751">
        <f t="array" ref="AV143">AV142/AQ142-1</f>
        <v/>
      </c>
      <c r="AW143" s="1749" t="n"/>
      <c r="AX143" s="122" t="n"/>
      <c r="AY143" s="1750" t="n"/>
      <c r="AZ143" s="1750" t="n"/>
      <c r="BA143" s="1855" t="n">
        <v>0.202149022674081</v>
      </c>
      <c r="BB143" s="1749" t="n"/>
      <c r="BC143" s="122" t="n"/>
      <c r="BD143" s="1750" t="n"/>
      <c r="BE143" s="1750" t="n"/>
      <c r="BF143" s="1855" t="n">
        <v>0.356172333436245</v>
      </c>
      <c r="BG143" s="1751" t="n"/>
      <c r="BH143" s="117" t="n"/>
      <c r="BI143" s="1751" t="n"/>
      <c r="BJ143" s="1751" t="n"/>
      <c r="BK143" s="1856" t="n">
        <v>0.280523778263533</v>
      </c>
      <c r="BL143" s="1860" t="n"/>
      <c r="BM143" s="1860" t="n"/>
      <c r="BN143" s="1860" t="n"/>
      <c r="BO143" s="1860" t="n"/>
      <c r="BP143" s="1856" t="n">
        <v>0.204360996587112</v>
      </c>
      <c r="BQ143" s="1860" t="n"/>
      <c r="BR143" s="1860" t="n"/>
      <c r="BS143" s="1860" t="n"/>
      <c r="BT143" s="1860" t="n"/>
      <c r="BU143" s="1856" t="n">
        <v>0.19141429244986</v>
      </c>
      <c r="BV143" s="1860" t="n"/>
      <c r="BW143" s="1860" t="n"/>
      <c r="BX143" s="1860" t="n"/>
      <c r="BY143" s="1860" t="n"/>
      <c r="BZ143" s="1856" t="n">
        <v>0.106147604232926</v>
      </c>
      <c r="CA143" s="1686" t="n"/>
      <c r="CB143" s="456" t="n"/>
      <c r="CC143" s="701" t="n"/>
      <c r="CD143" s="701" t="n"/>
      <c r="CE143" s="701" t="n"/>
      <c r="CF143" s="701" t="n"/>
      <c r="CG143" s="701" t="n"/>
      <c r="CH143" s="701" t="n"/>
      <c r="CI143" s="701" t="n"/>
      <c r="CJ143" s="701" t="n"/>
      <c r="CK143" s="701" t="n"/>
      <c r="CL143" s="701" t="n"/>
      <c r="CM143" s="701" t="n"/>
      <c r="CN143" s="701" t="n"/>
      <c r="CO143" s="701" t="n"/>
      <c r="CP143" s="701" t="n"/>
      <c r="CQ143" s="701" t="n"/>
      <c r="CR143" s="701" t="n"/>
      <c r="CS143" s="701" t="n"/>
      <c r="CT143" s="701" t="n"/>
      <c r="CU143" s="701" t="n"/>
      <c r="CV143" s="701" t="n"/>
      <c r="CW143" s="30" t="n"/>
    </row>
    <row r="144" ht="13.15" customHeight="1" s="1676">
      <c r="A144" s="31" t="n"/>
      <c r="B144" s="167" t="inlineStr">
        <is>
          <t>Text_124</t>
        </is>
      </c>
      <c r="C144" s="699" t="n"/>
      <c r="D144" s="1782" t="n"/>
      <c r="E144" s="1782" t="n"/>
      <c r="F144" s="1782" t="n"/>
      <c r="G144" s="1782" t="n"/>
      <c r="H144" s="1751" t="n"/>
      <c r="I144" s="1751" t="n"/>
      <c r="J144" s="1751" t="n"/>
      <c r="K144" s="1751" t="n"/>
      <c r="L144" s="1751" t="n"/>
      <c r="M144" s="192">
        <f t="array" ref="M144">M142/M$135</f>
        <v/>
      </c>
      <c r="N144" s="1751" t="n"/>
      <c r="O144" s="1751" t="n"/>
      <c r="P144" s="1751" t="n"/>
      <c r="Q144" s="1751" t="n"/>
      <c r="R144" s="192">
        <f t="array" ref="R144">R142/R$135</f>
        <v/>
      </c>
      <c r="S144" s="1853" t="n"/>
      <c r="T144" s="1853" t="n"/>
      <c r="U144" s="1853" t="n"/>
      <c r="V144" s="1853" t="n"/>
      <c r="W144" s="192">
        <f t="array" ref="W144">W142/W$135</f>
        <v/>
      </c>
      <c r="X144" s="1853" t="n"/>
      <c r="Y144" s="1853" t="n"/>
      <c r="Z144" s="1853" t="n"/>
      <c r="AA144" s="1853" t="n"/>
      <c r="AB144" s="192">
        <f t="array" ref="AB144">AB142/AB$135</f>
        <v/>
      </c>
      <c r="AC144" s="1751" t="n"/>
      <c r="AD144" s="1751" t="n"/>
      <c r="AE144" s="1751" t="n"/>
      <c r="AF144" s="1751" t="n"/>
      <c r="AG144" s="192">
        <f t="array" ref="AG144">AG142/AG$135</f>
        <v/>
      </c>
      <c r="AH144" s="1751" t="n"/>
      <c r="AI144" s="1751" t="n"/>
      <c r="AJ144" s="1751" t="n"/>
      <c r="AK144" s="1751" t="n"/>
      <c r="AL144" s="192">
        <f t="array" ref="AL144">AL142/AL$135</f>
        <v/>
      </c>
      <c r="AM144" s="1751" t="n"/>
      <c r="AN144" s="1751" t="n"/>
      <c r="AO144" s="1751" t="n"/>
      <c r="AP144" s="1751" t="n"/>
      <c r="AQ144" s="192">
        <f t="array" ref="AQ144">AQ142/AQ$135</f>
        <v/>
      </c>
      <c r="AR144" s="1751" t="n"/>
      <c r="AS144" s="1751" t="n"/>
      <c r="AT144" s="1751" t="n"/>
      <c r="AU144" s="1751" t="n"/>
      <c r="AV144" s="192">
        <f t="array" ref="AV144">AV142/AV$135</f>
        <v/>
      </c>
      <c r="AW144" s="1901" t="n"/>
      <c r="AX144" s="1902" t="n"/>
      <c r="AY144" s="1902" t="n"/>
      <c r="AZ144" s="1902" t="n"/>
      <c r="BA144" s="195">
        <f t="array" ref="BA144">BA142/BA$135</f>
        <v/>
      </c>
      <c r="BB144" s="1901" t="n"/>
      <c r="BC144" s="1902" t="n"/>
      <c r="BD144" s="1902" t="n"/>
      <c r="BE144" s="1902" t="n"/>
      <c r="BF144" s="195">
        <f t="array" ref="BF144">BF142/BF$135</f>
        <v/>
      </c>
      <c r="BG144" s="1751" t="n"/>
      <c r="BH144" s="1751" t="n"/>
      <c r="BI144" s="1751" t="n"/>
      <c r="BJ144" s="1751" t="n"/>
      <c r="BK144" s="192">
        <f t="array" ref="BK144">BK142/BK$135</f>
        <v/>
      </c>
      <c r="BL144" s="1751" t="n"/>
      <c r="BM144" s="1751" t="n"/>
      <c r="BN144" s="1751" t="n"/>
      <c r="BO144" s="1751" t="n"/>
      <c r="BP144" s="192">
        <f t="array" ref="BP144">BP142/BP$135</f>
        <v/>
      </c>
      <c r="BQ144" s="1751" t="n"/>
      <c r="BR144" s="1751" t="n"/>
      <c r="BS144" s="1751" t="n"/>
      <c r="BT144" s="1751" t="n"/>
      <c r="BU144" s="192">
        <f t="array" ref="BU144">BU142/BU$135</f>
        <v/>
      </c>
      <c r="BV144" s="1751" t="n"/>
      <c r="BW144" s="1751" t="n"/>
      <c r="BX144" s="1751" t="n"/>
      <c r="BY144" s="1751" t="n"/>
      <c r="BZ144" s="192">
        <f t="array" ref="BZ144">BZ142/BZ$135</f>
        <v/>
      </c>
      <c r="CA144" s="1871" t="n"/>
      <c r="CB144" s="456" t="n"/>
      <c r="CC144" s="701" t="n"/>
      <c r="CD144" s="701" t="n"/>
      <c r="CE144" s="701" t="n"/>
      <c r="CF144" s="701" t="n"/>
      <c r="CG144" s="701" t="n"/>
      <c r="CH144" s="701" t="n"/>
      <c r="CI144" s="701" t="n"/>
      <c r="CJ144" s="701" t="n"/>
      <c r="CK144" s="701" t="n"/>
      <c r="CL144" s="701" t="n"/>
      <c r="CM144" s="701" t="n"/>
      <c r="CN144" s="701" t="n"/>
      <c r="CO144" s="701" t="n"/>
      <c r="CP144" s="701" t="n"/>
      <c r="CQ144" s="701" t="n"/>
      <c r="CR144" s="701" t="n"/>
      <c r="CS144" s="701" t="n"/>
      <c r="CT144" s="701" t="n"/>
      <c r="CU144" s="701" t="n"/>
      <c r="CV144" s="701" t="n"/>
      <c r="CW144" s="30" t="n"/>
    </row>
    <row r="145" ht="13.15" customHeight="1" s="1676">
      <c r="A145" s="31" t="n"/>
      <c r="B145" s="167" t="inlineStr">
        <is>
          <t>Text_114</t>
        </is>
      </c>
      <c r="C145" s="699" t="n"/>
      <c r="D145" s="1782" t="n"/>
      <c r="E145" s="1782" t="n"/>
      <c r="F145" s="1782" t="n"/>
      <c r="G145" s="1782" t="n"/>
      <c r="H145" s="1751" t="n"/>
      <c r="I145" s="1751" t="n"/>
      <c r="J145" s="1751" t="n"/>
      <c r="K145" s="1751" t="n"/>
      <c r="L145" s="1751" t="n"/>
      <c r="M145" s="192">
        <f t="array" ref="M145">M142/M$101</f>
        <v/>
      </c>
      <c r="N145" s="1751" t="n"/>
      <c r="O145" s="1751" t="n"/>
      <c r="P145" s="1751" t="n"/>
      <c r="Q145" s="1751" t="n"/>
      <c r="R145" s="192">
        <f t="array" ref="R145">R142/R101</f>
        <v/>
      </c>
      <c r="S145" s="1853" t="n"/>
      <c r="T145" s="1853" t="n"/>
      <c r="U145" s="1853" t="n"/>
      <c r="V145" s="1853" t="n"/>
      <c r="W145" s="192">
        <f t="array" ref="W145">W142/W101</f>
        <v/>
      </c>
      <c r="X145" s="1853" t="n"/>
      <c r="Y145" s="1853" t="n"/>
      <c r="Z145" s="1853" t="n"/>
      <c r="AA145" s="1853" t="n"/>
      <c r="AB145" s="192">
        <f t="array" ref="AB145">AB142/AB101</f>
        <v/>
      </c>
      <c r="AC145" s="1751" t="n"/>
      <c r="AD145" s="1751" t="n"/>
      <c r="AE145" s="1751" t="n"/>
      <c r="AF145" s="1751" t="n"/>
      <c r="AG145" s="192">
        <f t="array" ref="AG145">AG142/AG101</f>
        <v/>
      </c>
      <c r="AH145" s="1751" t="n"/>
      <c r="AI145" s="1751" t="n"/>
      <c r="AJ145" s="1751" t="n"/>
      <c r="AK145" s="1751" t="n"/>
      <c r="AL145" s="192">
        <f t="array" ref="AL145">AL142/AL101</f>
        <v/>
      </c>
      <c r="AM145" s="1751" t="n"/>
      <c r="AN145" s="1751" t="n"/>
      <c r="AO145" s="1751" t="n"/>
      <c r="AP145" s="1751" t="n"/>
      <c r="AQ145" s="192">
        <f t="array" ref="AQ145">AQ142/AQ101</f>
        <v/>
      </c>
      <c r="AR145" s="1751" t="n"/>
      <c r="AS145" s="1751" t="n"/>
      <c r="AT145" s="1751" t="n"/>
      <c r="AU145" s="1751" t="n"/>
      <c r="AV145" s="192">
        <f t="array" ref="AV145">AV142/AV101</f>
        <v/>
      </c>
      <c r="AW145" s="1901" t="n"/>
      <c r="AX145" s="1902" t="n"/>
      <c r="AY145" s="1902" t="n"/>
      <c r="AZ145" s="1902" t="n"/>
      <c r="BA145" s="195">
        <f t="array" ref="BA145">BA142/BA101</f>
        <v/>
      </c>
      <c r="BB145" s="1901" t="n"/>
      <c r="BC145" s="1902" t="n"/>
      <c r="BD145" s="1902" t="n"/>
      <c r="BE145" s="1902" t="n"/>
      <c r="BF145" s="195">
        <f t="array" ref="BF145">BF142/BF101</f>
        <v/>
      </c>
      <c r="BG145" s="1751" t="n"/>
      <c r="BH145" s="1751" t="n"/>
      <c r="BI145" s="1751" t="n"/>
      <c r="BJ145" s="1751" t="n"/>
      <c r="BK145" s="192">
        <f t="array" ref="BK145">BK142/BK101</f>
        <v/>
      </c>
      <c r="BL145" s="1751" t="n"/>
      <c r="BM145" s="1751" t="n"/>
      <c r="BN145" s="1751" t="n"/>
      <c r="BO145" s="1751" t="n"/>
      <c r="BP145" s="192">
        <f t="array" ref="BP145">BP142/BP101</f>
        <v/>
      </c>
      <c r="BQ145" s="1751" t="n"/>
      <c r="BR145" s="1751" t="n"/>
      <c r="BS145" s="1751" t="n"/>
      <c r="BT145" s="1751" t="n"/>
      <c r="BU145" s="192">
        <f t="array" ref="BU145">BU142/BU101</f>
        <v/>
      </c>
      <c r="BV145" s="1751" t="n"/>
      <c r="BW145" s="1751" t="n"/>
      <c r="BX145" s="1751" t="n"/>
      <c r="BY145" s="1751" t="n"/>
      <c r="BZ145" s="192">
        <f t="array" ref="BZ145">BZ142/BZ101</f>
        <v/>
      </c>
      <c r="CA145" s="238" t="inlineStr">
        <is>
          <t>Text_128</t>
        </is>
      </c>
      <c r="CB145" s="456" t="n"/>
      <c r="CC145" s="701" t="n"/>
      <c r="CD145" s="701" t="n"/>
      <c r="CE145" s="701" t="n"/>
      <c r="CF145" s="701" t="n"/>
      <c r="CG145" s="701" t="n"/>
      <c r="CH145" s="701" t="n"/>
      <c r="CI145" s="701" t="n"/>
      <c r="CJ145" s="701" t="n"/>
      <c r="CK145" s="701" t="n"/>
      <c r="CL145" s="701" t="n"/>
      <c r="CM145" s="701" t="n"/>
      <c r="CN145" s="701" t="n"/>
      <c r="CO145" s="701" t="n"/>
      <c r="CP145" s="701" t="n"/>
      <c r="CQ145" s="701" t="n"/>
      <c r="CR145" s="701" t="n"/>
      <c r="CS145" s="701" t="n"/>
      <c r="CT145" s="701" t="n"/>
      <c r="CU145" s="701" t="n"/>
      <c r="CV145" s="701" t="n"/>
      <c r="CW145" s="30" t="n"/>
    </row>
    <row r="146" ht="13.15" customHeight="1" s="1676">
      <c r="A146" s="31" t="n"/>
      <c r="B146" s="394" t="n"/>
      <c r="C146" s="699" t="n"/>
      <c r="D146" s="1884" t="n"/>
      <c r="E146" s="1884" t="n"/>
      <c r="F146" s="1884" t="n"/>
      <c r="G146" s="1884" t="n"/>
      <c r="H146" s="1751" t="n"/>
      <c r="I146" s="1751" t="n"/>
      <c r="J146" s="1751" t="n"/>
      <c r="K146" s="1751" t="n"/>
      <c r="L146" s="1751" t="n"/>
      <c r="M146" s="165" t="n"/>
      <c r="N146" s="1751" t="n"/>
      <c r="O146" s="1751" t="n"/>
      <c r="P146" s="1751" t="n"/>
      <c r="Q146" s="1751" t="n"/>
      <c r="R146" s="389" t="n"/>
      <c r="S146" s="1899" t="n"/>
      <c r="T146" s="1899" t="n"/>
      <c r="U146" s="1899" t="n"/>
      <c r="V146" s="1899" t="n"/>
      <c r="W146" s="390" t="n"/>
      <c r="X146" s="1899" t="n"/>
      <c r="Y146" s="1899" t="n"/>
      <c r="Z146" s="1899" t="n"/>
      <c r="AA146" s="1899" t="n"/>
      <c r="AB146" s="390" t="n"/>
      <c r="AC146" s="1750" t="n"/>
      <c r="AD146" s="1750" t="n"/>
      <c r="AE146" s="1750" t="n"/>
      <c r="AF146" s="1750" t="n"/>
      <c r="AG146" s="390" t="n"/>
      <c r="AH146" s="1750" t="n"/>
      <c r="AI146" s="1750" t="n"/>
      <c r="AJ146" s="1750" t="n"/>
      <c r="AK146" s="1750" t="n"/>
      <c r="AL146" s="390" t="n"/>
      <c r="AM146" s="1750" t="n"/>
      <c r="AN146" s="1750" t="n"/>
      <c r="AO146" s="1750" t="n"/>
      <c r="AP146" s="1750" t="n"/>
      <c r="AQ146" s="395" t="n"/>
      <c r="AR146" s="165" t="n"/>
      <c r="AS146" s="165" t="n"/>
      <c r="AT146" s="165" t="n"/>
      <c r="AU146" s="165" t="n"/>
      <c r="AV146" s="396" t="n"/>
      <c r="AW146" s="397" t="n"/>
      <c r="AX146" s="398" t="n"/>
      <c r="AY146" s="398" t="n"/>
      <c r="AZ146" s="398" t="n"/>
      <c r="BA146" s="166" t="n"/>
      <c r="BB146" s="1903" t="n"/>
      <c r="BC146" s="1899" t="n"/>
      <c r="BD146" s="1899" t="n"/>
      <c r="BE146" s="1899" t="n"/>
      <c r="BF146" s="166" t="n"/>
      <c r="BG146" s="1751" t="n"/>
      <c r="BH146" s="1751" t="n"/>
      <c r="BI146" s="1751" t="n"/>
      <c r="BJ146" s="1751" t="n"/>
      <c r="BK146" s="165" t="n"/>
      <c r="BL146" s="1751" t="n"/>
      <c r="BM146" s="1751" t="n"/>
      <c r="BN146" s="1751" t="n"/>
      <c r="BO146" s="1751" t="n"/>
      <c r="BP146" s="165" t="n"/>
      <c r="BQ146" s="1751" t="n"/>
      <c r="BR146" s="1751" t="n"/>
      <c r="BS146" s="1751" t="n"/>
      <c r="BT146" s="1751" t="n"/>
      <c r="BU146" s="165" t="n"/>
      <c r="BV146" s="1751" t="n"/>
      <c r="BW146" s="1751" t="n"/>
      <c r="BX146" s="1751" t="n"/>
      <c r="BY146" s="1751" t="n"/>
      <c r="BZ146" s="165" t="n"/>
      <c r="CA146" s="400" t="n"/>
      <c r="CB146" s="401" t="n"/>
      <c r="CC146" s="701" t="n"/>
      <c r="CD146" s="701" t="n"/>
      <c r="CE146" s="701" t="n"/>
      <c r="CF146" s="701" t="n"/>
      <c r="CG146" s="701" t="n"/>
      <c r="CH146" s="701" t="n"/>
      <c r="CI146" s="701" t="n"/>
      <c r="CJ146" s="701" t="n"/>
      <c r="CK146" s="701" t="n"/>
      <c r="CL146" s="701" t="n"/>
      <c r="CM146" s="701" t="n"/>
      <c r="CN146" s="701" t="n"/>
      <c r="CO146" s="701" t="n"/>
      <c r="CP146" s="701" t="n"/>
      <c r="CQ146" s="701" t="n"/>
      <c r="CR146" s="701" t="n"/>
      <c r="CS146" s="701" t="n"/>
      <c r="CT146" s="701" t="n"/>
      <c r="CU146" s="701" t="n"/>
      <c r="CV146" s="701" t="n"/>
      <c r="CW146" s="30" t="n"/>
    </row>
    <row r="147" ht="13.15" customHeight="1" s="1676">
      <c r="A147" s="31" t="n"/>
      <c r="B147" s="402" t="inlineStr">
        <is>
          <t>Text_129</t>
        </is>
      </c>
      <c r="C147" s="699" t="n"/>
      <c r="D147" s="1884" t="n"/>
      <c r="E147" s="1884" t="n"/>
      <c r="F147" s="1884" t="n"/>
      <c r="G147" s="1884" t="n"/>
      <c r="H147" s="1751" t="n"/>
      <c r="I147" s="1751" t="n"/>
      <c r="J147" s="1751" t="n"/>
      <c r="K147" s="1751" t="n"/>
      <c r="L147" s="1751" t="n"/>
      <c r="M147" s="165" t="n"/>
      <c r="N147" s="1751" t="n"/>
      <c r="O147" s="1751" t="n"/>
      <c r="P147" s="1751" t="n"/>
      <c r="Q147" s="1751" t="n"/>
      <c r="R147" s="389" t="n"/>
      <c r="S147" s="1899" t="n"/>
      <c r="T147" s="1899" t="n"/>
      <c r="U147" s="1899" t="n"/>
      <c r="V147" s="1899" t="n"/>
      <c r="W147" s="390" t="n"/>
      <c r="X147" s="1899" t="n"/>
      <c r="Y147" s="1899" t="n"/>
      <c r="Z147" s="1899" t="n"/>
      <c r="AA147" s="1899" t="n"/>
      <c r="AB147" s="390" t="n"/>
      <c r="AC147" s="1750" t="n"/>
      <c r="AD147" s="1750" t="n"/>
      <c r="AE147" s="1750" t="n"/>
      <c r="AF147" s="1750" t="n"/>
      <c r="AG147" s="390" t="n"/>
      <c r="AH147" s="1750" t="n"/>
      <c r="AI147" s="1750" t="n"/>
      <c r="AJ147" s="1750" t="n"/>
      <c r="AK147" s="1750" t="n"/>
      <c r="AL147" s="390" t="n"/>
      <c r="AM147" s="1750" t="n"/>
      <c r="AN147" s="1750" t="n"/>
      <c r="AO147" s="1750" t="n"/>
      <c r="AP147" s="1750" t="n"/>
      <c r="AQ147" s="395" t="n"/>
      <c r="AR147" s="165" t="n"/>
      <c r="AS147" s="165" t="n"/>
      <c r="AT147" s="165" t="n"/>
      <c r="AU147" s="165" t="n"/>
      <c r="AV147" s="396" t="n"/>
      <c r="AW147" s="397" t="n"/>
      <c r="AX147" s="398" t="n"/>
      <c r="AY147" s="398" t="n"/>
      <c r="AZ147" s="398" t="n"/>
      <c r="BA147" s="166" t="n"/>
      <c r="BB147" s="1903" t="n"/>
      <c r="BC147" s="1899" t="n"/>
      <c r="BD147" s="1899" t="n"/>
      <c r="BE147" s="1899" t="n"/>
      <c r="BF147" s="166" t="n"/>
      <c r="BG147" s="1751" t="n"/>
      <c r="BH147" s="1751" t="n"/>
      <c r="BI147" s="1751" t="n"/>
      <c r="BJ147" s="1751" t="n"/>
      <c r="BK147" s="165" t="n"/>
      <c r="BL147" s="1751" t="n"/>
      <c r="BM147" s="1751" t="n"/>
      <c r="BN147" s="1751" t="n"/>
      <c r="BO147" s="1751" t="n"/>
      <c r="BP147" s="165" t="n"/>
      <c r="BQ147" s="1751" t="n"/>
      <c r="BR147" s="1751" t="n"/>
      <c r="BS147" s="1751" t="n"/>
      <c r="BT147" s="1751" t="n"/>
      <c r="BU147" s="165" t="n"/>
      <c r="BV147" s="1751" t="n"/>
      <c r="BW147" s="1751" t="n"/>
      <c r="BX147" s="1751" t="n"/>
      <c r="BY147" s="1751" t="n"/>
      <c r="BZ147" s="165" t="n"/>
      <c r="CA147" s="400" t="n"/>
      <c r="CB147" s="401" t="n"/>
      <c r="CC147" s="701" t="n"/>
      <c r="CD147" s="403" t="inlineStr">
        <is>
          <t>Text_130</t>
        </is>
      </c>
      <c r="CE147" s="404" t="inlineStr">
        <is>
          <t>Text_131</t>
        </is>
      </c>
      <c r="CF147" s="404" t="inlineStr">
        <is>
          <t>Text_132</t>
        </is>
      </c>
      <c r="CG147" s="701" t="n"/>
      <c r="CH147" s="701" t="n"/>
      <c r="CI147" s="701" t="n"/>
      <c r="CJ147" s="701" t="n"/>
      <c r="CK147" s="701" t="n"/>
      <c r="CL147" s="701" t="n"/>
      <c r="CM147" s="701" t="n"/>
      <c r="CN147" s="701" t="n"/>
      <c r="CO147" s="701" t="n"/>
      <c r="CP147" s="701" t="n"/>
      <c r="CQ147" s="701" t="n"/>
      <c r="CR147" s="701" t="n"/>
      <c r="CS147" s="701" t="n"/>
      <c r="CT147" s="701" t="n"/>
      <c r="CU147" s="701" t="n"/>
      <c r="CV147" s="701" t="n"/>
      <c r="CW147" s="30" t="n"/>
    </row>
    <row r="148" ht="13.15" customHeight="1" s="1676">
      <c r="A148" s="31" t="n"/>
      <c r="B148" s="405" t="inlineStr">
        <is>
          <t>Text_133</t>
        </is>
      </c>
      <c r="C148" s="699" t="n"/>
      <c r="D148" s="1884" t="n"/>
      <c r="E148" s="1884" t="n"/>
      <c r="F148" s="1884" t="n"/>
      <c r="G148" s="1884" t="n"/>
      <c r="H148" s="1751" t="n"/>
      <c r="I148" s="1751" t="n"/>
      <c r="J148" s="1751" t="n"/>
      <c r="K148" s="1751" t="n"/>
      <c r="L148" s="1751" t="n"/>
      <c r="M148" s="165" t="n"/>
      <c r="N148" s="1751" t="n"/>
      <c r="O148" s="1751" t="n"/>
      <c r="P148" s="1751" t="n"/>
      <c r="Q148" s="1751" t="n"/>
      <c r="R148" s="389" t="n"/>
      <c r="S148" s="1899" t="n"/>
      <c r="T148" s="1899" t="n"/>
      <c r="U148" s="1899" t="n"/>
      <c r="V148" s="1899" t="n"/>
      <c r="W148" s="390" t="n"/>
      <c r="X148" s="1899" t="n"/>
      <c r="Y148" s="1899" t="n"/>
      <c r="Z148" s="1899" t="n"/>
      <c r="AA148" s="1899" t="n"/>
      <c r="AB148" s="390" t="n"/>
      <c r="AC148" s="1750" t="n"/>
      <c r="AD148" s="1750" t="n"/>
      <c r="AE148" s="1750" t="n"/>
      <c r="AF148" s="1750" t="n"/>
      <c r="AG148" s="390" t="n"/>
      <c r="AH148" s="1750" t="n"/>
      <c r="AI148" s="1750" t="n"/>
      <c r="AJ148" s="1750" t="n"/>
      <c r="AK148" s="1750" t="n"/>
      <c r="AL148" s="390" t="n"/>
      <c r="AM148" s="1750" t="n"/>
      <c r="AN148" s="1750" t="n"/>
      <c r="AO148" s="1750" t="n"/>
      <c r="AP148" s="1750" t="n"/>
      <c r="AQ148" s="395" t="n">
        <v>0.381262012146833</v>
      </c>
      <c r="AR148" s="165" t="n"/>
      <c r="AS148" s="165" t="n"/>
      <c r="AT148" s="165" t="n"/>
      <c r="AU148" s="165" t="n"/>
      <c r="AV148" s="396">
        <f t="array" ref="AV148">1-AV151-AV150-AV149</f>
        <v/>
      </c>
      <c r="AW148" s="397" t="n"/>
      <c r="AX148" s="398" t="n"/>
      <c r="AY148" s="398" t="n"/>
      <c r="AZ148" s="398" t="n"/>
      <c r="BA148" s="406">
        <f t="array" ref="BA148">BA164/BA154</f>
        <v/>
      </c>
      <c r="BB148" s="1903" t="n"/>
      <c r="BC148" s="1899" t="n"/>
      <c r="BD148" s="1899" t="n"/>
      <c r="BE148" s="1899" t="n"/>
      <c r="BF148" s="406">
        <f t="array" ref="BF148">BF164/BF154</f>
        <v/>
      </c>
      <c r="BG148" s="1876" t="n"/>
      <c r="BH148" s="1876" t="n"/>
      <c r="BI148" s="1876" t="n"/>
      <c r="BJ148" s="1876" t="n"/>
      <c r="BK148" s="407">
        <f t="array" ref="BK148">BK164/BK154</f>
        <v/>
      </c>
      <c r="BL148" s="1876" t="n"/>
      <c r="BM148" s="1876" t="n"/>
      <c r="BN148" s="1876" t="n"/>
      <c r="BO148" s="1876" t="n"/>
      <c r="BP148" s="407">
        <f t="array" ref="BP148">BP164/BP154</f>
        <v/>
      </c>
      <c r="BQ148" s="1876" t="n"/>
      <c r="BR148" s="1876" t="n"/>
      <c r="BS148" s="1876" t="n"/>
      <c r="BT148" s="1876" t="n"/>
      <c r="BU148" s="407">
        <f t="array" ref="BU148">BU164/BU154</f>
        <v/>
      </c>
      <c r="BV148" s="1876" t="n"/>
      <c r="BW148" s="1876" t="n"/>
      <c r="BX148" s="1876" t="n"/>
      <c r="BY148" s="1876" t="n"/>
      <c r="BZ148" s="407">
        <f t="array" ref="BZ148">BZ164/BZ154</f>
        <v/>
      </c>
      <c r="CA148" s="128" t="n"/>
      <c r="CB148" s="401" t="n"/>
      <c r="CC148" s="385" t="inlineStr">
        <is>
          <t>Text_105</t>
        </is>
      </c>
      <c r="CD148" s="408">
        <f t="array" ref="CD148">70%-CD149</f>
        <v/>
      </c>
      <c r="CE148" s="390" t="n">
        <v>0.3657881234372</v>
      </c>
      <c r="CF148" s="408">
        <f t="array" ref="CF148">71%*67%</f>
        <v/>
      </c>
      <c r="CG148" s="701" t="n"/>
      <c r="CH148" s="701" t="n"/>
      <c r="CI148" s="701" t="n"/>
      <c r="CJ148" s="701" t="n"/>
      <c r="CK148" s="701" t="n"/>
      <c r="CL148" s="701" t="n"/>
      <c r="CM148" s="701" t="n"/>
      <c r="CN148" s="701" t="n"/>
      <c r="CO148" s="701" t="n"/>
      <c r="CP148" s="701" t="n"/>
      <c r="CQ148" s="701" t="n"/>
      <c r="CR148" s="701" t="n"/>
      <c r="CS148" s="701" t="n"/>
      <c r="CT148" s="701" t="n"/>
      <c r="CU148" s="701" t="n"/>
      <c r="CV148" s="701" t="n"/>
      <c r="CW148" s="30" t="n"/>
    </row>
    <row r="149" ht="13.15" customHeight="1" s="1676">
      <c r="A149" s="31" t="n"/>
      <c r="B149" s="405" t="inlineStr">
        <is>
          <t>Text_134</t>
        </is>
      </c>
      <c r="C149" s="699" t="n"/>
      <c r="D149" s="1884" t="n"/>
      <c r="E149" s="1884" t="n"/>
      <c r="F149" s="1884" t="n"/>
      <c r="G149" s="1884" t="n"/>
      <c r="H149" s="1751" t="n"/>
      <c r="I149" s="1884" t="n"/>
      <c r="J149" s="1884" t="n"/>
      <c r="K149" s="1884" t="n"/>
      <c r="L149" s="1884" t="n"/>
      <c r="M149" s="1751" t="n"/>
      <c r="N149" s="1884" t="n"/>
      <c r="O149" s="1884" t="n"/>
      <c r="P149" s="1884" t="n"/>
      <c r="Q149" s="1884" t="n"/>
      <c r="R149" s="1749" t="n"/>
      <c r="S149" s="1899" t="n"/>
      <c r="T149" s="1899" t="n"/>
      <c r="U149" s="1899" t="n"/>
      <c r="V149" s="1899" t="n"/>
      <c r="W149" s="1750" t="n"/>
      <c r="X149" s="1899" t="n"/>
      <c r="Y149" s="1899" t="n"/>
      <c r="Z149" s="1899" t="n"/>
      <c r="AA149" s="1899" t="n"/>
      <c r="AB149" s="1750" t="n"/>
      <c r="AC149" s="1750" t="n"/>
      <c r="AD149" s="1750" t="n"/>
      <c r="AE149" s="1750" t="n"/>
      <c r="AF149" s="1750" t="n"/>
      <c r="AG149" s="1750" t="n"/>
      <c r="AH149" s="1750" t="n"/>
      <c r="AI149" s="1750" t="n"/>
      <c r="AJ149" s="1750" t="n"/>
      <c r="AK149" s="1750" t="n"/>
      <c r="AL149" s="1750" t="n"/>
      <c r="AM149" s="1750" t="n"/>
      <c r="AN149" s="1750" t="n"/>
      <c r="AO149" s="1750" t="n"/>
      <c r="AP149" s="1750" t="n"/>
      <c r="AQ149" s="395" t="n">
        <v>0.18894265781543</v>
      </c>
      <c r="AR149" s="165" t="n"/>
      <c r="AS149" s="165" t="n"/>
      <c r="AT149" s="165" t="n"/>
      <c r="AU149" s="165" t="n"/>
      <c r="AV149" s="396" t="n">
        <v>0.266562475061532</v>
      </c>
      <c r="AW149" s="389" t="n"/>
      <c r="AX149" s="122" t="n"/>
      <c r="AY149" s="390" t="n"/>
      <c r="AZ149" s="390" t="n"/>
      <c r="BA149" s="166">
        <f t="array" ref="BA149">BA167/BA154</f>
        <v/>
      </c>
      <c r="BB149" s="1904" t="n"/>
      <c r="BC149" s="1905" t="n"/>
      <c r="BD149" s="1905" t="n"/>
      <c r="BE149" s="1905" t="n"/>
      <c r="BF149" s="166">
        <f t="array" ref="BF149">BF167/BF154</f>
        <v/>
      </c>
      <c r="BG149" s="1884" t="n"/>
      <c r="BH149" s="1884" t="n"/>
      <c r="BI149" s="1884" t="n"/>
      <c r="BJ149" s="1884" t="n"/>
      <c r="BK149" s="165">
        <f t="array" ref="BK149">BK167/BK154</f>
        <v/>
      </c>
      <c r="BL149" s="1884" t="n"/>
      <c r="BM149" s="1884" t="n"/>
      <c r="BN149" s="1884" t="n"/>
      <c r="BO149" s="1884" t="n"/>
      <c r="BP149" s="165">
        <f t="array" ref="BP149">BP167/BP154</f>
        <v/>
      </c>
      <c r="BQ149" s="1884" t="n"/>
      <c r="BR149" s="1884" t="n"/>
      <c r="BS149" s="1884" t="n"/>
      <c r="BT149" s="1884" t="n"/>
      <c r="BU149" s="165">
        <f t="array" ref="BU149">BU167/BU154</f>
        <v/>
      </c>
      <c r="BV149" s="1884" t="n"/>
      <c r="BW149" s="1884" t="n"/>
      <c r="BX149" s="1884" t="n"/>
      <c r="BY149" s="1884" t="n"/>
      <c r="BZ149" s="165">
        <f t="array" ref="BZ149">BZ167/BZ154</f>
        <v/>
      </c>
      <c r="CA149" s="411" t="inlineStr">
        <is>
          <t>Text_135</t>
        </is>
      </c>
      <c r="CB149" s="391" t="n"/>
      <c r="CC149" s="412" t="inlineStr">
        <is>
          <t>Text_107</t>
        </is>
      </c>
      <c r="CD149" s="413" t="n">
        <v>0.410119993898108</v>
      </c>
      <c r="CE149" s="414" t="n">
        <v>0.263306680600428</v>
      </c>
      <c r="CF149" s="413">
        <f t="array" ref="CF149">29%*67%</f>
        <v/>
      </c>
      <c r="CG149" s="701" t="n"/>
      <c r="CH149" s="701" t="n"/>
      <c r="CI149" s="701" t="n"/>
      <c r="CJ149" s="701" t="n"/>
      <c r="CK149" s="701" t="n"/>
      <c r="CL149" s="701" t="n"/>
      <c r="CM149" s="701" t="n"/>
      <c r="CN149" s="701" t="n"/>
      <c r="CO149" s="701" t="n"/>
      <c r="CP149" s="701" t="n"/>
      <c r="CQ149" s="701" t="n"/>
      <c r="CR149" s="701" t="n"/>
      <c r="CS149" s="701" t="n"/>
      <c r="CT149" s="701" t="n"/>
      <c r="CU149" s="701" t="n"/>
      <c r="CV149" s="701" t="n"/>
      <c r="CW149" s="30" t="n"/>
    </row>
    <row r="150" ht="13.15" customHeight="1" s="1676">
      <c r="A150" s="31" t="n"/>
      <c r="B150" s="405" t="inlineStr">
        <is>
          <t>Text_136</t>
        </is>
      </c>
      <c r="C150" s="699" t="n"/>
      <c r="D150" s="1884" t="n"/>
      <c r="E150" s="1884" t="n"/>
      <c r="F150" s="1884" t="n"/>
      <c r="G150" s="1884" t="n"/>
      <c r="H150" s="1751" t="n"/>
      <c r="I150" s="1884" t="n"/>
      <c r="J150" s="1884" t="n"/>
      <c r="K150" s="1884" t="n"/>
      <c r="L150" s="1884" t="n"/>
      <c r="M150" s="1751" t="n"/>
      <c r="N150" s="1884" t="n"/>
      <c r="O150" s="1884" t="n"/>
      <c r="P150" s="1884" t="n"/>
      <c r="Q150" s="1884" t="n"/>
      <c r="R150" s="1749" t="n"/>
      <c r="S150" s="1899" t="n"/>
      <c r="T150" s="1899" t="n"/>
      <c r="U150" s="1899" t="n"/>
      <c r="V150" s="1899" t="n"/>
      <c r="W150" s="1750" t="n"/>
      <c r="X150" s="1899" t="n"/>
      <c r="Y150" s="1899" t="n"/>
      <c r="Z150" s="1899" t="n"/>
      <c r="AA150" s="1899" t="n"/>
      <c r="AB150" s="1750" t="n"/>
      <c r="AC150" s="1750" t="n"/>
      <c r="AD150" s="1750" t="n"/>
      <c r="AE150" s="1750" t="n"/>
      <c r="AF150" s="1750" t="n"/>
      <c r="AG150" s="1750" t="n"/>
      <c r="AH150" s="1750" t="n"/>
      <c r="AI150" s="1750" t="n"/>
      <c r="AJ150" s="1750" t="n"/>
      <c r="AK150" s="1750" t="n"/>
      <c r="AL150" s="1750" t="n"/>
      <c r="AM150" s="1750" t="n"/>
      <c r="AN150" s="1750" t="n"/>
      <c r="AO150" s="1750" t="n"/>
      <c r="AP150" s="1750" t="n"/>
      <c r="AQ150" s="395" t="n">
        <v>0.282683059095537</v>
      </c>
      <c r="AR150" s="165" t="n"/>
      <c r="AS150" s="165" t="n"/>
      <c r="AT150" s="165" t="n"/>
      <c r="AU150" s="165" t="n"/>
      <c r="AV150" s="396" t="n">
        <v>0.258332015679973</v>
      </c>
      <c r="AW150" s="389" t="n"/>
      <c r="AX150" s="122" t="n"/>
      <c r="AY150" s="390" t="n"/>
      <c r="AZ150" s="390" t="n"/>
      <c r="BA150" s="406">
        <f t="array" ref="BA150">BA174/BA154</f>
        <v/>
      </c>
      <c r="BB150" s="1904" t="n"/>
      <c r="BC150" s="1905" t="n"/>
      <c r="BD150" s="1905" t="n"/>
      <c r="BE150" s="1905" t="n"/>
      <c r="BF150" s="406">
        <f t="array" ref="BF150">BF174/BF154</f>
        <v/>
      </c>
      <c r="BG150" s="1906" t="n"/>
      <c r="BH150" s="1906" t="n"/>
      <c r="BI150" s="1906" t="n"/>
      <c r="BJ150" s="1906" t="n"/>
      <c r="BK150" s="407">
        <f t="array" ref="BK150">BK174/BK154</f>
        <v/>
      </c>
      <c r="BL150" s="1906" t="n"/>
      <c r="BM150" s="1906" t="n"/>
      <c r="BN150" s="1906" t="n"/>
      <c r="BO150" s="1906" t="n"/>
      <c r="BP150" s="407">
        <f t="array" ref="BP150">BP174/BP154</f>
        <v/>
      </c>
      <c r="BQ150" s="1906" t="n"/>
      <c r="BR150" s="1906" t="n"/>
      <c r="BS150" s="1906" t="n"/>
      <c r="BT150" s="1906" t="n"/>
      <c r="BU150" s="407">
        <f t="array" ref="BU150">BU174/BU154</f>
        <v/>
      </c>
      <c r="BV150" s="1906" t="n"/>
      <c r="BW150" s="1906" t="n"/>
      <c r="BX150" s="1906" t="n"/>
      <c r="BY150" s="1906" t="n"/>
      <c r="BZ150" s="407">
        <f t="array" ref="BZ150">BZ174/BZ154</f>
        <v/>
      </c>
      <c r="CA150" s="416" t="n"/>
      <c r="CB150" s="391" t="n"/>
      <c r="CC150" s="417" t="inlineStr">
        <is>
          <t>Text_137</t>
        </is>
      </c>
      <c r="CD150" s="418">
        <f t="array" ref="CD150">CD149+CD148</f>
        <v/>
      </c>
      <c r="CE150" s="418">
        <f t="array" ref="CE150">CE149+CE148</f>
        <v/>
      </c>
      <c r="CF150" s="418">
        <f t="array" ref="CF150">CF149+CF148</f>
        <v/>
      </c>
      <c r="CG150" s="701" t="n"/>
      <c r="CH150" s="701" t="n"/>
      <c r="CI150" s="701" t="n"/>
      <c r="CJ150" s="701" t="n"/>
      <c r="CK150" s="701" t="n"/>
      <c r="CL150" s="701" t="n"/>
      <c r="CM150" s="701" t="n"/>
      <c r="CN150" s="701" t="n"/>
      <c r="CO150" s="701" t="n"/>
      <c r="CP150" s="701" t="n"/>
      <c r="CQ150" s="701" t="n"/>
      <c r="CR150" s="701" t="n"/>
      <c r="CS150" s="701" t="n"/>
      <c r="CT150" s="701" t="n"/>
      <c r="CU150" s="701" t="n"/>
      <c r="CV150" s="701" t="n"/>
      <c r="CW150" s="30" t="n"/>
    </row>
    <row r="151" ht="13.15" customHeight="1" s="1676">
      <c r="A151" s="31" t="n"/>
      <c r="B151" s="419" t="inlineStr">
        <is>
          <t>Text_138</t>
        </is>
      </c>
      <c r="C151" s="699" t="n"/>
      <c r="D151" s="1884" t="n"/>
      <c r="E151" s="1884" t="n"/>
      <c r="F151" s="1884" t="n"/>
      <c r="G151" s="1884" t="n"/>
      <c r="H151" s="1751" t="n"/>
      <c r="I151" s="1884" t="n"/>
      <c r="J151" s="1884" t="n"/>
      <c r="K151" s="1884" t="n"/>
      <c r="L151" s="1884" t="n"/>
      <c r="M151" s="1751" t="n"/>
      <c r="N151" s="1884" t="n"/>
      <c r="O151" s="1884" t="n"/>
      <c r="P151" s="1884" t="n"/>
      <c r="Q151" s="1884" t="n"/>
      <c r="R151" s="1749" t="n"/>
      <c r="S151" s="1899" t="n"/>
      <c r="T151" s="1899" t="n"/>
      <c r="U151" s="1899" t="n"/>
      <c r="V151" s="1899" t="n"/>
      <c r="W151" s="1750" t="n"/>
      <c r="X151" s="1899" t="n"/>
      <c r="Y151" s="1899" t="n"/>
      <c r="Z151" s="1899" t="n"/>
      <c r="AA151" s="1899" t="n"/>
      <c r="AB151" s="1750" t="n"/>
      <c r="AC151" s="1750" t="n"/>
      <c r="AD151" s="1750" t="n"/>
      <c r="AE151" s="1750" t="n"/>
      <c r="AF151" s="1750" t="n"/>
      <c r="AG151" s="1750" t="n"/>
      <c r="AH151" s="1750" t="n"/>
      <c r="AI151" s="1750" t="n"/>
      <c r="AJ151" s="1750" t="n"/>
      <c r="AK151" s="1750" t="n"/>
      <c r="AL151" s="1750" t="n"/>
      <c r="AM151" s="1750" t="n"/>
      <c r="AN151" s="1750" t="n"/>
      <c r="AO151" s="1750" t="n"/>
      <c r="AP151" s="1750" t="n"/>
      <c r="AQ151" s="395" t="n">
        <v>0.0961320745746078</v>
      </c>
      <c r="AR151" s="165" t="n"/>
      <c r="AS151" s="165" t="n"/>
      <c r="AT151" s="165" t="n"/>
      <c r="AU151" s="165" t="n"/>
      <c r="AV151" s="396" t="n">
        <v>0.0526536952629381</v>
      </c>
      <c r="AW151" s="389" t="n"/>
      <c r="AX151" s="122" t="n"/>
      <c r="AY151" s="390" t="n"/>
      <c r="AZ151" s="390" t="n"/>
      <c r="BA151" s="166">
        <f t="array" ref="BA151">BA177/BA154</f>
        <v/>
      </c>
      <c r="BB151" s="1904" t="n"/>
      <c r="BC151" s="1905" t="n"/>
      <c r="BD151" s="1905" t="n"/>
      <c r="BE151" s="1905" t="n"/>
      <c r="BF151" s="166">
        <f t="array" ref="BF151">BF177/BF154</f>
        <v/>
      </c>
      <c r="BG151" s="1884" t="n"/>
      <c r="BH151" s="1884" t="n"/>
      <c r="BI151" s="1884" t="n"/>
      <c r="BJ151" s="1884" t="n"/>
      <c r="BK151" s="165">
        <f t="array" ref="BK151">BK177/BK154</f>
        <v/>
      </c>
      <c r="BL151" s="1884" t="n"/>
      <c r="BM151" s="1884" t="n"/>
      <c r="BN151" s="1884" t="n"/>
      <c r="BO151" s="1884" t="n"/>
      <c r="BP151" s="165">
        <f t="array" ref="BP151">BP177/BP154</f>
        <v/>
      </c>
      <c r="BQ151" s="1884" t="n"/>
      <c r="BR151" s="1884" t="n"/>
      <c r="BS151" s="1884" t="n"/>
      <c r="BT151" s="1884" t="n"/>
      <c r="BU151" s="165">
        <f t="array" ref="BU151">BU177/BU154</f>
        <v/>
      </c>
      <c r="BV151" s="1884" t="n"/>
      <c r="BW151" s="1884" t="n"/>
      <c r="BX151" s="1884" t="n"/>
      <c r="BY151" s="1884" t="n"/>
      <c r="BZ151" s="165">
        <f t="array" ref="BZ151">BZ177/BZ154</f>
        <v/>
      </c>
      <c r="CA151" s="416" t="n"/>
      <c r="CB151" s="391" t="n"/>
      <c r="CC151" s="385" t="inlineStr">
        <is>
          <t>Text_136</t>
        </is>
      </c>
      <c r="CD151" s="390" t="n">
        <v>0.249778174203376</v>
      </c>
      <c r="CE151" s="390" t="n">
        <v>0.172576505295928</v>
      </c>
      <c r="CF151" s="390">
        <f t="array" ref="CF151">82%*33%</f>
        <v/>
      </c>
      <c r="CG151" s="385" t="inlineStr">
        <is>
          <t>Text_139</t>
        </is>
      </c>
      <c r="CH151" s="701" t="n"/>
      <c r="CI151" s="701" t="n"/>
      <c r="CJ151" s="701" t="n"/>
      <c r="CK151" s="701" t="n"/>
      <c r="CL151" s="701" t="n"/>
      <c r="CM151" s="701" t="n"/>
      <c r="CN151" s="701" t="n"/>
      <c r="CO151" s="701" t="n"/>
      <c r="CP151" s="701" t="n"/>
      <c r="CQ151" s="701" t="n"/>
      <c r="CR151" s="701" t="n"/>
      <c r="CS151" s="701" t="n"/>
      <c r="CT151" s="701" t="n"/>
      <c r="CU151" s="701" t="n"/>
      <c r="CV151" s="701" t="n"/>
      <c r="CW151" s="30" t="n"/>
    </row>
    <row r="152" ht="13.15" customHeight="1" s="1676">
      <c r="A152" s="74" t="n"/>
      <c r="B152" s="420" t="n"/>
      <c r="C152" s="699" t="n"/>
      <c r="D152" s="1782" t="n"/>
      <c r="E152" s="1782" t="n"/>
      <c r="F152" s="1782" t="n"/>
      <c r="G152" s="1782" t="n"/>
      <c r="H152" s="1751" t="n"/>
      <c r="I152" s="1782" t="n"/>
      <c r="J152" s="1782" t="n"/>
      <c r="K152" s="1782" t="n"/>
      <c r="L152" s="1782" t="n"/>
      <c r="M152" s="1751" t="n"/>
      <c r="N152" s="1782" t="n"/>
      <c r="O152" s="1782" t="n"/>
      <c r="P152" s="1782" t="n"/>
      <c r="Q152" s="1782" t="n"/>
      <c r="R152" s="1749" t="n"/>
      <c r="S152" s="1902" t="n"/>
      <c r="T152" s="1902" t="n"/>
      <c r="U152" s="1902" t="n"/>
      <c r="V152" s="1902" t="n"/>
      <c r="W152" s="1750" t="n"/>
      <c r="X152" s="1902" t="n"/>
      <c r="Y152" s="1902" t="n"/>
      <c r="Z152" s="1902" t="n"/>
      <c r="AA152" s="1902" t="n"/>
      <c r="AB152" s="1750" t="n"/>
      <c r="AC152" s="1750" t="n"/>
      <c r="AD152" s="1750" t="n"/>
      <c r="AE152" s="1750" t="n"/>
      <c r="AF152" s="1750" t="n"/>
      <c r="AG152" s="1750" t="n"/>
      <c r="AH152" s="1750" t="n"/>
      <c r="AI152" s="1750" t="n"/>
      <c r="AJ152" s="1750" t="n"/>
      <c r="AK152" s="1750" t="n"/>
      <c r="AL152" s="1750" t="n"/>
      <c r="AM152" s="1750" t="n"/>
      <c r="AN152" s="1750" t="n"/>
      <c r="AO152" s="1750" t="n"/>
      <c r="AP152" s="1750" t="n"/>
      <c r="AQ152" s="1750" t="n"/>
      <c r="AR152" s="1750" t="n"/>
      <c r="AS152" s="1750" t="n"/>
      <c r="AT152" s="1750" t="n"/>
      <c r="AU152" s="1750" t="n"/>
      <c r="AV152" s="1750" t="n"/>
      <c r="AW152" s="1750" t="n"/>
      <c r="AX152" s="122" t="n"/>
      <c r="AY152" s="1750" t="n"/>
      <c r="AZ152" s="1750" t="n"/>
      <c r="BA152" s="1750" t="n"/>
      <c r="BB152" s="1758" t="n"/>
      <c r="BC152" s="1758" t="n"/>
      <c r="BD152" s="1758" t="n"/>
      <c r="BE152" s="1758" t="n"/>
      <c r="BF152" s="1907" t="n"/>
      <c r="BG152" s="1758" t="n"/>
      <c r="BH152" s="1758" t="n"/>
      <c r="BI152" s="1758" t="n"/>
      <c r="BJ152" s="1758" t="n"/>
      <c r="BK152" s="1907" t="n"/>
      <c r="BL152" s="1758" t="n"/>
      <c r="BM152" s="1758" t="n"/>
      <c r="BN152" s="1758" t="n"/>
      <c r="BO152" s="1758" t="n"/>
      <c r="BP152" s="1907" t="n"/>
      <c r="BQ152" s="1758" t="n"/>
      <c r="BR152" s="1758" t="n"/>
      <c r="BS152" s="1758" t="n"/>
      <c r="BT152" s="1758" t="n"/>
      <c r="BU152" s="1907" t="n"/>
      <c r="BV152" s="1758" t="n"/>
      <c r="BW152" s="1758" t="n"/>
      <c r="BX152" s="1758" t="n"/>
      <c r="BY152" s="1758" t="n"/>
      <c r="BZ152" s="1907" t="n"/>
      <c r="CA152" s="422" t="n"/>
      <c r="CB152" s="423" t="n"/>
      <c r="CC152" s="424" t="inlineStr">
        <is>
          <t>Text_138</t>
        </is>
      </c>
      <c r="CD152" s="199" t="n">
        <v>0.0375282648951898</v>
      </c>
      <c r="CE152" s="199" t="n">
        <v>0.17932960668264</v>
      </c>
      <c r="CF152" s="199">
        <f t="array" ref="CF152">18%*33%</f>
        <v/>
      </c>
      <c r="CG152" s="701" t="n"/>
      <c r="CH152" s="701" t="n"/>
      <c r="CI152" s="701" t="n"/>
      <c r="CJ152" s="701" t="n"/>
      <c r="CK152" s="701" t="n"/>
      <c r="CL152" s="701" t="n"/>
      <c r="CM152" s="701" t="n"/>
      <c r="CN152" s="701" t="n"/>
      <c r="CO152" s="701" t="n"/>
      <c r="CP152" s="701" t="n"/>
      <c r="CQ152" s="701" t="n"/>
      <c r="CR152" s="701" t="n"/>
      <c r="CS152" s="701" t="n"/>
      <c r="CT152" s="701" t="n"/>
      <c r="CU152" s="701" t="n"/>
      <c r="CV152" s="701" t="n"/>
      <c r="CW152" s="30" t="n"/>
    </row>
    <row r="153" ht="12.75" customHeight="1" s="1676">
      <c r="A153" s="31" t="n"/>
      <c r="B153" s="180" t="inlineStr">
        <is>
          <t>Text_140</t>
        </is>
      </c>
      <c r="C153" s="699" t="n"/>
      <c r="D153" s="1760" t="n"/>
      <c r="E153" s="1760" t="n"/>
      <c r="F153" s="1760" t="n"/>
      <c r="G153" s="1760" t="n"/>
      <c r="H153" s="1760" t="n"/>
      <c r="I153" s="1760" t="n"/>
      <c r="J153" s="1760" t="n"/>
      <c r="K153" s="1760" t="n"/>
      <c r="L153" s="1760" t="n"/>
      <c r="M153" s="1760" t="n"/>
      <c r="N153" s="1760" t="n"/>
      <c r="O153" s="1760" t="n"/>
      <c r="P153" s="1760" t="n"/>
      <c r="Q153" s="1760" t="n"/>
      <c r="R153" s="1760" t="n"/>
      <c r="S153" s="1760" t="n"/>
      <c r="T153" s="1760" t="n"/>
      <c r="U153" s="1760" t="n"/>
      <c r="V153" s="1760" t="n"/>
      <c r="W153" s="1760" t="n"/>
      <c r="X153" s="1760" t="n"/>
      <c r="Y153" s="1760" t="n"/>
      <c r="Z153" s="1760" t="n"/>
      <c r="AA153" s="1760" t="n"/>
      <c r="AB153" s="1760" t="n"/>
      <c r="AC153" s="1760" t="n"/>
      <c r="AD153" s="1760" t="n"/>
      <c r="AE153" s="1760" t="n"/>
      <c r="AF153" s="1760" t="n"/>
      <c r="AG153" s="1760" t="n"/>
      <c r="AH153" s="1760" t="n"/>
      <c r="AI153" s="1760" t="n"/>
      <c r="AJ153" s="1760" t="n"/>
      <c r="AK153" s="1760" t="n"/>
      <c r="AL153" s="1760" t="n"/>
      <c r="AM153" s="1760" t="n"/>
      <c r="AN153" s="1760" t="n"/>
      <c r="AO153" s="1760" t="n"/>
      <c r="AP153" s="1760" t="n"/>
      <c r="AQ153" s="1760" t="n"/>
      <c r="AR153" s="1760" t="n"/>
      <c r="AS153" s="1760" t="n"/>
      <c r="AT153" s="1760" t="n"/>
      <c r="AU153" s="1760" t="n"/>
      <c r="AV153" s="1760" t="n"/>
      <c r="AW153" s="1760" t="n"/>
      <c r="AX153" s="1760" t="n"/>
      <c r="AY153" s="1760" t="n"/>
      <c r="AZ153" s="1760" t="n"/>
      <c r="BA153" s="1760" t="n"/>
      <c r="BB153" s="1760" t="n"/>
      <c r="BC153" s="1760" t="n"/>
      <c r="BD153" s="1760" t="n"/>
      <c r="BE153" s="1760" t="n"/>
      <c r="BF153" s="1760" t="n"/>
      <c r="BG153" s="1760" t="n"/>
      <c r="BH153" s="1760" t="n"/>
      <c r="BI153" s="1760" t="n"/>
      <c r="BJ153" s="1760" t="n"/>
      <c r="BK153" s="1760" t="n"/>
      <c r="BL153" s="1760" t="n"/>
      <c r="BM153" s="1760" t="n"/>
      <c r="BN153" s="1760" t="n"/>
      <c r="BO153" s="1760" t="n"/>
      <c r="BP153" s="1760" t="n"/>
      <c r="BQ153" s="1760" t="n"/>
      <c r="BR153" s="1760" t="n"/>
      <c r="BS153" s="1760" t="n"/>
      <c r="BT153" s="1760" t="n"/>
      <c r="BU153" s="1760" t="n"/>
      <c r="BV153" s="1760" t="n"/>
      <c r="BW153" s="1760" t="n"/>
      <c r="BX153" s="1760" t="n"/>
      <c r="BY153" s="1760" t="n"/>
      <c r="BZ153" s="1760" t="n"/>
      <c r="CA153" s="1760" t="n"/>
      <c r="CB153" s="456" t="n"/>
      <c r="CC153" s="425" t="inlineStr">
        <is>
          <t>Text_141</t>
        </is>
      </c>
      <c r="CD153" s="426">
        <f t="array" ref="CD153">CD152+CD151</f>
        <v/>
      </c>
      <c r="CE153" s="426">
        <f t="array" ref="CE153">CE152+CE151</f>
        <v/>
      </c>
      <c r="CF153" s="426">
        <f t="array" ref="CF153">CF152+CF151</f>
        <v/>
      </c>
      <c r="CG153" s="701" t="n"/>
      <c r="CH153" s="701" t="n"/>
      <c r="CI153" s="701" t="n"/>
      <c r="CJ153" s="701" t="n"/>
      <c r="CK153" s="701" t="n"/>
      <c r="CL153" s="701" t="n"/>
      <c r="CM153" s="701" t="n"/>
      <c r="CN153" s="701" t="n"/>
      <c r="CO153" s="701" t="n"/>
      <c r="CP153" s="701" t="n"/>
      <c r="CQ153" s="701" t="n"/>
      <c r="CR153" s="701" t="n"/>
      <c r="CS153" s="701" t="n"/>
      <c r="CT153" s="701" t="n"/>
      <c r="CU153" s="701" t="n"/>
      <c r="CV153" s="701" t="n"/>
      <c r="CW153" s="30" t="n"/>
    </row>
    <row r="154" ht="12.75" customHeight="1" s="1676">
      <c r="A154" s="31" t="n"/>
      <c r="B154" s="301" t="inlineStr">
        <is>
          <t>Text_142</t>
        </is>
      </c>
      <c r="C154" s="699" t="n"/>
      <c r="D154" s="1713" t="n"/>
      <c r="E154" s="1713" t="n"/>
      <c r="F154" s="1713" t="n"/>
      <c r="G154" s="1713" t="n"/>
      <c r="H154" s="1714" t="n"/>
      <c r="I154" s="1908" t="n">
        <v>650.806072150707</v>
      </c>
      <c r="J154" s="1908" t="n">
        <v>585.394395803263</v>
      </c>
      <c r="K154" s="1908" t="n">
        <v>785.330358158969</v>
      </c>
      <c r="L154" s="1908" t="n">
        <v>870.439086133842</v>
      </c>
      <c r="M154" s="1908" t="n">
        <v>2991.46035645133</v>
      </c>
      <c r="N154" s="1908" t="n">
        <v>722.588787536161</v>
      </c>
      <c r="O154" s="1908" t="n">
        <v>832.278932348478</v>
      </c>
      <c r="P154" s="1908" t="n">
        <v>888.580016888441</v>
      </c>
      <c r="Q154" s="1908" t="n">
        <v>769.762491196044</v>
      </c>
      <c r="R154" s="1908" t="n">
        <v>3012.69464786759</v>
      </c>
      <c r="S154" s="1908" t="n">
        <v>1044.57483264144</v>
      </c>
      <c r="T154" s="1908" t="n">
        <v>1098.94121457946</v>
      </c>
      <c r="U154" s="1908" t="n">
        <v>915.179180285567</v>
      </c>
      <c r="V154" s="1908" t="n">
        <v>948.00320231414</v>
      </c>
      <c r="W154" s="1908" t="n">
        <v>4171.18954341113</v>
      </c>
      <c r="X154" s="1908" t="n">
        <v>1030.89872198958</v>
      </c>
      <c r="Y154" s="1908" t="n">
        <v>886.319601246016</v>
      </c>
      <c r="Z154" s="1908" t="n">
        <v>788.552440213958</v>
      </c>
      <c r="AA154" s="1908" t="n">
        <v>1089.15266487903</v>
      </c>
      <c r="AB154" s="1908" t="n">
        <v>4340.23706381989</v>
      </c>
      <c r="AC154" s="1908" t="n">
        <v>943.5175055795251</v>
      </c>
      <c r="AD154" s="1908" t="n">
        <v>1108.70189358401</v>
      </c>
      <c r="AE154" s="1908" t="n">
        <v>1051.08343228044</v>
      </c>
      <c r="AF154" s="1908" t="n">
        <v>1236.1319401982</v>
      </c>
      <c r="AG154" s="1908" t="n">
        <v>3833.77091701772</v>
      </c>
      <c r="AH154" s="1908" t="n">
        <v>1067.16515718467</v>
      </c>
      <c r="AI154" s="1908" t="n">
        <v>1545.75975294988</v>
      </c>
      <c r="AJ154" s="1908" t="n">
        <v>1312.47730292261</v>
      </c>
      <c r="AK154" s="1908" t="n">
        <v>1677.11596101078</v>
      </c>
      <c r="AL154" s="1908" t="n">
        <v>5134.23462692652</v>
      </c>
      <c r="AM154" s="1908" t="n">
        <v>1494.03219654179</v>
      </c>
      <c r="AN154" s="1908" t="n">
        <v>1841.37698268538</v>
      </c>
      <c r="AO154" s="1908" t="n">
        <v>2155.2677307549</v>
      </c>
      <c r="AP154" s="1908" t="n">
        <v>2415.05336484879</v>
      </c>
      <c r="AQ154" s="1908" t="n">
        <v>8971.59545902301</v>
      </c>
      <c r="AR154" s="1908" t="n">
        <v>2299.14735311777</v>
      </c>
      <c r="AS154" s="1908" t="n">
        <v>2836.06244059886</v>
      </c>
      <c r="AT154" s="1908" t="n">
        <v>1915.29963264012</v>
      </c>
      <c r="AU154" s="1908" t="n">
        <v>1923.93168324806</v>
      </c>
      <c r="AV154" s="1908" t="n">
        <v>10802.3941902786</v>
      </c>
      <c r="AW154" s="1909" t="n">
        <v>1719.48852864594</v>
      </c>
      <c r="AX154" s="1910" t="n">
        <v>1830.30818874746</v>
      </c>
      <c r="AY154" s="1910" t="n">
        <v>1851.09183631443</v>
      </c>
      <c r="AZ154" s="1910" t="n">
        <v>1870.88966693902</v>
      </c>
      <c r="BA154" s="1911">
        <f t="array" ref="BA154">AZ154+AY154+AX154+AW154</f>
        <v/>
      </c>
      <c r="BB154" s="1909" t="n">
        <v>2246.87849814249</v>
      </c>
      <c r="BC154" s="1910" t="n">
        <v>2847.27948014052</v>
      </c>
      <c r="BD154" s="1747">
        <f t="array" ref="BD154">BD160+BD170</f>
        <v/>
      </c>
      <c r="BE154" s="1747">
        <f t="array" ref="BE154">BE160+BE170</f>
        <v/>
      </c>
      <c r="BF154" s="1887">
        <f t="array" ref="BF154">BF160+BF170</f>
        <v/>
      </c>
      <c r="BG154" s="1744">
        <f t="array" ref="BG154">BG160+BG170</f>
        <v/>
      </c>
      <c r="BH154" s="1744">
        <f t="array" ref="BH154">BH160+BH170</f>
        <v/>
      </c>
      <c r="BI154" s="1744">
        <f t="array" ref="BI154">BI160+BI170</f>
        <v/>
      </c>
      <c r="BJ154" s="1744">
        <f t="array" ref="BJ154">BJ160+BJ170</f>
        <v/>
      </c>
      <c r="BK154" s="1744">
        <f t="array" ref="BK154">BK160+BK170</f>
        <v/>
      </c>
      <c r="BL154" s="1744">
        <f t="array" ref="BL154">BL160+BL170</f>
        <v/>
      </c>
      <c r="BM154" s="1744">
        <f t="array" ref="BM154">BM160+BM170</f>
        <v/>
      </c>
      <c r="BN154" s="1744">
        <f t="array" ref="BN154">BN160+BN170</f>
        <v/>
      </c>
      <c r="BO154" s="1744">
        <f t="array" ref="BO154">BO160+BO170</f>
        <v/>
      </c>
      <c r="BP154" s="1744">
        <f t="array" ref="BP154">BP160+BP170</f>
        <v/>
      </c>
      <c r="BQ154" s="1744">
        <f t="array" ref="BQ154">BQ160+BQ170</f>
        <v/>
      </c>
      <c r="BR154" s="1744">
        <f t="array" ref="BR154">BR160+BR170</f>
        <v/>
      </c>
      <c r="BS154" s="1744">
        <f t="array" ref="BS154">BS160+BS170</f>
        <v/>
      </c>
      <c r="BT154" s="1744">
        <f t="array" ref="BT154">BT160+BT170</f>
        <v/>
      </c>
      <c r="BU154" s="1744">
        <f t="array" ref="BU154">BU160+BU170</f>
        <v/>
      </c>
      <c r="BV154" s="1744">
        <f t="array" ref="BV154">BV160+BV170</f>
        <v/>
      </c>
      <c r="BW154" s="1744">
        <f t="array" ref="BW154">BW160+BW170</f>
        <v/>
      </c>
      <c r="BX154" s="1744">
        <f t="array" ref="BX154">BX160+BX170</f>
        <v/>
      </c>
      <c r="BY154" s="1744">
        <f t="array" ref="BY154">BY160+BY170</f>
        <v/>
      </c>
      <c r="BZ154" s="1744">
        <f t="array" ref="BZ154">BZ160+BZ170</f>
        <v/>
      </c>
      <c r="CA154" s="431" t="inlineStr">
        <is>
          <t>Text_143</t>
        </is>
      </c>
      <c r="CB154" s="1912">
        <f t="array" ref="CB154">(BZ154/BA154)^(1/5)-1</f>
        <v/>
      </c>
      <c r="CC154" s="701" t="n"/>
      <c r="CD154" s="701" t="n"/>
      <c r="CE154" s="701" t="n"/>
      <c r="CF154" s="701" t="n"/>
      <c r="CG154" s="701" t="n"/>
      <c r="CH154" s="701" t="n"/>
      <c r="CI154" s="701" t="n"/>
      <c r="CJ154" s="701" t="n"/>
      <c r="CK154" s="701" t="n"/>
      <c r="CL154" s="701" t="n"/>
      <c r="CM154" s="701" t="n"/>
      <c r="CN154" s="701" t="n"/>
      <c r="CO154" s="701" t="n"/>
      <c r="CP154" s="701" t="n"/>
      <c r="CQ154" s="701" t="n"/>
      <c r="CR154" s="701" t="n"/>
      <c r="CS154" s="701" t="n"/>
      <c r="CT154" s="701" t="n"/>
      <c r="CU154" s="701" t="n"/>
      <c r="CV154" s="701" t="n"/>
      <c r="CW154" s="30" t="n"/>
    </row>
    <row r="155" ht="12.75" customHeight="1" s="1676">
      <c r="A155" s="31" t="n"/>
      <c r="B155" s="103" t="inlineStr">
        <is>
          <t>Text_49</t>
        </is>
      </c>
      <c r="C155" s="699" t="n"/>
      <c r="D155" s="1713" t="n"/>
      <c r="E155" s="1713" t="n"/>
      <c r="F155" s="1713" t="n"/>
      <c r="G155" s="1713" t="n"/>
      <c r="H155" s="1714" t="n"/>
      <c r="I155" s="1761" t="n"/>
      <c r="J155" s="1761" t="n"/>
      <c r="K155" s="1761" t="n"/>
      <c r="L155" s="1761" t="n"/>
      <c r="M155" s="1761" t="n"/>
      <c r="N155" s="1761" t="n"/>
      <c r="O155" s="1761" t="n"/>
      <c r="P155" s="1761" t="n"/>
      <c r="Q155" s="1761" t="n"/>
      <c r="R155" s="1761" t="n"/>
      <c r="S155" s="1761" t="n"/>
      <c r="T155" s="1761" t="n"/>
      <c r="U155" s="1761" t="n"/>
      <c r="V155" s="1761" t="n"/>
      <c r="W155" s="1761" t="n"/>
      <c r="X155" s="1761" t="n"/>
      <c r="Y155" s="1761" t="n"/>
      <c r="Z155" s="1761" t="n"/>
      <c r="AA155" s="1761" t="n"/>
      <c r="AB155" s="1761" t="n"/>
      <c r="AC155" s="1761" t="n"/>
      <c r="AD155" s="1761" t="n"/>
      <c r="AE155" s="1761" t="n"/>
      <c r="AF155" s="1761" t="n"/>
      <c r="AG155" s="1761" t="n"/>
      <c r="AH155" s="1761" t="n"/>
      <c r="AI155" s="1761" t="n"/>
      <c r="AJ155" s="1761" t="n"/>
      <c r="AK155" s="1761" t="n"/>
      <c r="AL155" s="1761" t="n"/>
      <c r="AM155" s="1790">
        <f t="array" ref="AM155">AM154/AK154-1</f>
        <v/>
      </c>
      <c r="AN155" s="1790">
        <f t="array" ref="AN155">AN154/AM154-1</f>
        <v/>
      </c>
      <c r="AO155" s="1790">
        <f t="array" ref="AO155">AO154/AN154-1</f>
        <v/>
      </c>
      <c r="AP155" s="1790">
        <f t="array" ref="AP155">AP154/AO154-1</f>
        <v/>
      </c>
      <c r="AQ155" s="1761" t="n"/>
      <c r="AR155" s="1790">
        <f t="array" ref="AR155">AR154/AP154-1</f>
        <v/>
      </c>
      <c r="AS155" s="1790">
        <f t="array" ref="AS155">AS154/AR154-1</f>
        <v/>
      </c>
      <c r="AT155" s="1790">
        <f t="array" ref="AT155">AT154/AS154-1</f>
        <v/>
      </c>
      <c r="AU155" s="1790">
        <f t="array" ref="AU155">AU154/AT154-1</f>
        <v/>
      </c>
      <c r="AV155" s="1761" t="n"/>
      <c r="AW155" s="1793">
        <f t="array" ref="AW155">AW154/AU154-1</f>
        <v/>
      </c>
      <c r="AX155" s="1794">
        <f t="array" ref="AX155">AX154/AW154-1</f>
        <v/>
      </c>
      <c r="AY155" s="1794">
        <f t="array" ref="AY155">AY154/AX154-1</f>
        <v/>
      </c>
      <c r="AZ155" s="1794">
        <f t="array" ref="AZ155">AZ154/AY154-1</f>
        <v/>
      </c>
      <c r="BA155" s="1764" t="n"/>
      <c r="BB155" s="1793">
        <f t="array" ref="BB155">BB154/AZ154-1</f>
        <v/>
      </c>
      <c r="BC155" s="1794">
        <f t="array" ref="BC155">BC154/BB154-1</f>
        <v/>
      </c>
      <c r="BD155" s="1794">
        <f t="array" ref="BD155">BD154/BC154-1</f>
        <v/>
      </c>
      <c r="BE155" s="1794">
        <f t="array" ref="BE155">BE154/BD154-1</f>
        <v/>
      </c>
      <c r="BF155" s="1764" t="n"/>
      <c r="BG155" s="1790">
        <f t="array" ref="BG155">BG154/BF154-1</f>
        <v/>
      </c>
      <c r="BH155" s="1790">
        <f t="array" ref="BH155">BH154/BG154-1</f>
        <v/>
      </c>
      <c r="BI155" s="1790">
        <f t="array" ref="BI155">BI154/BH154-1</f>
        <v/>
      </c>
      <c r="BJ155" s="1790">
        <f t="array" ref="BJ155">BJ154/BI154-1</f>
        <v/>
      </c>
      <c r="BK155" s="1761" t="n"/>
      <c r="BL155" s="1790">
        <f t="array" ref="BL155">BL154/BK154-1</f>
        <v/>
      </c>
      <c r="BM155" s="1790">
        <f t="array" ref="BM155">BM154/BL154-1</f>
        <v/>
      </c>
      <c r="BN155" s="1790">
        <f t="array" ref="BN155">BN154/BM154-1</f>
        <v/>
      </c>
      <c r="BO155" s="1790">
        <f t="array" ref="BO155">BO154/BN154-1</f>
        <v/>
      </c>
      <c r="BP155" s="1761" t="n"/>
      <c r="BQ155" s="1790">
        <f t="array" ref="BQ155">BQ154/BP154-1</f>
        <v/>
      </c>
      <c r="BR155" s="1790">
        <f t="array" ref="BR155">BR154/BQ154-1</f>
        <v/>
      </c>
      <c r="BS155" s="1790">
        <f t="array" ref="BS155">BS154/BR154-1</f>
        <v/>
      </c>
      <c r="BT155" s="1790">
        <f t="array" ref="BT155">BT154/BS154-1</f>
        <v/>
      </c>
      <c r="BU155" s="1761" t="n"/>
      <c r="BV155" s="1790">
        <f t="array" ref="BV155">BV154/BU154-1</f>
        <v/>
      </c>
      <c r="BW155" s="1790">
        <f t="array" ref="BW155">BW154/BV154-1</f>
        <v/>
      </c>
      <c r="BX155" s="1790">
        <f t="array" ref="BX155">BX154/BW154-1</f>
        <v/>
      </c>
      <c r="BY155" s="1790">
        <f t="array" ref="BY155">BY154/BX154-1</f>
        <v/>
      </c>
      <c r="BZ155" s="1761" t="n"/>
      <c r="CA155" s="1686" t="n"/>
      <c r="CB155" s="456" t="n"/>
      <c r="CC155" s="701" t="n"/>
      <c r="CD155" s="701" t="n"/>
      <c r="CE155" s="701" t="n"/>
      <c r="CF155" s="701" t="n"/>
      <c r="CG155" s="701" t="n"/>
      <c r="CH155" s="701" t="n"/>
      <c r="CI155" s="701" t="n"/>
      <c r="CJ155" s="701" t="n"/>
      <c r="CK155" s="701" t="n"/>
      <c r="CL155" s="701" t="n"/>
      <c r="CM155" s="701" t="n"/>
      <c r="CN155" s="701" t="n"/>
      <c r="CO155" s="701" t="n"/>
      <c r="CP155" s="701" t="n"/>
      <c r="CQ155" s="701" t="n"/>
      <c r="CR155" s="701" t="n"/>
      <c r="CS155" s="701" t="n"/>
      <c r="CT155" s="701" t="n"/>
      <c r="CU155" s="701" t="n"/>
      <c r="CV155" s="701" t="n"/>
      <c r="CW155" s="30" t="n"/>
    </row>
    <row r="156" ht="12.75" customHeight="1" s="1676">
      <c r="A156" s="31" t="n"/>
      <c r="B156" s="103" t="inlineStr">
        <is>
          <t>Text_24</t>
        </is>
      </c>
      <c r="C156" s="699" t="n"/>
      <c r="D156" s="1713" t="n"/>
      <c r="E156" s="1713" t="n"/>
      <c r="F156" s="1713" t="n"/>
      <c r="G156" s="1713" t="n"/>
      <c r="H156" s="1714" t="n"/>
      <c r="I156" s="1719" t="n"/>
      <c r="J156" s="1719" t="n"/>
      <c r="K156" s="1719" t="n"/>
      <c r="L156" s="1719" t="n"/>
      <c r="M156" s="1720" t="n"/>
      <c r="N156" s="1720">
        <f t="array" ref="N156">N154/I154-1</f>
        <v/>
      </c>
      <c r="O156" s="1720">
        <f t="array" ref="O156">O154/J154-1</f>
        <v/>
      </c>
      <c r="P156" s="1720">
        <f t="array" ref="P156">P154/K154-1</f>
        <v/>
      </c>
      <c r="Q156" s="1720">
        <f t="array" ref="Q156">Q154/L154-1</f>
        <v/>
      </c>
      <c r="R156" s="1720">
        <f t="array" ref="R156">R154/M154-1</f>
        <v/>
      </c>
      <c r="S156" s="1720">
        <f t="array" ref="S156">S154/N154-1</f>
        <v/>
      </c>
      <c r="T156" s="1720">
        <f t="array" ref="T156">T154/O154-1</f>
        <v/>
      </c>
      <c r="U156" s="1720">
        <f t="array" ref="U156">U154/P154-1</f>
        <v/>
      </c>
      <c r="V156" s="1720">
        <f t="array" ref="V156">V154/Q154-1</f>
        <v/>
      </c>
      <c r="W156" s="1720">
        <f t="array" ref="W156">W154/R154-1</f>
        <v/>
      </c>
      <c r="X156" s="1720">
        <f t="array" ref="X156">X154/S154-1</f>
        <v/>
      </c>
      <c r="Y156" s="1720">
        <f t="array" ref="Y156">Y154/T154-1</f>
        <v/>
      </c>
      <c r="Z156" s="1720">
        <f t="array" ref="Z156">Z154/U154-1</f>
        <v/>
      </c>
      <c r="AA156" s="1720">
        <f t="array" ref="AA156">AA154/V154-1</f>
        <v/>
      </c>
      <c r="AB156" s="1720">
        <f t="array" ref="AB156">AB154/W154-1</f>
        <v/>
      </c>
      <c r="AC156" s="1720">
        <f t="array" ref="AC156">AC154/X154-1</f>
        <v/>
      </c>
      <c r="AD156" s="1720">
        <f t="array" ref="AD156">AD154/Y154-1</f>
        <v/>
      </c>
      <c r="AE156" s="1720">
        <f t="array" ref="AE156">AE154/Z154-1</f>
        <v/>
      </c>
      <c r="AF156" s="1720">
        <f t="array" ref="AF156">AF154/AA154-1</f>
        <v/>
      </c>
      <c r="AG156" s="1720">
        <f t="array" ref="AG156">AG154/AB154-1</f>
        <v/>
      </c>
      <c r="AH156" s="1720">
        <f t="array" ref="AH156">AH154/AC154-1</f>
        <v/>
      </c>
      <c r="AI156" s="1720">
        <f t="array" ref="AI156">AI154/AD154-1</f>
        <v/>
      </c>
      <c r="AJ156" s="1720">
        <f t="array" ref="AJ156">AJ154/AE154-1</f>
        <v/>
      </c>
      <c r="AK156" s="1720">
        <f t="array" ref="AK156">AK154/AF154-1</f>
        <v/>
      </c>
      <c r="AL156" s="1720">
        <f t="array" ref="AL156">AL154/AG154-1</f>
        <v/>
      </c>
      <c r="AM156" s="1720">
        <f t="array" ref="AM156">AM154/AH154-1</f>
        <v/>
      </c>
      <c r="AN156" s="1720">
        <f t="array" ref="AN156">AN154/AI154-1</f>
        <v/>
      </c>
      <c r="AO156" s="1720">
        <f t="array" ref="AO156">AO154/AJ154-1</f>
        <v/>
      </c>
      <c r="AP156" s="1720">
        <f t="array" ref="AP156">AP154/AK154-1</f>
        <v/>
      </c>
      <c r="AQ156" s="1720">
        <f t="array" ref="AQ156">AQ154/AL154-1</f>
        <v/>
      </c>
      <c r="AR156" s="1720">
        <f t="array" ref="AR156">AR154/AM154-1</f>
        <v/>
      </c>
      <c r="AS156" s="1720">
        <f t="array" ref="AS156">AS154/AN154-1</f>
        <v/>
      </c>
      <c r="AT156" s="1720">
        <f t="array" ref="AT156">AT154/AO154-1</f>
        <v/>
      </c>
      <c r="AU156" s="1720">
        <f t="array" ref="AU156">AU154/AP154-1</f>
        <v/>
      </c>
      <c r="AV156" s="1720">
        <f t="array" ref="AV156">AV154/AQ154-1</f>
        <v/>
      </c>
      <c r="AW156" s="1721">
        <f t="array" ref="AW156">AW154/AR154-1</f>
        <v/>
      </c>
      <c r="AX156" s="1722">
        <f t="array" ref="AX156">AX154/AS154-1</f>
        <v/>
      </c>
      <c r="AY156" s="1722">
        <f t="array" ref="AY156">AY154/AT154-1</f>
        <v/>
      </c>
      <c r="AZ156" s="1722">
        <f t="array" ref="AZ156">AZ154/AU154-1</f>
        <v/>
      </c>
      <c r="BA156" s="1723">
        <f t="array" ref="BA156">BA154/AV154-1</f>
        <v/>
      </c>
      <c r="BB156" s="1721">
        <f t="array" ref="BB156">BB154/AW154-1</f>
        <v/>
      </c>
      <c r="BC156" s="1722">
        <f t="array" ref="BC156">BC154/AX154-1</f>
        <v/>
      </c>
      <c r="BD156" s="1722">
        <f t="array" ref="BD156">BD154/AY154-1</f>
        <v/>
      </c>
      <c r="BE156" s="1722">
        <f t="array" ref="BE156">BE154/AZ154-1</f>
        <v/>
      </c>
      <c r="BF156" s="1798">
        <f t="array" ref="BF156">BF154/BA154-1</f>
        <v/>
      </c>
      <c r="BG156" s="1720">
        <f t="array" ref="BG156">BG154/BB154-1</f>
        <v/>
      </c>
      <c r="BH156" s="1720">
        <f t="array" ref="BH156">BH154/BC154-1</f>
        <v/>
      </c>
      <c r="BI156" s="1720">
        <f t="array" ref="BI156">BI154/BD154-1</f>
        <v/>
      </c>
      <c r="BJ156" s="1720">
        <f t="array" ref="BJ156">BJ154/BE154-1</f>
        <v/>
      </c>
      <c r="BK156" s="1799">
        <f t="array" ref="BK156">BK154/BF154-1</f>
        <v/>
      </c>
      <c r="BL156" s="1799">
        <f t="array" ref="BL156">BL154/BG154-1</f>
        <v/>
      </c>
      <c r="BM156" s="1799">
        <f t="array" ref="BM156">BM154/BH154-1</f>
        <v/>
      </c>
      <c r="BN156" s="1799">
        <f t="array" ref="BN156">BN154/BI154-1</f>
        <v/>
      </c>
      <c r="BO156" s="1799">
        <f t="array" ref="BO156">BO154/BJ154-1</f>
        <v/>
      </c>
      <c r="BP156" s="1799">
        <f t="array" ref="BP156">BP154/BK154-1</f>
        <v/>
      </c>
      <c r="BQ156" s="1799">
        <f t="array" ref="BQ156">BQ154/BL154-1</f>
        <v/>
      </c>
      <c r="BR156" s="1799">
        <f t="array" ref="BR156">BR154/BM154-1</f>
        <v/>
      </c>
      <c r="BS156" s="1799">
        <f t="array" ref="BS156">BS154/BN154-1</f>
        <v/>
      </c>
      <c r="BT156" s="1799">
        <f t="array" ref="BT156">BT154/BO154-1</f>
        <v/>
      </c>
      <c r="BU156" s="1799">
        <f t="array" ref="BU156">BU154/BP154-1</f>
        <v/>
      </c>
      <c r="BV156" s="1799">
        <f t="array" ref="BV156">BV154/BQ154-1</f>
        <v/>
      </c>
      <c r="BW156" s="1799">
        <f t="array" ref="BW156">BW154/BR154-1</f>
        <v/>
      </c>
      <c r="BX156" s="1799">
        <f t="array" ref="BX156">BX154/BS154-1</f>
        <v/>
      </c>
      <c r="BY156" s="1799">
        <f t="array" ref="BY156">BY154/BT154-1</f>
        <v/>
      </c>
      <c r="BZ156" s="1799">
        <f t="array" ref="BZ156">BZ154/BU154-1</f>
        <v/>
      </c>
      <c r="CA156" s="1686" t="n"/>
      <c r="CB156" s="319" t="n"/>
      <c r="CC156" s="701" t="n"/>
      <c r="CD156" s="701" t="n"/>
      <c r="CE156" s="701" t="n"/>
      <c r="CF156" s="701" t="n"/>
      <c r="CG156" s="701" t="n"/>
      <c r="CH156" s="701" t="n"/>
      <c r="CI156" s="701" t="n"/>
      <c r="CJ156" s="701" t="n"/>
      <c r="CK156" s="701" t="n"/>
      <c r="CL156" s="701" t="n"/>
      <c r="CM156" s="701" t="n"/>
      <c r="CN156" s="701" t="n"/>
      <c r="CO156" s="701" t="n"/>
      <c r="CP156" s="701" t="n"/>
      <c r="CQ156" s="701" t="n"/>
      <c r="CR156" s="701" t="n"/>
      <c r="CS156" s="701" t="n"/>
      <c r="CT156" s="701" t="n"/>
      <c r="CU156" s="701" t="n"/>
      <c r="CV156" s="701" t="n"/>
      <c r="CW156" s="30" t="n"/>
    </row>
    <row r="157" ht="12.75" customHeight="1" s="1676">
      <c r="A157" s="31" t="n"/>
      <c r="B157" s="388" t="inlineStr">
        <is>
          <t>Text_144</t>
        </is>
      </c>
      <c r="C157" s="699" t="n"/>
      <c r="D157" s="699" t="n"/>
      <c r="E157" s="699" t="n"/>
      <c r="F157" s="699" t="n"/>
      <c r="G157" s="699" t="n"/>
      <c r="H157" s="1883" t="n"/>
      <c r="I157" s="699" t="n"/>
      <c r="J157" s="699" t="n"/>
      <c r="K157" s="699" t="n"/>
      <c r="L157" s="699" t="n"/>
      <c r="M157" s="699" t="n"/>
      <c r="N157" s="699" t="n"/>
      <c r="O157" s="699" t="n"/>
      <c r="P157" s="699" t="n"/>
      <c r="Q157" s="699" t="n"/>
      <c r="R157" s="699" t="n"/>
      <c r="S157" s="699" t="n"/>
      <c r="T157" s="699" t="n"/>
      <c r="U157" s="699" t="n"/>
      <c r="V157" s="699" t="n"/>
      <c r="W157" s="699" t="n"/>
      <c r="X157" s="699" t="n"/>
      <c r="Y157" s="699" t="n"/>
      <c r="Z157" s="699" t="n"/>
      <c r="AA157" s="699" t="n"/>
      <c r="AB157" s="699" t="n"/>
      <c r="AC157" s="699" t="n"/>
      <c r="AD157" s="699" t="n"/>
      <c r="AE157" s="1913" t="n"/>
      <c r="AF157" s="1913" t="n"/>
      <c r="AG157" s="699" t="n"/>
      <c r="AH157" s="699" t="n"/>
      <c r="AI157" s="699" t="n"/>
      <c r="AJ157" s="1913" t="n"/>
      <c r="AK157" s="1913" t="n"/>
      <c r="AL157" s="699" t="n"/>
      <c r="AM157" s="1745" t="n"/>
      <c r="AN157" s="1745" t="n"/>
      <c r="AO157" s="1745" t="n"/>
      <c r="AP157" s="1913" t="n"/>
      <c r="AQ157" s="699" t="n"/>
      <c r="AR157" s="699" t="n"/>
      <c r="AS157" s="699" t="n"/>
      <c r="AT157" s="699" t="n"/>
      <c r="AU157" s="699" t="n"/>
      <c r="AV157" s="699" t="n"/>
      <c r="AW157" s="456" t="n"/>
      <c r="AX157" s="1914" t="n"/>
      <c r="AY157" s="1914" t="n"/>
      <c r="AZ157" s="1914" t="n"/>
      <c r="BA157" s="381" t="n"/>
      <c r="BB157" s="435" t="n"/>
      <c r="BC157" s="436" t="n"/>
      <c r="BD157" s="436" t="n"/>
      <c r="BE157" s="436" t="n"/>
      <c r="BF157" s="1915" t="n">
        <v>10076.5161248356</v>
      </c>
      <c r="BG157" s="400" t="n"/>
      <c r="BH157" s="400" t="n"/>
      <c r="BI157" s="400" t="n"/>
      <c r="BJ157" s="400" t="n"/>
      <c r="BK157" s="1916" t="n">
        <v>13161.3091647949</v>
      </c>
      <c r="BL157" s="400" t="n"/>
      <c r="BM157" s="400" t="n"/>
      <c r="BN157" s="400" t="n"/>
      <c r="BO157" s="400" t="n"/>
      <c r="BP157" s="1916" t="n">
        <v>13668.7710909028</v>
      </c>
      <c r="BQ157" s="400" t="n"/>
      <c r="BR157" s="400" t="n"/>
      <c r="BS157" s="400" t="n"/>
      <c r="BT157" s="400" t="n"/>
      <c r="BU157" s="1916" t="n"/>
      <c r="BV157" s="400" t="n"/>
      <c r="BW157" s="400" t="n"/>
      <c r="BX157" s="400" t="n"/>
      <c r="BY157" s="400" t="n"/>
      <c r="BZ157" s="1916" t="n"/>
      <c r="CA157" s="1686" t="n"/>
      <c r="CB157" s="456" t="n"/>
      <c r="CC157" s="701" t="n"/>
      <c r="CD157" s="701" t="n"/>
      <c r="CE157" s="701" t="n"/>
      <c r="CF157" s="701" t="n"/>
      <c r="CG157" s="701" t="n"/>
      <c r="CH157" s="701" t="n"/>
      <c r="CI157" s="701" t="n"/>
      <c r="CJ157" s="701" t="n"/>
      <c r="CK157" s="701" t="n"/>
      <c r="CL157" s="701" t="n"/>
      <c r="CM157" s="701" t="n"/>
      <c r="CN157" s="701" t="n"/>
      <c r="CO157" s="701" t="n"/>
      <c r="CP157" s="701" t="n"/>
      <c r="CQ157" s="701" t="n"/>
      <c r="CR157" s="701" t="n"/>
      <c r="CS157" s="701" t="n"/>
      <c r="CT157" s="701" t="n"/>
      <c r="CU157" s="701" t="n"/>
      <c r="CV157" s="701" t="n"/>
      <c r="CW157" s="30" t="n"/>
    </row>
    <row r="158" ht="12.75" customHeight="1" s="1676">
      <c r="A158" s="31" t="n"/>
      <c r="B158" s="388" t="inlineStr">
        <is>
          <t>Text_145</t>
        </is>
      </c>
      <c r="C158" s="699" t="n"/>
      <c r="D158" s="699" t="n"/>
      <c r="E158" s="699" t="n"/>
      <c r="F158" s="699" t="n"/>
      <c r="G158" s="699" t="n"/>
      <c r="H158" s="1883" t="n"/>
      <c r="I158" s="699" t="n"/>
      <c r="J158" s="699" t="n"/>
      <c r="K158" s="699" t="n"/>
      <c r="L158" s="699" t="n"/>
      <c r="M158" s="699" t="n"/>
      <c r="N158" s="699" t="n"/>
      <c r="O158" s="699" t="n"/>
      <c r="P158" s="699" t="n"/>
      <c r="Q158" s="699" t="n"/>
      <c r="R158" s="699" t="n"/>
      <c r="S158" s="699" t="n"/>
      <c r="T158" s="699" t="n"/>
      <c r="U158" s="699" t="n"/>
      <c r="V158" s="699" t="n"/>
      <c r="W158" s="699" t="n"/>
      <c r="X158" s="699" t="n"/>
      <c r="Y158" s="699" t="n"/>
      <c r="Z158" s="699" t="n"/>
      <c r="AA158" s="699" t="n"/>
      <c r="AB158" s="699" t="n"/>
      <c r="AC158" s="699" t="n"/>
      <c r="AD158" s="699" t="n"/>
      <c r="AE158" s="1917" t="n"/>
      <c r="AF158" s="1917" t="n"/>
      <c r="AG158" s="699" t="n"/>
      <c r="AH158" s="699" t="n"/>
      <c r="AI158" s="699" t="n"/>
      <c r="AJ158" s="1917" t="n"/>
      <c r="AK158" s="1917" t="n"/>
      <c r="AL158" s="699" t="n"/>
      <c r="AM158" s="1882" t="n"/>
      <c r="AN158" s="1882" t="n"/>
      <c r="AO158" s="1882" t="n"/>
      <c r="AP158" s="1917" t="n"/>
      <c r="AQ158" s="699" t="n"/>
      <c r="AR158" s="699" t="n"/>
      <c r="AS158" s="699" t="n"/>
      <c r="AT158" s="699" t="n"/>
      <c r="AU158" s="699" t="n"/>
      <c r="AV158" s="699" t="n"/>
      <c r="AW158" s="456" t="n"/>
      <c r="AX158" s="1918" t="n"/>
      <c r="AY158" s="1918" t="n"/>
      <c r="AZ158" s="1918" t="n"/>
      <c r="BA158" s="1919" t="n"/>
      <c r="BB158" s="435" t="n"/>
      <c r="BC158" s="436" t="n"/>
      <c r="BD158" s="436" t="n"/>
      <c r="BE158" s="436" t="n"/>
      <c r="BF158" s="1919">
        <f t="array" ref="BF158">BF154/BF157-1</f>
        <v/>
      </c>
      <c r="BG158" s="400" t="n"/>
      <c r="BH158" s="400" t="n"/>
      <c r="BI158" s="400" t="n"/>
      <c r="BJ158" s="400" t="n"/>
      <c r="BK158" s="1920">
        <f t="array" ref="BK158">BK154/BK157-1</f>
        <v/>
      </c>
      <c r="BL158" s="400" t="n"/>
      <c r="BM158" s="400" t="n"/>
      <c r="BN158" s="400" t="n"/>
      <c r="BO158" s="400" t="n"/>
      <c r="BP158" s="1920">
        <f t="array" ref="BP158">BP154/BP157-1</f>
        <v/>
      </c>
      <c r="BQ158" s="400" t="n"/>
      <c r="BR158" s="400" t="n"/>
      <c r="BS158" s="400" t="n"/>
      <c r="BT158" s="400" t="n"/>
      <c r="BU158" s="1920" t="n"/>
      <c r="BV158" s="400" t="n"/>
      <c r="BW158" s="400" t="n"/>
      <c r="BX158" s="400" t="n"/>
      <c r="BY158" s="400" t="n"/>
      <c r="BZ158" s="1920" t="n"/>
      <c r="CA158" s="1686" t="n"/>
      <c r="CB158" s="456" t="n"/>
      <c r="CC158" s="701" t="n"/>
      <c r="CD158" s="701" t="n"/>
      <c r="CE158" s="701" t="n"/>
      <c r="CF158" s="701" t="n"/>
      <c r="CG158" s="701" t="n"/>
      <c r="CH158" s="701" t="n"/>
      <c r="CI158" s="701" t="n"/>
      <c r="CJ158" s="701" t="n"/>
      <c r="CK158" s="701" t="n"/>
      <c r="CL158" s="701" t="n"/>
      <c r="CM158" s="701" t="n"/>
      <c r="CN158" s="701" t="n"/>
      <c r="CO158" s="701" t="n"/>
      <c r="CP158" s="701" t="n"/>
      <c r="CQ158" s="701" t="n"/>
      <c r="CR158" s="701" t="n"/>
      <c r="CS158" s="701" t="n"/>
      <c r="CT158" s="701" t="n"/>
      <c r="CU158" s="701" t="n"/>
      <c r="CV158" s="701" t="n"/>
      <c r="CW158" s="30" t="n"/>
    </row>
    <row r="159" ht="12.75" customHeight="1" s="1676">
      <c r="A159" s="31" t="n"/>
      <c r="B159" s="338" t="inlineStr">
        <is>
          <t>Text_146</t>
        </is>
      </c>
      <c r="C159" s="699" t="n"/>
      <c r="D159" s="1713" t="n"/>
      <c r="E159" s="1713" t="n"/>
      <c r="F159" s="1713" t="n"/>
      <c r="G159" s="1713" t="n"/>
      <c r="H159" s="1714" t="n"/>
      <c r="I159" s="443">
        <f t="array" ref="I159">I154/I$192</f>
        <v/>
      </c>
      <c r="J159" s="443">
        <f t="array" ref="J159">J154/J$192</f>
        <v/>
      </c>
      <c r="K159" s="443">
        <f t="array" ref="K159">K154/K$192</f>
        <v/>
      </c>
      <c r="L159" s="443">
        <f t="array" ref="L159">L154/L$192</f>
        <v/>
      </c>
      <c r="M159" s="443">
        <f t="array" ref="M159">M154/M$192</f>
        <v/>
      </c>
      <c r="N159" s="443">
        <f t="array" ref="N159">N154/N$192</f>
        <v/>
      </c>
      <c r="O159" s="443">
        <f t="array" ref="O159">O154/O$192</f>
        <v/>
      </c>
      <c r="P159" s="443">
        <f t="array" ref="P159">P154/P$192</f>
        <v/>
      </c>
      <c r="Q159" s="443">
        <f t="array" ref="Q159">Q154/Q$192</f>
        <v/>
      </c>
      <c r="R159" s="443">
        <f t="array" ref="R159">R154/R$192</f>
        <v/>
      </c>
      <c r="S159" s="443">
        <f t="array" ref="S159">S154/S$192</f>
        <v/>
      </c>
      <c r="T159" s="443">
        <f t="array" ref="T159">T154/T$192</f>
        <v/>
      </c>
      <c r="U159" s="443">
        <f t="array" ref="U159">U154/U$192</f>
        <v/>
      </c>
      <c r="V159" s="443">
        <f t="array" ref="V159">V154/V$192</f>
        <v/>
      </c>
      <c r="W159" s="443">
        <f t="array" ref="W159">W154/W$192</f>
        <v/>
      </c>
      <c r="X159" s="443">
        <f t="array" ref="X159">X154/X$192</f>
        <v/>
      </c>
      <c r="Y159" s="443">
        <f t="array" ref="Y159">Y154/Y$192</f>
        <v/>
      </c>
      <c r="Z159" s="443">
        <f t="array" ref="Z159">Z154/Z$192</f>
        <v/>
      </c>
      <c r="AA159" s="443">
        <f t="array" ref="AA159">AA154/AA$192</f>
        <v/>
      </c>
      <c r="AB159" s="443">
        <f t="array" ref="AB159">AB154/AB$192</f>
        <v/>
      </c>
      <c r="AC159" s="443">
        <f t="array" ref="AC159">AC154/AC$192</f>
        <v/>
      </c>
      <c r="AD159" s="443">
        <f t="array" ref="AD159">AD154/AD$192</f>
        <v/>
      </c>
      <c r="AE159" s="443">
        <f t="array" ref="AE159">AE154/AE$192</f>
        <v/>
      </c>
      <c r="AF159" s="443">
        <f t="array" ref="AF159">AF154/AF$192</f>
        <v/>
      </c>
      <c r="AG159" s="443">
        <f t="array" ref="AG159">AG154/AG$192</f>
        <v/>
      </c>
      <c r="AH159" s="443">
        <f t="array" ref="AH159">AH154/AH$192</f>
        <v/>
      </c>
      <c r="AI159" s="443">
        <f t="array" ref="AI159">AI154/AI$192</f>
        <v/>
      </c>
      <c r="AJ159" s="443">
        <f t="array" ref="AJ159">AJ154/AJ$192</f>
        <v/>
      </c>
      <c r="AK159" s="443">
        <f t="array" ref="AK159">AK154/AK$192</f>
        <v/>
      </c>
      <c r="AL159" s="443">
        <f t="array" ref="AL159">AL154/AL$192</f>
        <v/>
      </c>
      <c r="AM159" s="443">
        <f t="array" ref="AM159">AM154/AM$192</f>
        <v/>
      </c>
      <c r="AN159" s="443">
        <f t="array" ref="AN159">AN154/AN$192</f>
        <v/>
      </c>
      <c r="AO159" s="443">
        <f t="array" ref="AO159">AO154/AO$192</f>
        <v/>
      </c>
      <c r="AP159" s="443">
        <f t="array" ref="AP159">AP154/AP$192</f>
        <v/>
      </c>
      <c r="AQ159" s="443">
        <f t="array" ref="AQ159">AQ154/AQ$192</f>
        <v/>
      </c>
      <c r="AR159" s="443">
        <f t="array" ref="AR159">AR154/AR$192</f>
        <v/>
      </c>
      <c r="AS159" s="443">
        <f t="array" ref="AS159">AS154/AS$192</f>
        <v/>
      </c>
      <c r="AT159" s="443">
        <f t="array" ref="AT159">AT154/AT$192</f>
        <v/>
      </c>
      <c r="AU159" s="443">
        <f t="array" ref="AU159">AU154/AU$192</f>
        <v/>
      </c>
      <c r="AV159" s="443">
        <f t="array" ref="AV159">AV154/AV$192</f>
        <v/>
      </c>
      <c r="AW159" s="397">
        <f t="array" ref="AW159">AW154/AW$192</f>
        <v/>
      </c>
      <c r="AX159" s="398">
        <f t="array" ref="AX159">AX154/AX$192</f>
        <v/>
      </c>
      <c r="AY159" s="398">
        <f t="array" ref="AY159">AY154/AY$192</f>
        <v/>
      </c>
      <c r="AZ159" s="398">
        <f t="array" ref="AZ159">AZ154/AZ$192</f>
        <v/>
      </c>
      <c r="BA159" s="444">
        <f t="array" ref="BA159">BA154/BA$192</f>
        <v/>
      </c>
      <c r="BB159" s="397">
        <f t="array" ref="BB159">BB154/BB$192</f>
        <v/>
      </c>
      <c r="BC159" s="398">
        <f t="array" ref="BC159">BC154/BC$192</f>
        <v/>
      </c>
      <c r="BD159" s="1724" t="n"/>
      <c r="BE159" s="1724" t="n"/>
      <c r="BF159" s="444">
        <f t="array" ref="BF159">BF154/BF$192</f>
        <v/>
      </c>
      <c r="BG159" s="1713" t="n"/>
      <c r="BH159" s="1713" t="n"/>
      <c r="BI159" s="1713" t="n"/>
      <c r="BJ159" s="1713" t="n"/>
      <c r="BK159" s="443">
        <f t="array" ref="BK159">BK154/BK$192</f>
        <v/>
      </c>
      <c r="BL159" s="1713" t="n"/>
      <c r="BM159" s="1713" t="n"/>
      <c r="BN159" s="1713" t="n"/>
      <c r="BO159" s="1713" t="n"/>
      <c r="BP159" s="443">
        <f t="array" ref="BP159">BP154/BP$192</f>
        <v/>
      </c>
      <c r="BQ159" s="1713" t="n"/>
      <c r="BR159" s="1713" t="n"/>
      <c r="BS159" s="1713" t="n"/>
      <c r="BT159" s="1713" t="n"/>
      <c r="BU159" s="443">
        <f t="array" ref="BU159">BU154/BU$192</f>
        <v/>
      </c>
      <c r="BV159" s="1713" t="n"/>
      <c r="BW159" s="1713" t="n"/>
      <c r="BX159" s="1713" t="n"/>
      <c r="BY159" s="1713" t="n"/>
      <c r="BZ159" s="443">
        <f t="array" ref="BZ159">BZ154/BZ$192</f>
        <v/>
      </c>
      <c r="CA159" s="1686" t="n"/>
      <c r="CB159" s="98" t="n"/>
      <c r="CC159" s="701" t="n"/>
      <c r="CD159" s="701" t="n"/>
      <c r="CE159" s="701" t="n"/>
      <c r="CF159" s="701" t="n"/>
      <c r="CG159" s="701" t="n"/>
      <c r="CH159" s="701" t="n"/>
      <c r="CI159" s="701" t="n"/>
      <c r="CJ159" s="701" t="n"/>
      <c r="CK159" s="701" t="n"/>
      <c r="CL159" s="701" t="n"/>
      <c r="CM159" s="701" t="n"/>
      <c r="CN159" s="701" t="n"/>
      <c r="CO159" s="701" t="n"/>
      <c r="CP159" s="701" t="n"/>
      <c r="CQ159" s="701" t="n"/>
      <c r="CR159" s="701" t="n"/>
      <c r="CS159" s="701" t="n"/>
      <c r="CT159" s="701" t="n"/>
      <c r="CU159" s="701" t="n"/>
      <c r="CV159" s="701" t="n"/>
      <c r="CW159" s="30" t="n"/>
    </row>
    <row r="160" ht="12.75" customHeight="1" s="1676">
      <c r="A160" s="31" t="n"/>
      <c r="B160" s="103" t="inlineStr">
        <is>
          <t>Text_147</t>
        </is>
      </c>
      <c r="C160" s="699" t="n"/>
      <c r="D160" s="1713" t="n"/>
      <c r="E160" s="1713" t="n"/>
      <c r="F160" s="1713" t="n"/>
      <c r="G160" s="1713" t="n"/>
      <c r="H160" s="1714" t="n"/>
      <c r="I160" s="1715" t="n">
        <v>377.744955727206</v>
      </c>
      <c r="J160" s="1715" t="n">
        <v>341.137700480257</v>
      </c>
      <c r="K160" s="1715" t="n">
        <v>452.628145632879</v>
      </c>
      <c r="L160" s="1715" t="n">
        <v>672.1506902781809</v>
      </c>
      <c r="M160" s="1715" t="n">
        <v>1680.3499624553</v>
      </c>
      <c r="N160" s="1715" t="n">
        <v>484.774589999654</v>
      </c>
      <c r="O160" s="1715" t="n">
        <v>447.261465494972</v>
      </c>
      <c r="P160" s="1715" t="n">
        <v>540.536850279144</v>
      </c>
      <c r="Q160" s="1715" t="n">
        <v>587.470112963548</v>
      </c>
      <c r="R160" s="1715" t="n">
        <v>1617.76715355823</v>
      </c>
      <c r="S160" s="1715" t="n">
        <v>561.240404228669</v>
      </c>
      <c r="T160" s="1715" t="n">
        <v>285.961982237485</v>
      </c>
      <c r="U160" s="1715" t="n">
        <v>169.816220947378</v>
      </c>
      <c r="V160" s="1715" t="n">
        <v>341.785667200008</v>
      </c>
      <c r="W160" s="1715" t="n">
        <v>1143.00408419411</v>
      </c>
      <c r="X160" s="1715" t="n">
        <v>494.324825953419</v>
      </c>
      <c r="Y160" s="1715" t="n">
        <v>432.197955437052</v>
      </c>
      <c r="Z160" s="1715" t="n">
        <v>554.556346066483</v>
      </c>
      <c r="AA160" s="1715" t="n">
        <v>412.086583244732</v>
      </c>
      <c r="AB160" s="1715" t="n">
        <v>1531.40681569966</v>
      </c>
      <c r="AC160" s="1715" t="n">
        <v>674.31613422013</v>
      </c>
      <c r="AD160" s="1715" t="n">
        <v>788.419136581855</v>
      </c>
      <c r="AE160" s="1715" t="n">
        <v>733.963538918263</v>
      </c>
      <c r="AF160" s="1715" t="n">
        <v>593.854610583635</v>
      </c>
      <c r="AG160" s="1715" t="n">
        <v>2809.62629317934</v>
      </c>
      <c r="AH160" s="1715" t="n">
        <v>1044.40737240637</v>
      </c>
      <c r="AI160" s="1715" t="n">
        <v>822.676454142815</v>
      </c>
      <c r="AJ160" s="1715" t="n">
        <v>902.755438926168</v>
      </c>
      <c r="AK160" s="1715" t="n">
        <v>976.884879618233</v>
      </c>
      <c r="AL160" s="1715" t="n">
        <v>2886.93963181475</v>
      </c>
      <c r="AM160" s="1715" t="n">
        <v>1265.08618913599</v>
      </c>
      <c r="AN160" s="1715" t="n">
        <v>1234.27905421784</v>
      </c>
      <c r="AO160" s="1715" t="n">
        <v>1226.28875560689</v>
      </c>
      <c r="AP160" s="1715" t="n">
        <v>1057.73867273715</v>
      </c>
      <c r="AQ160" s="1715" t="n">
        <v>4840.25649350222</v>
      </c>
      <c r="AR160" s="1715" t="n">
        <v>1602.08170893645</v>
      </c>
      <c r="AS160" s="1715" t="n">
        <v>2316.08044990245</v>
      </c>
      <c r="AT160" s="1715" t="n">
        <v>1648.23112782838</v>
      </c>
      <c r="AU160" s="1715" t="n">
        <v>1181.04602551565</v>
      </c>
      <c r="AV160" s="1715" t="n">
        <v>5891.44209538054</v>
      </c>
      <c r="AW160" s="1716" t="n">
        <v>1659.70417048074</v>
      </c>
      <c r="AX160" s="1717">
        <f t="array" ref="AX160">AX163*AX154</f>
        <v/>
      </c>
      <c r="AY160" s="1717">
        <f t="array" ref="AY160">AY163*AY154</f>
        <v/>
      </c>
      <c r="AZ160" s="1717">
        <f t="array" ref="AZ160">AZ163*AZ154</f>
        <v/>
      </c>
      <c r="BA160" s="1718">
        <f t="array" ref="BA160">AZ160+AY160+AX160+AW160</f>
        <v/>
      </c>
      <c r="BB160" s="1716">
        <f t="array" ref="BB160">BB163*BB154</f>
        <v/>
      </c>
      <c r="BC160" s="1717">
        <f t="array" ref="BC160">BC163*BC154</f>
        <v/>
      </c>
      <c r="BD160" s="1717">
        <f t="array" ref="BD160">BC160*(1+BD161)</f>
        <v/>
      </c>
      <c r="BE160" s="1717">
        <f t="array" ref="BE160">BD160*(1+BE161)</f>
        <v/>
      </c>
      <c r="BF160" s="1718">
        <f t="array" ref="BF160">BE160+BD160+BC160+BB160</f>
        <v/>
      </c>
      <c r="BG160" s="1715">
        <f t="array" ref="BG160">BE160*(1+BG161)</f>
        <v/>
      </c>
      <c r="BH160" s="1715">
        <f t="array" ref="BH160">BG160*(1+BH161)</f>
        <v/>
      </c>
      <c r="BI160" s="1715">
        <f t="array" ref="BI160">BH160*(1+BI161)</f>
        <v/>
      </c>
      <c r="BJ160" s="1715">
        <f t="array" ref="BJ160">BI160*(1+BJ161)</f>
        <v/>
      </c>
      <c r="BK160" s="1715">
        <f t="array" ref="BK160">BJ160+BI160+BH160+BG160</f>
        <v/>
      </c>
      <c r="BL160" s="1715">
        <f t="array" ref="BL160">BJ160*(1+BL161)</f>
        <v/>
      </c>
      <c r="BM160" s="1715">
        <f t="array" ref="BM160">BL160*(1+BM161)</f>
        <v/>
      </c>
      <c r="BN160" s="1715">
        <f t="array" ref="BN160">BM160*(1+BN161)</f>
        <v/>
      </c>
      <c r="BO160" s="1715">
        <f t="array" ref="BO160">BN160*(1+BO161)</f>
        <v/>
      </c>
      <c r="BP160" s="1715">
        <f t="array" ref="BP160">BO160+BN160+BM160+BL160</f>
        <v/>
      </c>
      <c r="BQ160" s="1715">
        <f t="array" ref="BQ160">BO160*(1+BQ161)</f>
        <v/>
      </c>
      <c r="BR160" s="1715">
        <f t="array" ref="BR160">BQ160*(1+BR161)</f>
        <v/>
      </c>
      <c r="BS160" s="1715">
        <f t="array" ref="BS160">BR160*(1+BS161)</f>
        <v/>
      </c>
      <c r="BT160" s="1715">
        <f t="array" ref="BT160">BS160*(1+BT161)</f>
        <v/>
      </c>
      <c r="BU160" s="1715">
        <f t="array" ref="BU160">BT160+BS160+BR160+BQ160</f>
        <v/>
      </c>
      <c r="BV160" s="1715">
        <f t="array" ref="BV160">BT160*(1+BV161)</f>
        <v/>
      </c>
      <c r="BW160" s="1715">
        <f t="array" ref="BW160">BV160*(1+BW161)</f>
        <v/>
      </c>
      <c r="BX160" s="1715">
        <f t="array" ref="BX160">BW160*(1+BX161)</f>
        <v/>
      </c>
      <c r="BY160" s="1715">
        <f t="array" ref="BY160">BX160*(1+BY161)</f>
        <v/>
      </c>
      <c r="BZ160" s="1715">
        <f t="array" ref="BZ160">BY160+BX160+BW160+BV160</f>
        <v/>
      </c>
      <c r="CA160" s="431" t="inlineStr">
        <is>
          <t>Text_148</t>
        </is>
      </c>
      <c r="CB160" s="98" t="n"/>
      <c r="CC160" s="701" t="n"/>
      <c r="CD160" s="701" t="n"/>
      <c r="CE160" s="701" t="n"/>
      <c r="CF160" s="701" t="n"/>
      <c r="CG160" s="701" t="n"/>
      <c r="CH160" s="701" t="n"/>
      <c r="CI160" s="701" t="n"/>
      <c r="CJ160" s="701" t="n"/>
      <c r="CK160" s="701" t="n"/>
      <c r="CL160" s="701" t="n"/>
      <c r="CM160" s="701" t="n"/>
      <c r="CN160" s="701" t="n"/>
      <c r="CO160" s="701" t="n"/>
      <c r="CP160" s="701" t="n"/>
      <c r="CQ160" s="701" t="n"/>
      <c r="CR160" s="701" t="n"/>
      <c r="CS160" s="701" t="n"/>
      <c r="CT160" s="701" t="n"/>
      <c r="CU160" s="701" t="n"/>
      <c r="CV160" s="701" t="n"/>
      <c r="CW160" s="30" t="n"/>
    </row>
    <row r="161" ht="12.75" customHeight="1" s="1676">
      <c r="A161" s="31" t="n"/>
      <c r="B161" s="103" t="inlineStr">
        <is>
          <t>Text_49</t>
        </is>
      </c>
      <c r="C161" s="699" t="n"/>
      <c r="D161" s="1713" t="n"/>
      <c r="E161" s="1713" t="n"/>
      <c r="F161" s="1713" t="n"/>
      <c r="G161" s="1713" t="n"/>
      <c r="H161" s="1714" t="n"/>
      <c r="I161" s="1715" t="n"/>
      <c r="J161" s="1715" t="n"/>
      <c r="K161" s="1715" t="n"/>
      <c r="L161" s="1715" t="n"/>
      <c r="M161" s="1761" t="n"/>
      <c r="N161" s="1761" t="n"/>
      <c r="O161" s="1761" t="n"/>
      <c r="P161" s="1761" t="n"/>
      <c r="Q161" s="1761" t="n"/>
      <c r="R161" s="1761" t="n"/>
      <c r="S161" s="1761" t="n"/>
      <c r="T161" s="1761" t="n"/>
      <c r="U161" s="1761" t="n"/>
      <c r="V161" s="1761" t="n"/>
      <c r="W161" s="1761" t="n"/>
      <c r="X161" s="1761" t="n"/>
      <c r="Y161" s="1761" t="n"/>
      <c r="Z161" s="1761" t="n"/>
      <c r="AA161" s="1761" t="n"/>
      <c r="AB161" s="1761" t="n"/>
      <c r="AC161" s="1761" t="n"/>
      <c r="AD161" s="1761" t="n"/>
      <c r="AE161" s="1761" t="n"/>
      <c r="AF161" s="1761" t="n"/>
      <c r="AG161" s="1761" t="n"/>
      <c r="AH161" s="1761" t="n"/>
      <c r="AI161" s="1761" t="n"/>
      <c r="AJ161" s="1761" t="n"/>
      <c r="AK161" s="1761" t="n"/>
      <c r="AL161" s="1761" t="n"/>
      <c r="AM161" s="1790">
        <f t="array" ref="AM161">AM160/AK160-1</f>
        <v/>
      </c>
      <c r="AN161" s="1790">
        <f t="array" ref="AN161">AN160/AM160-1</f>
        <v/>
      </c>
      <c r="AO161" s="1790">
        <f t="array" ref="AO161">AO160/AN160-1</f>
        <v/>
      </c>
      <c r="AP161" s="1790">
        <f t="array" ref="AP161">AP160/AO160-1</f>
        <v/>
      </c>
      <c r="AQ161" s="1761" t="n"/>
      <c r="AR161" s="1790">
        <f t="array" ref="AR161">AR160/AP160-1</f>
        <v/>
      </c>
      <c r="AS161" s="1790">
        <f t="array" ref="AS161">AS160/AR160-1</f>
        <v/>
      </c>
      <c r="AT161" s="1790">
        <f t="array" ref="AT161">AT160/AS160-1</f>
        <v/>
      </c>
      <c r="AU161" s="1790">
        <f t="array" ref="AU161">AU160/AT160-1</f>
        <v/>
      </c>
      <c r="AV161" s="1761" t="n"/>
      <c r="AW161" s="1791">
        <f t="array" ref="AW161">AW160/AU160-1</f>
        <v/>
      </c>
      <c r="AX161" s="1792">
        <f t="array" ref="AX161">AX160/AW160-1</f>
        <v/>
      </c>
      <c r="AY161" s="1792">
        <f t="array" ref="AY161">AY160/AX160-1</f>
        <v/>
      </c>
      <c r="AZ161" s="1792">
        <f t="array" ref="AZ161">AZ160/AY160-1</f>
        <v/>
      </c>
      <c r="BA161" s="1718" t="n"/>
      <c r="BB161" s="1791">
        <f t="array" ref="BB161">BB160/AZ160-1</f>
        <v/>
      </c>
      <c r="BC161" s="1792">
        <f t="array" ref="BC161">BC160/BB160-1</f>
        <v/>
      </c>
      <c r="BD161" s="1921" t="n">
        <v>-0.0524926005170834</v>
      </c>
      <c r="BE161" s="1804" t="n">
        <v>0.0506494206811354</v>
      </c>
      <c r="BF161" s="1795" t="n"/>
      <c r="BG161" s="1856" t="n">
        <v>0.0101340224805782</v>
      </c>
      <c r="BH161" s="1856" t="n">
        <v>0.010220048899395</v>
      </c>
      <c r="BI161" s="1856" t="n">
        <v>0.009567161704831271</v>
      </c>
      <c r="BJ161" s="1856" t="n">
        <v>0.0105525492612333</v>
      </c>
      <c r="BK161" s="1797" t="n"/>
      <c r="BL161" s="1856" t="n">
        <v>0.0197833880663789</v>
      </c>
      <c r="BM161" s="1856" t="n">
        <v>0.0196883694086653</v>
      </c>
      <c r="BN161" s="1856" t="n">
        <v>0.0200504472140876</v>
      </c>
      <c r="BO161" s="1856" t="n">
        <v>0.0187919092447335</v>
      </c>
      <c r="BP161" s="1797" t="n"/>
      <c r="BQ161" s="1856" t="n">
        <v>0.0477752224583739</v>
      </c>
      <c r="BR161" s="1856">
        <f t="array" ref="BR161">BQ161</f>
        <v/>
      </c>
      <c r="BS161" s="1856">
        <f t="array" ref="BS161">BR161</f>
        <v/>
      </c>
      <c r="BT161" s="1856">
        <f t="array" ref="BT161">BS161</f>
        <v/>
      </c>
      <c r="BU161" s="1797" t="n"/>
      <c r="BV161" s="1856" t="n">
        <v>0.0257934453880879</v>
      </c>
      <c r="BW161" s="1856">
        <f t="array" ref="BW161">BV161</f>
        <v/>
      </c>
      <c r="BX161" s="1856">
        <f t="array" ref="BX161">BW161</f>
        <v/>
      </c>
      <c r="BY161" s="1856">
        <f t="array" ref="BY161">BX161</f>
        <v/>
      </c>
      <c r="BZ161" s="1797" t="n"/>
      <c r="CA161" s="1686" t="n"/>
      <c r="CB161" s="98" t="n"/>
      <c r="CC161" s="701" t="n"/>
      <c r="CD161" s="701" t="n"/>
      <c r="CE161" s="701" t="n"/>
      <c r="CF161" s="701" t="n"/>
      <c r="CG161" s="701" t="n"/>
      <c r="CH161" s="701" t="n"/>
      <c r="CI161" s="701" t="n"/>
      <c r="CJ161" s="701" t="n"/>
      <c r="CK161" s="701" t="n"/>
      <c r="CL161" s="701" t="n"/>
      <c r="CM161" s="701" t="n"/>
      <c r="CN161" s="701" t="n"/>
      <c r="CO161" s="701" t="n"/>
      <c r="CP161" s="701" t="n"/>
      <c r="CQ161" s="701" t="n"/>
      <c r="CR161" s="701" t="n"/>
      <c r="CS161" s="701" t="n"/>
      <c r="CT161" s="701" t="n"/>
      <c r="CU161" s="701" t="n"/>
      <c r="CV161" s="701" t="n"/>
      <c r="CW161" s="30" t="n"/>
    </row>
    <row r="162" ht="12.75" customHeight="1" s="1676">
      <c r="A162" s="31" t="n"/>
      <c r="B162" s="103" t="inlineStr">
        <is>
          <t>Text_24</t>
        </is>
      </c>
      <c r="C162" s="699" t="n"/>
      <c r="D162" s="1713" t="n"/>
      <c r="E162" s="1713" t="n"/>
      <c r="F162" s="1713" t="n"/>
      <c r="G162" s="1713" t="n"/>
      <c r="H162" s="1714" t="n"/>
      <c r="I162" s="1715" t="n"/>
      <c r="J162" s="1715" t="n"/>
      <c r="K162" s="1715" t="n"/>
      <c r="L162" s="1715" t="n"/>
      <c r="M162" s="1720" t="n"/>
      <c r="N162" s="1720">
        <f t="array" ref="N162">N160/I160-1</f>
        <v/>
      </c>
      <c r="O162" s="1720">
        <f t="array" ref="O162">O160/J160-1</f>
        <v/>
      </c>
      <c r="P162" s="1720">
        <f t="array" ref="P162">P160/K160-1</f>
        <v/>
      </c>
      <c r="Q162" s="1720">
        <f t="array" ref="Q162">Q160/L160-1</f>
        <v/>
      </c>
      <c r="R162" s="1720">
        <f t="array" ref="R162">R160/M160-1</f>
        <v/>
      </c>
      <c r="S162" s="1720">
        <f t="array" ref="S162">S160/N160-1</f>
        <v/>
      </c>
      <c r="T162" s="1720">
        <f t="array" ref="T162">T160/O160-1</f>
        <v/>
      </c>
      <c r="U162" s="1720">
        <f t="array" ref="U162">U160/P160-1</f>
        <v/>
      </c>
      <c r="V162" s="1720">
        <f t="array" ref="V162">V160/Q160-1</f>
        <v/>
      </c>
      <c r="W162" s="1720">
        <f t="array" ref="W162">W160/R160-1</f>
        <v/>
      </c>
      <c r="X162" s="1720">
        <f t="array" ref="X162">X160/S160-1</f>
        <v/>
      </c>
      <c r="Y162" s="1720">
        <f t="array" ref="Y162">Y160/T160-1</f>
        <v/>
      </c>
      <c r="Z162" s="1720">
        <f t="array" ref="Z162">Z160/U160-1</f>
        <v/>
      </c>
      <c r="AA162" s="1720">
        <f t="array" ref="AA162">AA160/V160-1</f>
        <v/>
      </c>
      <c r="AB162" s="1720">
        <f t="array" ref="AB162">AB160/W160-1</f>
        <v/>
      </c>
      <c r="AC162" s="1720">
        <f t="array" ref="AC162">AC160/X160-1</f>
        <v/>
      </c>
      <c r="AD162" s="1720">
        <f t="array" ref="AD162">AD160/Y160-1</f>
        <v/>
      </c>
      <c r="AE162" s="1720">
        <f t="array" ref="AE162">AE160/Z160-1</f>
        <v/>
      </c>
      <c r="AF162" s="1720">
        <f t="array" ref="AF162">AF160/AA160-1</f>
        <v/>
      </c>
      <c r="AG162" s="1720">
        <f t="array" ref="AG162">AG160/AB160-1</f>
        <v/>
      </c>
      <c r="AH162" s="1720">
        <f t="array" ref="AH162">AH160/AC160-1</f>
        <v/>
      </c>
      <c r="AI162" s="1720">
        <f t="array" ref="AI162">AI160/AD160-1</f>
        <v/>
      </c>
      <c r="AJ162" s="1720">
        <f t="array" ref="AJ162">AJ160/AE160-1</f>
        <v/>
      </c>
      <c r="AK162" s="1720">
        <f t="array" ref="AK162">AK160/AF160-1</f>
        <v/>
      </c>
      <c r="AL162" s="1720">
        <f t="array" ref="AL162">AL160/AG160-1</f>
        <v/>
      </c>
      <c r="AM162" s="1720">
        <f t="array" ref="AM162">AM160/AH160-1</f>
        <v/>
      </c>
      <c r="AN162" s="1720">
        <f t="array" ref="AN162">AN160/AI160-1</f>
        <v/>
      </c>
      <c r="AO162" s="1720">
        <f t="array" ref="AO162">AO160/AJ160-1</f>
        <v/>
      </c>
      <c r="AP162" s="1720">
        <f t="array" ref="AP162">AP160/AK160-1</f>
        <v/>
      </c>
      <c r="AQ162" s="1720">
        <f t="array" ref="AQ162">AQ160/AL160-1</f>
        <v/>
      </c>
      <c r="AR162" s="1720">
        <f t="array" ref="AR162">AR160/AM160-1</f>
        <v/>
      </c>
      <c r="AS162" s="1720">
        <f t="array" ref="AS162">AS160/AN160-1</f>
        <v/>
      </c>
      <c r="AT162" s="1720">
        <f t="array" ref="AT162">AT160/AO160-1</f>
        <v/>
      </c>
      <c r="AU162" s="1720">
        <f t="array" ref="AU162">AU160/AP160-1</f>
        <v/>
      </c>
      <c r="AV162" s="1720">
        <f t="array" ref="AV162">AV160/AQ160-1</f>
        <v/>
      </c>
      <c r="AW162" s="1721">
        <f t="array" ref="AW162">AW160/AR160-1</f>
        <v/>
      </c>
      <c r="AX162" s="1722">
        <f t="array" ref="AX162">AX160/AS160-1</f>
        <v/>
      </c>
      <c r="AY162" s="1722">
        <f t="array" ref="AY162">AY160/AT160-1</f>
        <v/>
      </c>
      <c r="AZ162" s="1722">
        <f t="array" ref="AZ162">AZ160/AU160-1</f>
        <v/>
      </c>
      <c r="BA162" s="1723">
        <f t="array" ref="BA162">BA160/AV160-1</f>
        <v/>
      </c>
      <c r="BB162" s="1767">
        <f t="array" ref="BB162">BB160/AW160-1</f>
        <v/>
      </c>
      <c r="BC162" s="1766">
        <f t="array" ref="BC162">BC160/AX160-1</f>
        <v/>
      </c>
      <c r="BD162" s="1766">
        <f t="array" ref="BD162">BD160/AY160-1</f>
        <v/>
      </c>
      <c r="BE162" s="1766">
        <f t="array" ref="BE162">BE160/AZ160-1</f>
        <v/>
      </c>
      <c r="BF162" s="1798">
        <f t="array" ref="BF162">BF160/BA160-1</f>
        <v/>
      </c>
      <c r="BG162" s="1799">
        <f t="array" ref="BG162">BG160/BB160-1</f>
        <v/>
      </c>
      <c r="BH162" s="1799">
        <f t="array" ref="BH162">BH160/BC160-1</f>
        <v/>
      </c>
      <c r="BI162" s="1799">
        <f t="array" ref="BI162">BI160/BD160-1</f>
        <v/>
      </c>
      <c r="BJ162" s="1799">
        <f t="array" ref="BJ162">BJ160/BE160-1</f>
        <v/>
      </c>
      <c r="BK162" s="1799">
        <f t="array" ref="BK162">BK160/BF160-1</f>
        <v/>
      </c>
      <c r="BL162" s="1799">
        <f t="array" ref="BL162">BL160/BG160-1</f>
        <v/>
      </c>
      <c r="BM162" s="1799">
        <f t="array" ref="BM162">BM160/BH160-1</f>
        <v/>
      </c>
      <c r="BN162" s="1799">
        <f t="array" ref="BN162">BN160/BI160-1</f>
        <v/>
      </c>
      <c r="BO162" s="1799">
        <f t="array" ref="BO162">BO160/BJ160-1</f>
        <v/>
      </c>
      <c r="BP162" s="1799">
        <f t="array" ref="BP162">BP160/BK160-1</f>
        <v/>
      </c>
      <c r="BQ162" s="1799">
        <f t="array" ref="BQ162">BQ160/BL160-1</f>
        <v/>
      </c>
      <c r="BR162" s="1799">
        <f t="array" ref="BR162">BR160/BM160-1</f>
        <v/>
      </c>
      <c r="BS162" s="1799">
        <f t="array" ref="BS162">BS160/BN160-1</f>
        <v/>
      </c>
      <c r="BT162" s="1799">
        <f t="array" ref="BT162">BT160/BO160-1</f>
        <v/>
      </c>
      <c r="BU162" s="1799">
        <f t="array" ref="BU162">BU160/BP160-1</f>
        <v/>
      </c>
      <c r="BV162" s="1799">
        <f t="array" ref="BV162">BV160/BQ160-1</f>
        <v/>
      </c>
      <c r="BW162" s="1799">
        <f t="array" ref="BW162">BW160/BR160-1</f>
        <v/>
      </c>
      <c r="BX162" s="1799">
        <f t="array" ref="BX162">BX160/BS160-1</f>
        <v/>
      </c>
      <c r="BY162" s="1799">
        <f t="array" ref="BY162">BY160/BT160-1</f>
        <v/>
      </c>
      <c r="BZ162" s="1799">
        <f t="array" ref="BZ162">BZ160/BU160-1</f>
        <v/>
      </c>
      <c r="CA162" s="1686" t="n"/>
      <c r="CB162" s="98" t="n"/>
      <c r="CC162" s="701" t="n"/>
      <c r="CD162" s="701" t="n"/>
      <c r="CE162" s="701" t="n"/>
      <c r="CF162" s="701" t="n"/>
      <c r="CG162" s="701" t="n"/>
      <c r="CH162" s="701" t="n"/>
      <c r="CI162" s="701" t="n"/>
      <c r="CJ162" s="701" t="n"/>
      <c r="CK162" s="701" t="n"/>
      <c r="CL162" s="701" t="n"/>
      <c r="CM162" s="701" t="n"/>
      <c r="CN162" s="701" t="n"/>
      <c r="CO162" s="701" t="n"/>
      <c r="CP162" s="701" t="n"/>
      <c r="CQ162" s="701" t="n"/>
      <c r="CR162" s="701" t="n"/>
      <c r="CS162" s="701" t="n"/>
      <c r="CT162" s="701" t="n"/>
      <c r="CU162" s="701" t="n"/>
      <c r="CV162" s="701" t="n"/>
      <c r="CW162" s="30" t="n"/>
    </row>
    <row r="163" ht="12.75" customHeight="1" s="1676">
      <c r="A163" s="31" t="n"/>
      <c r="B163" s="116" t="inlineStr">
        <is>
          <t>Text_149</t>
        </is>
      </c>
      <c r="C163" s="699" t="n"/>
      <c r="D163" s="1713" t="n"/>
      <c r="E163" s="1713" t="n"/>
      <c r="F163" s="1713" t="n"/>
      <c r="G163" s="1713" t="n"/>
      <c r="H163" s="1714" t="n"/>
      <c r="I163" s="117">
        <f t="array" ref="I163">I160/I154</f>
        <v/>
      </c>
      <c r="J163" s="117">
        <f t="array" ref="J163">J160/J154</f>
        <v/>
      </c>
      <c r="K163" s="117">
        <f t="array" ref="K163">K160/K154</f>
        <v/>
      </c>
      <c r="L163" s="117">
        <f t="array" ref="L163">L160/L154</f>
        <v/>
      </c>
      <c r="M163" s="117">
        <f t="array" ref="M163">M160/M154</f>
        <v/>
      </c>
      <c r="N163" s="117">
        <f t="array" ref="N163">N160/N154</f>
        <v/>
      </c>
      <c r="O163" s="117">
        <f t="array" ref="O163">O160/O154</f>
        <v/>
      </c>
      <c r="P163" s="117">
        <f t="array" ref="P163">P160/P154</f>
        <v/>
      </c>
      <c r="Q163" s="117">
        <f t="array" ref="Q163">Q160/Q154</f>
        <v/>
      </c>
      <c r="R163" s="117">
        <f t="array" ref="R163">R160/R154</f>
        <v/>
      </c>
      <c r="S163" s="117">
        <f t="array" ref="S163">S160/S154</f>
        <v/>
      </c>
      <c r="T163" s="117">
        <f t="array" ref="T163">T160/T154</f>
        <v/>
      </c>
      <c r="U163" s="117">
        <f t="array" ref="U163">U160/U154</f>
        <v/>
      </c>
      <c r="V163" s="117">
        <f t="array" ref="V163">V160/V154</f>
        <v/>
      </c>
      <c r="W163" s="117">
        <f t="array" ref="W163">W160/W154</f>
        <v/>
      </c>
      <c r="X163" s="117">
        <f t="array" ref="X163">X160/X154</f>
        <v/>
      </c>
      <c r="Y163" s="117">
        <f t="array" ref="Y163">Y160/Y154</f>
        <v/>
      </c>
      <c r="Z163" s="117">
        <f t="array" ref="Z163">Z160/Z154</f>
        <v/>
      </c>
      <c r="AA163" s="117">
        <f t="array" ref="AA163">AA160/AA154</f>
        <v/>
      </c>
      <c r="AB163" s="117">
        <f t="array" ref="AB163">AB160/AB154</f>
        <v/>
      </c>
      <c r="AC163" s="117">
        <f t="array" ref="AC163">AC160/AC154</f>
        <v/>
      </c>
      <c r="AD163" s="117">
        <f t="array" ref="AD163">AD160/AD154</f>
        <v/>
      </c>
      <c r="AE163" s="117">
        <f t="array" ref="AE163">AE160/AE154</f>
        <v/>
      </c>
      <c r="AF163" s="117">
        <f t="array" ref="AF163">AF160/AF154</f>
        <v/>
      </c>
      <c r="AG163" s="117">
        <f t="array" ref="AG163">AG160/AG154</f>
        <v/>
      </c>
      <c r="AH163" s="117">
        <f t="array" ref="AH163">AH160/AH154</f>
        <v/>
      </c>
      <c r="AI163" s="117">
        <f t="array" ref="AI163">AI160/AI154</f>
        <v/>
      </c>
      <c r="AJ163" s="117">
        <f t="array" ref="AJ163">AJ160/AJ154</f>
        <v/>
      </c>
      <c r="AK163" s="117">
        <f t="array" ref="AK163">AK160/AK154</f>
        <v/>
      </c>
      <c r="AL163" s="117">
        <f t="array" ref="AL163">AL160/AL154</f>
        <v/>
      </c>
      <c r="AM163" s="117">
        <f t="array" ref="AM163">AM160/AM154</f>
        <v/>
      </c>
      <c r="AN163" s="117">
        <f t="array" ref="AN163">AN160/AN154</f>
        <v/>
      </c>
      <c r="AO163" s="117">
        <f t="array" ref="AO163">AO160/AO154</f>
        <v/>
      </c>
      <c r="AP163" s="117">
        <f t="array" ref="AP163">AP160/AP154</f>
        <v/>
      </c>
      <c r="AQ163" s="117">
        <f t="array" ref="AQ163">AQ160/AQ154</f>
        <v/>
      </c>
      <c r="AR163" s="117">
        <f t="array" ref="AR163">AR160/AR154</f>
        <v/>
      </c>
      <c r="AS163" s="117">
        <f t="array" ref="AS163">AS160/AS154</f>
        <v/>
      </c>
      <c r="AT163" s="117">
        <f t="array" ref="AT163">AT160/AT154</f>
        <v/>
      </c>
      <c r="AU163" s="117">
        <f t="array" ref="AU163">AU160/AU154</f>
        <v/>
      </c>
      <c r="AV163" s="117">
        <f t="array" ref="AV163">AV160/AV154</f>
        <v/>
      </c>
      <c r="AW163" s="125">
        <f t="array" ref="AW163">AW160/AW154</f>
        <v/>
      </c>
      <c r="AX163" s="122" t="n">
        <v>0.528848967205076</v>
      </c>
      <c r="AY163" s="122" t="n">
        <v>0.648802313341132</v>
      </c>
      <c r="AZ163" s="122" t="n">
        <v>0.792158169325158</v>
      </c>
      <c r="BA163" s="124">
        <f t="array" ref="BA163">BA160/BA154</f>
        <v/>
      </c>
      <c r="BB163" s="125" t="n">
        <v>0.788191532164478</v>
      </c>
      <c r="BC163" s="122" t="n">
        <v>0.738587631992764</v>
      </c>
      <c r="BD163" s="194">
        <f t="array" ref="BD163">BD160/BD154</f>
        <v/>
      </c>
      <c r="BE163" s="194">
        <f t="array" ref="BE163">BE160/BE154</f>
        <v/>
      </c>
      <c r="BF163" s="195">
        <f t="array" ref="BF163">BF160/BF154</f>
        <v/>
      </c>
      <c r="BG163" s="192">
        <f t="array" ref="BG163">BG160/BG154</f>
        <v/>
      </c>
      <c r="BH163" s="192">
        <f t="array" ref="BH163">BH160/BH154</f>
        <v/>
      </c>
      <c r="BI163" s="192">
        <f t="array" ref="BI163">BI160/BI154</f>
        <v/>
      </c>
      <c r="BJ163" s="192">
        <f t="array" ref="BJ163">BJ160/BJ154</f>
        <v/>
      </c>
      <c r="BK163" s="192">
        <f t="array" ref="BK163">BK160/BK154</f>
        <v/>
      </c>
      <c r="BL163" s="192">
        <f t="array" ref="BL163">BL160/BL154</f>
        <v/>
      </c>
      <c r="BM163" s="192">
        <f t="array" ref="BM163">BM160/BM154</f>
        <v/>
      </c>
      <c r="BN163" s="192">
        <f t="array" ref="BN163">BN160/BN154</f>
        <v/>
      </c>
      <c r="BO163" s="192">
        <f t="array" ref="BO163">BO160/BO154</f>
        <v/>
      </c>
      <c r="BP163" s="192">
        <f t="array" ref="BP163">BP160/BP154</f>
        <v/>
      </c>
      <c r="BQ163" s="192">
        <f t="array" ref="BQ163">BQ160/BQ154</f>
        <v/>
      </c>
      <c r="BR163" s="192">
        <f t="array" ref="BR163">BR160/BR154</f>
        <v/>
      </c>
      <c r="BS163" s="192">
        <f t="array" ref="BS163">BS160/BS154</f>
        <v/>
      </c>
      <c r="BT163" s="192">
        <f t="array" ref="BT163">BT160/BT154</f>
        <v/>
      </c>
      <c r="BU163" s="192">
        <f t="array" ref="BU163">BU160/BU154</f>
        <v/>
      </c>
      <c r="BV163" s="192">
        <f t="array" ref="BV163">BV160/BV154</f>
        <v/>
      </c>
      <c r="BW163" s="192">
        <f t="array" ref="BW163">BW160/BW154</f>
        <v/>
      </c>
      <c r="BX163" s="192">
        <f t="array" ref="BX163">BX160/BX154</f>
        <v/>
      </c>
      <c r="BY163" s="192">
        <f t="array" ref="BY163">BY160/BY154</f>
        <v/>
      </c>
      <c r="BZ163" s="192">
        <f t="array" ref="BZ163">BZ160/BZ154</f>
        <v/>
      </c>
      <c r="CA163" s="1686" t="n"/>
      <c r="CB163" s="456" t="n"/>
      <c r="CC163" s="701" t="n"/>
      <c r="CD163" s="701" t="n"/>
      <c r="CE163" s="701" t="n"/>
      <c r="CF163" s="701" t="n"/>
      <c r="CG163" s="701" t="n"/>
      <c r="CH163" s="701" t="n"/>
      <c r="CI163" s="701" t="n"/>
      <c r="CJ163" s="701" t="n"/>
      <c r="CK163" s="701" t="n"/>
      <c r="CL163" s="701" t="n"/>
      <c r="CM163" s="701" t="n"/>
      <c r="CN163" s="701" t="n"/>
      <c r="CO163" s="701" t="n"/>
      <c r="CP163" s="701" t="n"/>
      <c r="CQ163" s="701" t="n"/>
      <c r="CR163" s="701" t="n"/>
      <c r="CS163" s="701" t="n"/>
      <c r="CT163" s="701" t="n"/>
      <c r="CU163" s="701" t="n"/>
      <c r="CV163" s="701" t="n"/>
      <c r="CW163" s="30" t="n"/>
    </row>
    <row r="164" ht="12.75" customHeight="1" s="1676">
      <c r="A164" s="31" t="n"/>
      <c r="B164" s="183" t="inlineStr">
        <is>
          <t>Text_150</t>
        </is>
      </c>
      <c r="C164" s="699" t="n"/>
      <c r="D164" s="1713" t="n"/>
      <c r="E164" s="1713" t="n"/>
      <c r="F164" s="1713" t="n"/>
      <c r="G164" s="1713" t="n"/>
      <c r="H164" s="1714" t="n"/>
      <c r="I164" s="117" t="n"/>
      <c r="J164" s="117" t="n"/>
      <c r="K164" s="117" t="n"/>
      <c r="L164" s="117" t="n"/>
      <c r="M164" s="117" t="n"/>
      <c r="N164" s="117" t="n"/>
      <c r="O164" s="117" t="n"/>
      <c r="P164" s="117" t="n"/>
      <c r="Q164" s="117" t="n"/>
      <c r="R164" s="117" t="n"/>
      <c r="S164" s="117" t="n"/>
      <c r="T164" s="117" t="n"/>
      <c r="U164" s="117" t="n"/>
      <c r="V164" s="117" t="n"/>
      <c r="W164" s="117" t="n"/>
      <c r="X164" s="117" t="n"/>
      <c r="Y164" s="117" t="n"/>
      <c r="Z164" s="117" t="n"/>
      <c r="AA164" s="117" t="n"/>
      <c r="AB164" s="117" t="n"/>
      <c r="AC164" s="117" t="n"/>
      <c r="AD164" s="117" t="n"/>
      <c r="AE164" s="117" t="n"/>
      <c r="AF164" s="117" t="n"/>
      <c r="AG164" s="117" t="n"/>
      <c r="AH164" s="117" t="n"/>
      <c r="AI164" s="117" t="n"/>
      <c r="AJ164" s="117" t="n"/>
      <c r="AK164" s="117" t="n"/>
      <c r="AL164" s="117" t="n"/>
      <c r="AM164" s="117" t="n"/>
      <c r="AN164" s="117" t="n"/>
      <c r="AO164" s="117" t="n"/>
      <c r="AP164" s="117" t="n"/>
      <c r="AQ164" s="1715">
        <f t="array" ref="AQ164">AQ148*AQ154</f>
        <v/>
      </c>
      <c r="AR164" s="117" t="n"/>
      <c r="AS164" s="117" t="n"/>
      <c r="AT164" s="117" t="n"/>
      <c r="AU164" s="117" t="n"/>
      <c r="AV164" s="1715">
        <f t="array" ref="AV164">AV148*AV154</f>
        <v/>
      </c>
      <c r="AW164" s="125" t="n"/>
      <c r="AX164" s="122" t="n"/>
      <c r="AY164" s="194" t="n"/>
      <c r="AZ164" s="194" t="n"/>
      <c r="BA164" s="1718">
        <f t="array" ref="BA164">AV164*(1+BA165)</f>
        <v/>
      </c>
      <c r="BB164" s="193" t="n"/>
      <c r="BC164" s="194" t="n"/>
      <c r="BD164" s="194" t="n"/>
      <c r="BE164" s="194" t="n"/>
      <c r="BF164" s="1718">
        <f t="array" ref="BF164">BA164*(1+BF165)</f>
        <v/>
      </c>
      <c r="BG164" s="192" t="n"/>
      <c r="BH164" s="192" t="n"/>
      <c r="BI164" s="192" t="n"/>
      <c r="BJ164" s="192" t="n"/>
      <c r="BK164" s="1715">
        <f t="array" ref="BK164">BF164*(1+BK165)</f>
        <v/>
      </c>
      <c r="BL164" s="192" t="n"/>
      <c r="BM164" s="192" t="n"/>
      <c r="BN164" s="192" t="n"/>
      <c r="BO164" s="192" t="n"/>
      <c r="BP164" s="1715">
        <f t="array" ref="BP164">BK164*(1+BP165)</f>
        <v/>
      </c>
      <c r="BQ164" s="192" t="n"/>
      <c r="BR164" s="192" t="n"/>
      <c r="BS164" s="192" t="n"/>
      <c r="BT164" s="192" t="n"/>
      <c r="BU164" s="1715">
        <f t="array" ref="BU164">BP164*(1+BU165)</f>
        <v/>
      </c>
      <c r="BV164" s="192" t="n"/>
      <c r="BW164" s="192" t="n"/>
      <c r="BX164" s="192" t="n"/>
      <c r="BY164" s="192" t="n"/>
      <c r="BZ164" s="1715">
        <f t="array" ref="BZ164">BU164*(1+BZ165)</f>
        <v/>
      </c>
      <c r="CA164" s="446" t="n"/>
      <c r="CB164" s="456" t="n"/>
      <c r="CC164" s="701" t="n"/>
      <c r="CD164" s="701" t="n"/>
      <c r="CE164" s="701" t="n"/>
      <c r="CF164" s="701" t="n"/>
      <c r="CG164" s="701" t="n"/>
      <c r="CH164" s="701" t="n"/>
      <c r="CI164" s="701" t="n"/>
      <c r="CJ164" s="701" t="n"/>
      <c r="CK164" s="701" t="n"/>
      <c r="CL164" s="701" t="n"/>
      <c r="CM164" s="701" t="n"/>
      <c r="CN164" s="701" t="n"/>
      <c r="CO164" s="701" t="n"/>
      <c r="CP164" s="701" t="n"/>
      <c r="CQ164" s="701" t="n"/>
      <c r="CR164" s="701" t="n"/>
      <c r="CS164" s="701" t="n"/>
      <c r="CT164" s="701" t="n"/>
      <c r="CU164" s="701" t="n"/>
      <c r="CV164" s="701" t="n"/>
      <c r="CW164" s="30" t="n"/>
    </row>
    <row r="165" ht="12.75" customHeight="1" s="1676">
      <c r="A165" s="31" t="n"/>
      <c r="B165" s="103" t="inlineStr">
        <is>
          <t>Text_24</t>
        </is>
      </c>
      <c r="C165" s="699" t="n"/>
      <c r="D165" s="1713" t="n"/>
      <c r="E165" s="1713" t="n"/>
      <c r="F165" s="1713" t="n"/>
      <c r="G165" s="1713" t="n"/>
      <c r="H165" s="1714" t="n"/>
      <c r="I165" s="117" t="n"/>
      <c r="J165" s="117" t="n"/>
      <c r="K165" s="117" t="n"/>
      <c r="L165" s="117" t="n"/>
      <c r="M165" s="117" t="n"/>
      <c r="N165" s="117" t="n"/>
      <c r="O165" s="117" t="n"/>
      <c r="P165" s="117" t="n"/>
      <c r="Q165" s="117" t="n"/>
      <c r="R165" s="117" t="n"/>
      <c r="S165" s="117" t="n"/>
      <c r="T165" s="117" t="n"/>
      <c r="U165" s="117" t="n"/>
      <c r="V165" s="117" t="n"/>
      <c r="W165" s="117" t="n"/>
      <c r="X165" s="117" t="n"/>
      <c r="Y165" s="117" t="n"/>
      <c r="Z165" s="117" t="n"/>
      <c r="AA165" s="117" t="n"/>
      <c r="AB165" s="117" t="n"/>
      <c r="AC165" s="117" t="n"/>
      <c r="AD165" s="117" t="n"/>
      <c r="AE165" s="117" t="n"/>
      <c r="AF165" s="117" t="n"/>
      <c r="AG165" s="117" t="n"/>
      <c r="AH165" s="117" t="n"/>
      <c r="AI165" s="117" t="n"/>
      <c r="AJ165" s="117" t="n"/>
      <c r="AK165" s="117" t="n"/>
      <c r="AL165" s="117" t="n"/>
      <c r="AM165" s="117" t="n"/>
      <c r="AN165" s="117" t="n"/>
      <c r="AO165" s="117" t="n"/>
      <c r="AP165" s="117" t="n"/>
      <c r="AQ165" s="117" t="n"/>
      <c r="AR165" s="117" t="n"/>
      <c r="AS165" s="117" t="n"/>
      <c r="AT165" s="117" t="n"/>
      <c r="AU165" s="117" t="n"/>
      <c r="AV165" s="1720">
        <f t="array" ref="AV165">AV164/AQ164-1</f>
        <v/>
      </c>
      <c r="AW165" s="125" t="n"/>
      <c r="AX165" s="122" t="n"/>
      <c r="AY165" s="194" t="n"/>
      <c r="AZ165" s="194" t="n"/>
      <c r="BA165" s="1855" t="n">
        <v>0</v>
      </c>
      <c r="BB165" s="193" t="n"/>
      <c r="BC165" s="194" t="n"/>
      <c r="BD165" s="194" t="n"/>
      <c r="BE165" s="194" t="n"/>
      <c r="BF165" s="1855" t="n">
        <v>0.30876183620737</v>
      </c>
      <c r="BG165" s="192" t="n"/>
      <c r="BH165" s="192" t="n"/>
      <c r="BI165" s="192" t="n"/>
      <c r="BJ165" s="192" t="n"/>
      <c r="BK165" s="1856" t="n">
        <v>0.194589912416618</v>
      </c>
      <c r="BL165" s="192" t="n"/>
      <c r="BM165" s="192" t="n"/>
      <c r="BN165" s="192" t="n"/>
      <c r="BO165" s="192" t="n"/>
      <c r="BP165" s="1856" t="n">
        <v>0.0504426976019793</v>
      </c>
      <c r="BQ165" s="192" t="n"/>
      <c r="BR165" s="192" t="n"/>
      <c r="BS165" s="192" t="n"/>
      <c r="BT165" s="192" t="n"/>
      <c r="BU165" s="1856" t="n">
        <v>0.169457142449846</v>
      </c>
      <c r="BV165" s="192" t="n"/>
      <c r="BW165" s="192" t="n"/>
      <c r="BX165" s="192" t="n"/>
      <c r="BY165" s="192" t="n"/>
      <c r="BZ165" s="1856" t="n">
        <v>0.163491651527737</v>
      </c>
      <c r="CA165" s="447" t="n"/>
      <c r="CB165" s="456" t="n"/>
      <c r="CC165" s="701" t="n"/>
      <c r="CD165" s="701" t="n"/>
      <c r="CE165" s="701" t="n"/>
      <c r="CF165" s="701" t="n"/>
      <c r="CG165" s="701" t="n"/>
      <c r="CH165" s="701" t="n"/>
      <c r="CI165" s="701" t="n"/>
      <c r="CJ165" s="701" t="n"/>
      <c r="CK165" s="701" t="n"/>
      <c r="CL165" s="701" t="n"/>
      <c r="CM165" s="701" t="n"/>
      <c r="CN165" s="701" t="n"/>
      <c r="CO165" s="701" t="n"/>
      <c r="CP165" s="701" t="n"/>
      <c r="CQ165" s="701" t="n"/>
      <c r="CR165" s="701" t="n"/>
      <c r="CS165" s="701" t="n"/>
      <c r="CT165" s="701" t="n"/>
      <c r="CU165" s="701" t="n"/>
      <c r="CV165" s="701" t="n"/>
      <c r="CW165" s="30" t="n"/>
    </row>
    <row r="166" ht="12.75" customHeight="1" s="1676">
      <c r="A166" s="31" t="n"/>
      <c r="B166" s="167" t="inlineStr">
        <is>
          <t>Text_151</t>
        </is>
      </c>
      <c r="C166" s="699" t="n"/>
      <c r="D166" s="1713" t="n"/>
      <c r="E166" s="1713" t="n"/>
      <c r="F166" s="1713" t="n"/>
      <c r="G166" s="1713" t="n"/>
      <c r="H166" s="1714" t="n"/>
      <c r="I166" s="117" t="n"/>
      <c r="J166" s="117" t="n"/>
      <c r="K166" s="117" t="n"/>
      <c r="L166" s="117" t="n"/>
      <c r="M166" s="117" t="n"/>
      <c r="N166" s="117" t="n"/>
      <c r="O166" s="117" t="n"/>
      <c r="P166" s="117" t="n"/>
      <c r="Q166" s="117" t="n"/>
      <c r="R166" s="117" t="n"/>
      <c r="S166" s="117" t="n"/>
      <c r="T166" s="117" t="n"/>
      <c r="U166" s="117" t="n"/>
      <c r="V166" s="117" t="n"/>
      <c r="W166" s="117" t="n"/>
      <c r="X166" s="117" t="n"/>
      <c r="Y166" s="117" t="n"/>
      <c r="Z166" s="117" t="n"/>
      <c r="AA166" s="117" t="n"/>
      <c r="AB166" s="117" t="n"/>
      <c r="AC166" s="117" t="n"/>
      <c r="AD166" s="117" t="n"/>
      <c r="AE166" s="117" t="n"/>
      <c r="AF166" s="117" t="n"/>
      <c r="AG166" s="117" t="n"/>
      <c r="AH166" s="117" t="n"/>
      <c r="AI166" s="117" t="n"/>
      <c r="AJ166" s="117" t="n"/>
      <c r="AK166" s="117" t="n"/>
      <c r="AL166" s="117" t="n"/>
      <c r="AM166" s="117" t="n"/>
      <c r="AN166" s="117" t="n"/>
      <c r="AO166" s="117" t="n"/>
      <c r="AP166" s="117" t="n"/>
      <c r="AQ166" s="117">
        <f t="array" ref="AQ166">AQ164/AQ160</f>
        <v/>
      </c>
      <c r="AR166" s="117" t="n"/>
      <c r="AS166" s="117" t="n"/>
      <c r="AT166" s="117" t="n"/>
      <c r="AU166" s="117" t="n"/>
      <c r="AV166" s="117">
        <f t="array" ref="AV166">AV164/AV160</f>
        <v/>
      </c>
      <c r="AW166" s="125" t="n"/>
      <c r="AX166" s="122" t="n"/>
      <c r="AY166" s="194" t="n"/>
      <c r="AZ166" s="194" t="n"/>
      <c r="BA166" s="124">
        <f t="array" ref="BA166">BA164/BA160</f>
        <v/>
      </c>
      <c r="BB166" s="193" t="n"/>
      <c r="BC166" s="194" t="n"/>
      <c r="BD166" s="194" t="n"/>
      <c r="BE166" s="194" t="n"/>
      <c r="BF166" s="124">
        <f t="array" ref="BF166">BF164/BF160</f>
        <v/>
      </c>
      <c r="BG166" s="192" t="n"/>
      <c r="BH166" s="192" t="n"/>
      <c r="BI166" s="192" t="n"/>
      <c r="BJ166" s="192" t="n"/>
      <c r="BK166" s="117">
        <f t="array" ref="BK166">BK164/BK160</f>
        <v/>
      </c>
      <c r="BL166" s="192" t="n"/>
      <c r="BM166" s="192" t="n"/>
      <c r="BN166" s="192" t="n"/>
      <c r="BO166" s="192" t="n"/>
      <c r="BP166" s="117">
        <f t="array" ref="BP166">BP164/BP160</f>
        <v/>
      </c>
      <c r="BQ166" s="192" t="n"/>
      <c r="BR166" s="192" t="n"/>
      <c r="BS166" s="192" t="n"/>
      <c r="BT166" s="192" t="n"/>
      <c r="BU166" s="117">
        <f t="array" ref="BU166">BU164/BU160</f>
        <v/>
      </c>
      <c r="BV166" s="192" t="n"/>
      <c r="BW166" s="192" t="n"/>
      <c r="BX166" s="192" t="n"/>
      <c r="BY166" s="192" t="n"/>
      <c r="BZ166" s="117">
        <f t="array" ref="BZ166">BZ164/BZ160</f>
        <v/>
      </c>
      <c r="CA166" s="446" t="n"/>
      <c r="CB166" s="456" t="n"/>
      <c r="CC166" s="701" t="n"/>
      <c r="CD166" s="701" t="n"/>
      <c r="CE166" s="701" t="n"/>
      <c r="CF166" s="701" t="n"/>
      <c r="CG166" s="701" t="n"/>
      <c r="CH166" s="701" t="n"/>
      <c r="CI166" s="701" t="n"/>
      <c r="CJ166" s="701" t="n"/>
      <c r="CK166" s="701" t="n"/>
      <c r="CL166" s="701" t="n"/>
      <c r="CM166" s="701" t="n"/>
      <c r="CN166" s="701" t="n"/>
      <c r="CO166" s="701" t="n"/>
      <c r="CP166" s="701" t="n"/>
      <c r="CQ166" s="701" t="n"/>
      <c r="CR166" s="701" t="n"/>
      <c r="CS166" s="701" t="n"/>
      <c r="CT166" s="701" t="n"/>
      <c r="CU166" s="701" t="n"/>
      <c r="CV166" s="701" t="n"/>
      <c r="CW166" s="30" t="n"/>
    </row>
    <row r="167" ht="12.75" customHeight="1" s="1676">
      <c r="A167" s="31" t="n"/>
      <c r="B167" s="183" t="inlineStr">
        <is>
          <t>Text_152</t>
        </is>
      </c>
      <c r="C167" s="699" t="n"/>
      <c r="D167" s="1713" t="n"/>
      <c r="E167" s="1713" t="n"/>
      <c r="F167" s="1713" t="n"/>
      <c r="G167" s="1713" t="n"/>
      <c r="H167" s="1714" t="n"/>
      <c r="I167" s="117" t="n"/>
      <c r="J167" s="117" t="n"/>
      <c r="K167" s="117" t="n"/>
      <c r="L167" s="117" t="n"/>
      <c r="M167" s="117" t="n"/>
      <c r="N167" s="117" t="n"/>
      <c r="O167" s="117" t="n"/>
      <c r="P167" s="117" t="n"/>
      <c r="Q167" s="117" t="n"/>
      <c r="R167" s="117" t="n"/>
      <c r="S167" s="117" t="n"/>
      <c r="T167" s="117" t="n"/>
      <c r="U167" s="117" t="n"/>
      <c r="V167" s="117" t="n"/>
      <c r="W167" s="117" t="n"/>
      <c r="X167" s="117" t="n"/>
      <c r="Y167" s="117" t="n"/>
      <c r="Z167" s="117" t="n"/>
      <c r="AA167" s="117" t="n"/>
      <c r="AB167" s="117" t="n"/>
      <c r="AC167" s="117" t="n"/>
      <c r="AD167" s="117" t="n"/>
      <c r="AE167" s="117" t="n"/>
      <c r="AF167" s="117" t="n"/>
      <c r="AG167" s="117" t="n"/>
      <c r="AH167" s="117" t="n"/>
      <c r="AI167" s="117" t="n"/>
      <c r="AJ167" s="117" t="n"/>
      <c r="AK167" s="117" t="n"/>
      <c r="AL167" s="117" t="n"/>
      <c r="AM167" s="117" t="n"/>
      <c r="AN167" s="117" t="n"/>
      <c r="AO167" s="117" t="n"/>
      <c r="AP167" s="117" t="n"/>
      <c r="AQ167" s="1715">
        <f t="array" ref="AQ167">AQ160-AQ164</f>
        <v/>
      </c>
      <c r="AR167" s="117" t="n"/>
      <c r="AS167" s="117" t="n"/>
      <c r="AT167" s="117" t="n"/>
      <c r="AU167" s="117" t="n"/>
      <c r="AV167" s="1715">
        <f t="array" ref="AV167">AV160-AV164</f>
        <v/>
      </c>
      <c r="AW167" s="125" t="n"/>
      <c r="AX167" s="122" t="n"/>
      <c r="AY167" s="194" t="n"/>
      <c r="AZ167" s="194" t="n"/>
      <c r="BA167" s="1718">
        <f t="array" ref="BA167">BA160-BA164</f>
        <v/>
      </c>
      <c r="BB167" s="193" t="n"/>
      <c r="BC167" s="194" t="n"/>
      <c r="BD167" s="194" t="n"/>
      <c r="BE167" s="194" t="n"/>
      <c r="BF167" s="1718">
        <f t="array" ref="BF167">BF160-BF164</f>
        <v/>
      </c>
      <c r="BG167" s="192" t="n"/>
      <c r="BH167" s="192" t="n"/>
      <c r="BI167" s="192" t="n"/>
      <c r="BJ167" s="192" t="n"/>
      <c r="BK167" s="1715">
        <f t="array" ref="BK167">BK160-BK164</f>
        <v/>
      </c>
      <c r="BL167" s="192" t="n"/>
      <c r="BM167" s="192" t="n"/>
      <c r="BN167" s="192" t="n"/>
      <c r="BO167" s="192" t="n"/>
      <c r="BP167" s="1715">
        <f t="array" ref="BP167">BP160-BP164</f>
        <v/>
      </c>
      <c r="BQ167" s="192" t="n"/>
      <c r="BR167" s="192" t="n"/>
      <c r="BS167" s="192" t="n"/>
      <c r="BT167" s="192" t="n"/>
      <c r="BU167" s="1715">
        <f t="array" ref="BU167">BU160-BU164</f>
        <v/>
      </c>
      <c r="BV167" s="192" t="n"/>
      <c r="BW167" s="192" t="n"/>
      <c r="BX167" s="192" t="n"/>
      <c r="BY167" s="192" t="n"/>
      <c r="BZ167" s="1715">
        <f t="array" ref="BZ167">BZ160-BZ164</f>
        <v/>
      </c>
      <c r="CA167" s="446" t="n"/>
      <c r="CB167" s="456" t="n"/>
      <c r="CC167" s="701" t="n"/>
      <c r="CD167" s="701" t="n"/>
      <c r="CE167" s="701" t="n"/>
      <c r="CF167" s="701" t="n"/>
      <c r="CG167" s="701" t="n"/>
      <c r="CH167" s="701" t="n"/>
      <c r="CI167" s="701" t="n"/>
      <c r="CJ167" s="701" t="n"/>
      <c r="CK167" s="701" t="n"/>
      <c r="CL167" s="701" t="n"/>
      <c r="CM167" s="701" t="n"/>
      <c r="CN167" s="701" t="n"/>
      <c r="CO167" s="701" t="n"/>
      <c r="CP167" s="701" t="n"/>
      <c r="CQ167" s="701" t="n"/>
      <c r="CR167" s="701" t="n"/>
      <c r="CS167" s="701" t="n"/>
      <c r="CT167" s="701" t="n"/>
      <c r="CU167" s="701" t="n"/>
      <c r="CV167" s="701" t="n"/>
      <c r="CW167" s="30" t="n"/>
    </row>
    <row r="168" ht="12.75" customHeight="1" s="1676">
      <c r="A168" s="31" t="n"/>
      <c r="B168" s="103" t="inlineStr">
        <is>
          <t>Text_24</t>
        </is>
      </c>
      <c r="C168" s="699" t="n"/>
      <c r="D168" s="1713" t="n"/>
      <c r="E168" s="1713" t="n"/>
      <c r="F168" s="1713" t="n"/>
      <c r="G168" s="1713" t="n"/>
      <c r="H168" s="1714" t="n"/>
      <c r="I168" s="117" t="n"/>
      <c r="J168" s="117" t="n"/>
      <c r="K168" s="117" t="n"/>
      <c r="L168" s="117" t="n"/>
      <c r="M168" s="117" t="n"/>
      <c r="N168" s="117" t="n"/>
      <c r="O168" s="117" t="n"/>
      <c r="P168" s="117" t="n"/>
      <c r="Q168" s="117" t="n"/>
      <c r="R168" s="117" t="n"/>
      <c r="S168" s="117" t="n"/>
      <c r="T168" s="117" t="n"/>
      <c r="U168" s="117" t="n"/>
      <c r="V168" s="117" t="n"/>
      <c r="W168" s="117" t="n"/>
      <c r="X168" s="117" t="n"/>
      <c r="Y168" s="117" t="n"/>
      <c r="Z168" s="117" t="n"/>
      <c r="AA168" s="117" t="n"/>
      <c r="AB168" s="117" t="n"/>
      <c r="AC168" s="117" t="n"/>
      <c r="AD168" s="117" t="n"/>
      <c r="AE168" s="117" t="n"/>
      <c r="AF168" s="117" t="n"/>
      <c r="AG168" s="117" t="n"/>
      <c r="AH168" s="117" t="n"/>
      <c r="AI168" s="117" t="n"/>
      <c r="AJ168" s="117" t="n"/>
      <c r="AK168" s="117" t="n"/>
      <c r="AL168" s="117" t="n"/>
      <c r="AM168" s="117" t="n"/>
      <c r="AN168" s="117" t="n"/>
      <c r="AO168" s="117" t="n"/>
      <c r="AP168" s="117" t="n"/>
      <c r="AQ168" s="117" t="n"/>
      <c r="AR168" s="117" t="n"/>
      <c r="AS168" s="117" t="n"/>
      <c r="AT168" s="117" t="n"/>
      <c r="AU168" s="117" t="n"/>
      <c r="AV168" s="1720">
        <f t="array" ref="AV168">AV167/AQ167-1</f>
        <v/>
      </c>
      <c r="AW168" s="125" t="n"/>
      <c r="AX168" s="122" t="n"/>
      <c r="AY168" s="194" t="n"/>
      <c r="AZ168" s="194" t="n"/>
      <c r="BA168" s="1723">
        <f t="array" ref="BA168">BA167/AV167-1</f>
        <v/>
      </c>
      <c r="BB168" s="193" t="n"/>
      <c r="BC168" s="194" t="n"/>
      <c r="BD168" s="194" t="n"/>
      <c r="BE168" s="194" t="n"/>
      <c r="BF168" s="1723">
        <f t="array" ref="BF168">BF167/BA167-1</f>
        <v/>
      </c>
      <c r="BG168" s="192" t="n"/>
      <c r="BH168" s="192" t="n"/>
      <c r="BI168" s="192" t="n"/>
      <c r="BJ168" s="192" t="n"/>
      <c r="BK168" s="1720">
        <f t="array" ref="BK168">BK167/BF167-1</f>
        <v/>
      </c>
      <c r="BL168" s="192" t="n"/>
      <c r="BM168" s="192" t="n"/>
      <c r="BN168" s="192" t="n"/>
      <c r="BO168" s="192" t="n"/>
      <c r="BP168" s="1720">
        <f t="array" ref="BP168">BP167/BK167-1</f>
        <v/>
      </c>
      <c r="BQ168" s="192" t="n"/>
      <c r="BR168" s="192" t="n"/>
      <c r="BS168" s="192" t="n"/>
      <c r="BT168" s="192" t="n"/>
      <c r="BU168" s="1720">
        <f t="array" ref="BU168">BU167/BP167-1</f>
        <v/>
      </c>
      <c r="BV168" s="192" t="n"/>
      <c r="BW168" s="192" t="n"/>
      <c r="BX168" s="192" t="n"/>
      <c r="BY168" s="192" t="n"/>
      <c r="BZ168" s="1720">
        <f t="array" ref="BZ168">BZ167/BU167-1</f>
        <v/>
      </c>
      <c r="CA168" s="446" t="n"/>
      <c r="CB168" s="456" t="n"/>
      <c r="CC168" s="701" t="n"/>
      <c r="CD168" s="701" t="n"/>
      <c r="CE168" s="701" t="n"/>
      <c r="CF168" s="701" t="n"/>
      <c r="CG168" s="701" t="n"/>
      <c r="CH168" s="701" t="n"/>
      <c r="CI168" s="701" t="n"/>
      <c r="CJ168" s="701" t="n"/>
      <c r="CK168" s="701" t="n"/>
      <c r="CL168" s="701" t="n"/>
      <c r="CM168" s="701" t="n"/>
      <c r="CN168" s="701" t="n"/>
      <c r="CO168" s="701" t="n"/>
      <c r="CP168" s="701" t="n"/>
      <c r="CQ168" s="701" t="n"/>
      <c r="CR168" s="701" t="n"/>
      <c r="CS168" s="701" t="n"/>
      <c r="CT168" s="701" t="n"/>
      <c r="CU168" s="701" t="n"/>
      <c r="CV168" s="701" t="n"/>
      <c r="CW168" s="30" t="n"/>
    </row>
    <row r="169" ht="12.75" customHeight="1" s="1676">
      <c r="A169" s="31" t="n"/>
      <c r="B169" s="167" t="inlineStr">
        <is>
          <t>Text_151</t>
        </is>
      </c>
      <c r="C169" s="699" t="n"/>
      <c r="D169" s="1713" t="n"/>
      <c r="E169" s="1713" t="n"/>
      <c r="F169" s="1713" t="n"/>
      <c r="G169" s="1713" t="n"/>
      <c r="H169" s="1714" t="n"/>
      <c r="I169" s="117" t="n"/>
      <c r="J169" s="117" t="n"/>
      <c r="K169" s="117" t="n"/>
      <c r="L169" s="117" t="n"/>
      <c r="M169" s="117" t="n"/>
      <c r="N169" s="117" t="n"/>
      <c r="O169" s="117" t="n"/>
      <c r="P169" s="117" t="n"/>
      <c r="Q169" s="117" t="n"/>
      <c r="R169" s="117" t="n"/>
      <c r="S169" s="117" t="n"/>
      <c r="T169" s="117" t="n"/>
      <c r="U169" s="117" t="n"/>
      <c r="V169" s="117" t="n"/>
      <c r="W169" s="117" t="n"/>
      <c r="X169" s="117" t="n"/>
      <c r="Y169" s="117" t="n"/>
      <c r="Z169" s="117" t="n"/>
      <c r="AA169" s="117" t="n"/>
      <c r="AB169" s="117" t="n"/>
      <c r="AC169" s="117" t="n"/>
      <c r="AD169" s="117" t="n"/>
      <c r="AE169" s="117" t="n"/>
      <c r="AF169" s="117" t="n"/>
      <c r="AG169" s="117" t="n"/>
      <c r="AH169" s="117" t="n"/>
      <c r="AI169" s="117" t="n"/>
      <c r="AJ169" s="117" t="n"/>
      <c r="AK169" s="117" t="n"/>
      <c r="AL169" s="117" t="n"/>
      <c r="AM169" s="117" t="n"/>
      <c r="AN169" s="117" t="n"/>
      <c r="AO169" s="117" t="n"/>
      <c r="AP169" s="117" t="n"/>
      <c r="AQ169" s="117">
        <f t="array" ref="AQ169">AQ167/AQ160</f>
        <v/>
      </c>
      <c r="AR169" s="117" t="n"/>
      <c r="AS169" s="117" t="n"/>
      <c r="AT169" s="117" t="n"/>
      <c r="AU169" s="117" t="n"/>
      <c r="AV169" s="117">
        <f t="array" ref="AV169">AV167/AV160</f>
        <v/>
      </c>
      <c r="AW169" s="125" t="n"/>
      <c r="AX169" s="122" t="n"/>
      <c r="AY169" s="194" t="n"/>
      <c r="AZ169" s="194" t="n"/>
      <c r="BA169" s="124">
        <f t="array" ref="BA169">BA167/BA160</f>
        <v/>
      </c>
      <c r="BB169" s="193" t="n"/>
      <c r="BC169" s="194" t="n"/>
      <c r="BD169" s="194" t="n"/>
      <c r="BE169" s="194" t="n"/>
      <c r="BF169" s="124">
        <f t="array" ref="BF169">BF167/BF160</f>
        <v/>
      </c>
      <c r="BG169" s="192" t="n"/>
      <c r="BH169" s="192" t="n"/>
      <c r="BI169" s="192" t="n"/>
      <c r="BJ169" s="192" t="n"/>
      <c r="BK169" s="117">
        <f t="array" ref="BK169">BK167/BK160</f>
        <v/>
      </c>
      <c r="BL169" s="192" t="n"/>
      <c r="BM169" s="192" t="n"/>
      <c r="BN169" s="192" t="n"/>
      <c r="BO169" s="192" t="n"/>
      <c r="BP169" s="117">
        <f t="array" ref="BP169">BP167/BP160</f>
        <v/>
      </c>
      <c r="BQ169" s="192" t="n"/>
      <c r="BR169" s="192" t="n"/>
      <c r="BS169" s="192" t="n"/>
      <c r="BT169" s="192" t="n"/>
      <c r="BU169" s="117">
        <f t="array" ref="BU169">BU167/BU160</f>
        <v/>
      </c>
      <c r="BV169" s="192" t="n"/>
      <c r="BW169" s="192" t="n"/>
      <c r="BX169" s="192" t="n"/>
      <c r="BY169" s="192" t="n"/>
      <c r="BZ169" s="117">
        <f t="array" ref="BZ169">BZ167/BZ160</f>
        <v/>
      </c>
      <c r="CA169" s="446" t="n"/>
      <c r="CB169" s="456" t="n"/>
      <c r="CC169" s="701" t="n"/>
      <c r="CD169" s="701" t="n"/>
      <c r="CE169" s="701" t="n"/>
      <c r="CF169" s="701" t="n"/>
      <c r="CG169" s="701" t="n"/>
      <c r="CH169" s="701" t="n"/>
      <c r="CI169" s="701" t="n"/>
      <c r="CJ169" s="701" t="n"/>
      <c r="CK169" s="701" t="n"/>
      <c r="CL169" s="701" t="n"/>
      <c r="CM169" s="701" t="n"/>
      <c r="CN169" s="701" t="n"/>
      <c r="CO169" s="701" t="n"/>
      <c r="CP169" s="701" t="n"/>
      <c r="CQ169" s="701" t="n"/>
      <c r="CR169" s="701" t="n"/>
      <c r="CS169" s="701" t="n"/>
      <c r="CT169" s="701" t="n"/>
      <c r="CU169" s="701" t="n"/>
      <c r="CV169" s="701" t="n"/>
      <c r="CW169" s="30" t="n"/>
    </row>
    <row r="170" ht="12.75" customHeight="1" s="1676">
      <c r="A170" s="31" t="n"/>
      <c r="B170" s="103" t="inlineStr">
        <is>
          <t>Text_108</t>
        </is>
      </c>
      <c r="C170" s="699" t="n"/>
      <c r="D170" s="1713" t="n"/>
      <c r="E170" s="1713" t="n"/>
      <c r="F170" s="1713" t="n"/>
      <c r="G170" s="1713" t="n"/>
      <c r="H170" s="1714" t="n"/>
      <c r="I170" s="1715" t="n">
        <v>278.218239385777</v>
      </c>
      <c r="J170" s="1715" t="n">
        <v>365.909974376425</v>
      </c>
      <c r="K170" s="1715" t="n">
        <v>209.744764356132</v>
      </c>
      <c r="L170" s="1715" t="n">
        <v>188.898325366866</v>
      </c>
      <c r="M170" s="1715" t="n">
        <v>911.381252023472</v>
      </c>
      <c r="N170" s="1715" t="n">
        <v>289.967752800602</v>
      </c>
      <c r="O170" s="1715" t="n">
        <v>330.279170302911</v>
      </c>
      <c r="P170" s="1715" t="n">
        <v>330.862830046158</v>
      </c>
      <c r="Q170" s="1715" t="n">
        <v>297.447896357042</v>
      </c>
      <c r="R170" s="1715" t="n">
        <v>1213.38036086219</v>
      </c>
      <c r="S170" s="1715" t="n">
        <v>468.785878781747</v>
      </c>
      <c r="T170" s="1715" t="n">
        <v>561.5738609696</v>
      </c>
      <c r="U170" s="1715" t="n">
        <v>623.8306851578189</v>
      </c>
      <c r="V170" s="1715" t="n">
        <v>763.565621428325</v>
      </c>
      <c r="W170" s="1715" t="n">
        <v>2531.98533118479</v>
      </c>
      <c r="X170" s="1715" t="n">
        <v>605.118564110701</v>
      </c>
      <c r="Y170" s="1715" t="n">
        <v>630.629392276772</v>
      </c>
      <c r="Z170" s="1715" t="n">
        <v>315.627476391695</v>
      </c>
      <c r="AA170" s="1715" t="n">
        <v>576.559919249954</v>
      </c>
      <c r="AB170" s="1715" t="n">
        <v>2338.45088776118</v>
      </c>
      <c r="AC170" s="1715" t="n">
        <v>539.329227529004</v>
      </c>
      <c r="AD170" s="1715" t="n">
        <v>453.494721365564</v>
      </c>
      <c r="AE170" s="1715" t="n">
        <v>378.288548912501</v>
      </c>
      <c r="AF170" s="1715" t="n">
        <v>436.915029762898</v>
      </c>
      <c r="AG170" s="1715" t="n">
        <v>1486.77644741687</v>
      </c>
      <c r="AH170" s="1715" t="n">
        <v>458.678407740445</v>
      </c>
      <c r="AI170" s="1715" t="n">
        <v>483.669273188586</v>
      </c>
      <c r="AJ170" s="1715" t="n">
        <v>550.990340522374</v>
      </c>
      <c r="AK170" s="1715" t="n">
        <v>494.851467063216</v>
      </c>
      <c r="AL170" s="1715" t="n">
        <v>1644.42487703581</v>
      </c>
      <c r="AM170" s="1715" t="n">
        <v>705.471431053698</v>
      </c>
      <c r="AN170" s="1715" t="n">
        <v>683.920362072159</v>
      </c>
      <c r="AO170" s="1715" t="n">
        <v>800.36610036881</v>
      </c>
      <c r="AP170" s="1715" t="n">
        <v>1068.07490178784</v>
      </c>
      <c r="AQ170" s="1715" t="n">
        <v>3089.67053881102</v>
      </c>
      <c r="AR170" s="1715" t="n">
        <v>955.403693733141</v>
      </c>
      <c r="AS170" s="1715" t="n">
        <v>696.572321621211</v>
      </c>
      <c r="AT170" s="1715" t="n">
        <v>273.575809489597</v>
      </c>
      <c r="AU170" s="1715" t="n">
        <v>626.58198999807</v>
      </c>
      <c r="AV170" s="1715" t="n">
        <v>2160.46679131021</v>
      </c>
      <c r="AW170" s="1716" t="n">
        <v>842.173107914248</v>
      </c>
      <c r="AX170" s="1717">
        <f t="array" ref="AX170">AX154-AX160</f>
        <v/>
      </c>
      <c r="AY170" s="1717">
        <f t="array" ref="AY170">AY154-AY160</f>
        <v/>
      </c>
      <c r="AZ170" s="1717">
        <f t="array" ref="AZ170">AZ154-AZ160</f>
        <v/>
      </c>
      <c r="BA170" s="1718">
        <f t="array" ref="BA170">AZ170+AY170+AX170+AW170</f>
        <v/>
      </c>
      <c r="BB170" s="1716">
        <f t="array" ref="BB170">BB154-BB160</f>
        <v/>
      </c>
      <c r="BC170" s="1717">
        <f t="array" ref="BC170">BC154-BC160</f>
        <v/>
      </c>
      <c r="BD170" s="1717">
        <f t="array" ref="BD170">BC170*(1+BD171)</f>
        <v/>
      </c>
      <c r="BE170" s="1717">
        <f t="array" ref="BE170">BD170*(1+BE171)</f>
        <v/>
      </c>
      <c r="BF170" s="1718">
        <f t="array" ref="BF170">BE170+BD170+BC170+BB170</f>
        <v/>
      </c>
      <c r="BG170" s="1715">
        <f t="array" ref="BG170">BE170*(1+BG171)</f>
        <v/>
      </c>
      <c r="BH170" s="1715">
        <f t="array" ref="BH170">BG170*(1+BH171)</f>
        <v/>
      </c>
      <c r="BI170" s="1715">
        <f t="array" ref="BI170">BH170*(1+BI171)</f>
        <v/>
      </c>
      <c r="BJ170" s="1715">
        <f t="array" ref="BJ170">BI170*(1+BJ171)</f>
        <v/>
      </c>
      <c r="BK170" s="1715">
        <f t="array" ref="BK170">BJ170+BI170+BH170+BG170</f>
        <v/>
      </c>
      <c r="BL170" s="1715">
        <f t="array" ref="BL170">BJ170*(1+BL171)</f>
        <v/>
      </c>
      <c r="BM170" s="1715">
        <f t="array" ref="BM170">BL170*(1+BM171)</f>
        <v/>
      </c>
      <c r="BN170" s="1715">
        <f t="array" ref="BN170">BM170*(1+BN171)</f>
        <v/>
      </c>
      <c r="BO170" s="1715">
        <f t="array" ref="BO170">BN170*(1+BO171)</f>
        <v/>
      </c>
      <c r="BP170" s="1715">
        <f t="array" ref="BP170">BO170+BN170+BM170+BL170</f>
        <v/>
      </c>
      <c r="BQ170" s="1715">
        <f t="array" ref="BQ170">BO170*(1+BQ171)</f>
        <v/>
      </c>
      <c r="BR170" s="1715">
        <f t="array" ref="BR170">BQ170*(1+BR171)</f>
        <v/>
      </c>
      <c r="BS170" s="1715">
        <f t="array" ref="BS170">BR170*(1+BS171)</f>
        <v/>
      </c>
      <c r="BT170" s="1715">
        <f t="array" ref="BT170">BS170*(1+BT171)</f>
        <v/>
      </c>
      <c r="BU170" s="1715">
        <f t="array" ref="BU170">BT170+BS170+BR170+BQ170</f>
        <v/>
      </c>
      <c r="BV170" s="1715">
        <f t="array" ref="BV170">BT170*(1+BV171)</f>
        <v/>
      </c>
      <c r="BW170" s="1715">
        <f t="array" ref="BW170">BV170*(1+BW171)</f>
        <v/>
      </c>
      <c r="BX170" s="1715">
        <f t="array" ref="BX170">BW170*(1+BX171)</f>
        <v/>
      </c>
      <c r="BY170" s="1715">
        <f t="array" ref="BY170">BX170*(1+BY171)</f>
        <v/>
      </c>
      <c r="BZ170" s="1715">
        <f t="array" ref="BZ170">BY170+BX170+BW170+BV170</f>
        <v/>
      </c>
      <c r="CA170" s="431" t="inlineStr">
        <is>
          <t>Text_153</t>
        </is>
      </c>
      <c r="CB170" s="98" t="n"/>
      <c r="CC170" s="701" t="n"/>
      <c r="CD170" s="701" t="n"/>
      <c r="CE170" s="701" t="n"/>
      <c r="CF170" s="701" t="n"/>
      <c r="CG170" s="701" t="n"/>
      <c r="CH170" s="701" t="n"/>
      <c r="CI170" s="701" t="n"/>
      <c r="CJ170" s="701" t="n"/>
      <c r="CK170" s="701" t="n"/>
      <c r="CL170" s="701" t="n"/>
      <c r="CM170" s="701" t="n"/>
      <c r="CN170" s="701" t="n"/>
      <c r="CO170" s="701" t="n"/>
      <c r="CP170" s="701" t="n"/>
      <c r="CQ170" s="701" t="n"/>
      <c r="CR170" s="701" t="n"/>
      <c r="CS170" s="701" t="n"/>
      <c r="CT170" s="701" t="n"/>
      <c r="CU170" s="701" t="n"/>
      <c r="CV170" s="701" t="n"/>
      <c r="CW170" s="30" t="n"/>
    </row>
    <row r="171" ht="12.75" customHeight="1" s="1676">
      <c r="A171" s="31" t="n"/>
      <c r="B171" s="103" t="inlineStr">
        <is>
          <t>Text_49</t>
        </is>
      </c>
      <c r="C171" s="699" t="n"/>
      <c r="D171" s="1713" t="n"/>
      <c r="E171" s="1713" t="n"/>
      <c r="F171" s="1713" t="n"/>
      <c r="G171" s="1713" t="n"/>
      <c r="H171" s="1714" t="n"/>
      <c r="I171" s="1715" t="n"/>
      <c r="J171" s="1715" t="n"/>
      <c r="K171" s="1715" t="n"/>
      <c r="L171" s="1715" t="n"/>
      <c r="M171" s="1761" t="n"/>
      <c r="N171" s="1761" t="n"/>
      <c r="O171" s="1761" t="n"/>
      <c r="P171" s="1761" t="n"/>
      <c r="Q171" s="1761" t="n"/>
      <c r="R171" s="1761" t="n"/>
      <c r="S171" s="1761" t="n"/>
      <c r="T171" s="1761" t="n"/>
      <c r="U171" s="1761" t="n"/>
      <c r="V171" s="1761" t="n"/>
      <c r="W171" s="1761" t="n"/>
      <c r="X171" s="1761" t="n"/>
      <c r="Y171" s="1761" t="n"/>
      <c r="Z171" s="1761" t="n"/>
      <c r="AA171" s="1761" t="n"/>
      <c r="AB171" s="1761" t="n"/>
      <c r="AC171" s="1761" t="n"/>
      <c r="AD171" s="1761" t="n"/>
      <c r="AE171" s="1761" t="n"/>
      <c r="AF171" s="1761" t="n"/>
      <c r="AG171" s="1761" t="n"/>
      <c r="AH171" s="1761" t="n"/>
      <c r="AI171" s="1761" t="n"/>
      <c r="AJ171" s="1761" t="n"/>
      <c r="AK171" s="1761" t="n"/>
      <c r="AL171" s="1761" t="n"/>
      <c r="AM171" s="1790">
        <f t="array" ref="AM171">AM170/AK170-1</f>
        <v/>
      </c>
      <c r="AN171" s="1790">
        <f t="array" ref="AN171">AN170/AM170-1</f>
        <v/>
      </c>
      <c r="AO171" s="1790">
        <f t="array" ref="AO171">AO170/AN170-1</f>
        <v/>
      </c>
      <c r="AP171" s="1790">
        <f t="array" ref="AP171">AP170/AO170-1</f>
        <v/>
      </c>
      <c r="AQ171" s="1761" t="n"/>
      <c r="AR171" s="1790">
        <f t="array" ref="AR171">AR170/AP170-1</f>
        <v/>
      </c>
      <c r="AS171" s="1790">
        <f t="array" ref="AS171">AS170/AR170-1</f>
        <v/>
      </c>
      <c r="AT171" s="1790">
        <f t="array" ref="AT171">AT170/AS170-1</f>
        <v/>
      </c>
      <c r="AU171" s="1790">
        <f t="array" ref="AU171">AU170/AT170-1</f>
        <v/>
      </c>
      <c r="AV171" s="1761" t="n"/>
      <c r="AW171" s="1791">
        <f t="array" ref="AW171">AW170/AU170-1</f>
        <v/>
      </c>
      <c r="AX171" s="1792">
        <f t="array" ref="AX171">AX170/AW170-1</f>
        <v/>
      </c>
      <c r="AY171" s="1792">
        <f t="array" ref="AY171">AY170/AX170-1</f>
        <v/>
      </c>
      <c r="AZ171" s="1792">
        <f t="array" ref="AZ171">AZ170/AY170-1</f>
        <v/>
      </c>
      <c r="BA171" s="1718" t="n"/>
      <c r="BB171" s="1791">
        <f t="array" ref="BB171">BB170/AZ170-1</f>
        <v/>
      </c>
      <c r="BC171" s="1792">
        <f t="array" ref="BC171">BC170/BB170-1</f>
        <v/>
      </c>
      <c r="BD171" s="1804" t="n">
        <v>0.105920791195821</v>
      </c>
      <c r="BE171" s="1804" t="n">
        <v>0</v>
      </c>
      <c r="BF171" s="1795" t="n"/>
      <c r="BG171" s="1856" t="n">
        <v>0</v>
      </c>
      <c r="BH171" s="1856" t="n">
        <v>0.0211339955131084</v>
      </c>
      <c r="BI171" s="1856" t="n">
        <v>0.0191482009203396</v>
      </c>
      <c r="BJ171" s="1856" t="n">
        <v>0.0201811872814737</v>
      </c>
      <c r="BK171" s="1797" t="n"/>
      <c r="BL171" s="1856" t="n">
        <v>0.0316619531903522</v>
      </c>
      <c r="BM171" s="1856">
        <f t="array" ref="BM171">BL171</f>
        <v/>
      </c>
      <c r="BN171" s="1856">
        <f t="array" ref="BN171">BM171</f>
        <v/>
      </c>
      <c r="BO171" s="1856">
        <f t="array" ref="BO171">BN171</f>
        <v/>
      </c>
      <c r="BP171" s="1797" t="n"/>
      <c r="BQ171" s="1856" t="n">
        <v>0.0281357839143432</v>
      </c>
      <c r="BR171" s="1856" t="n">
        <v>0.0307896810689874</v>
      </c>
      <c r="BS171" s="1856">
        <f t="array" ref="BS171">BR171</f>
        <v/>
      </c>
      <c r="BT171" s="1856">
        <f t="array" ref="BT171">BS171</f>
        <v/>
      </c>
      <c r="BU171" s="1797" t="n"/>
      <c r="BV171" s="1856" t="n">
        <v>0.0291893960294902</v>
      </c>
      <c r="BW171" s="1856" t="n">
        <v>0.0316975847815061</v>
      </c>
      <c r="BX171" s="1856">
        <f t="array" ref="BX171">BW171</f>
        <v/>
      </c>
      <c r="BY171" s="1856">
        <f t="array" ref="BY171">BX171</f>
        <v/>
      </c>
      <c r="BZ171" s="1797" t="n"/>
      <c r="CA171" s="1686" t="n"/>
      <c r="CB171" s="98" t="n"/>
      <c r="CC171" s="701" t="n"/>
      <c r="CD171" s="701" t="n"/>
      <c r="CE171" s="701" t="n"/>
      <c r="CF171" s="701" t="n"/>
      <c r="CG171" s="701" t="n"/>
      <c r="CH171" s="701" t="n"/>
      <c r="CI171" s="701" t="n"/>
      <c r="CJ171" s="701" t="n"/>
      <c r="CK171" s="701" t="n"/>
      <c r="CL171" s="701" t="n"/>
      <c r="CM171" s="701" t="n"/>
      <c r="CN171" s="701" t="n"/>
      <c r="CO171" s="701" t="n"/>
      <c r="CP171" s="701" t="n"/>
      <c r="CQ171" s="701" t="n"/>
      <c r="CR171" s="701" t="n"/>
      <c r="CS171" s="701" t="n"/>
      <c r="CT171" s="701" t="n"/>
      <c r="CU171" s="701" t="n"/>
      <c r="CV171" s="701" t="n"/>
      <c r="CW171" s="30" t="n"/>
    </row>
    <row r="172" ht="12.75" customHeight="1" s="1676">
      <c r="A172" s="31" t="n"/>
      <c r="B172" s="103" t="inlineStr">
        <is>
          <t>Text_24</t>
        </is>
      </c>
      <c r="C172" s="699" t="n"/>
      <c r="D172" s="1713" t="n"/>
      <c r="E172" s="1713" t="n"/>
      <c r="F172" s="1713" t="n"/>
      <c r="G172" s="1713" t="n"/>
      <c r="H172" s="1714" t="n"/>
      <c r="I172" s="1715" t="n"/>
      <c r="J172" s="1715" t="n"/>
      <c r="K172" s="1715" t="n"/>
      <c r="L172" s="1715" t="n"/>
      <c r="M172" s="1720" t="n"/>
      <c r="N172" s="1720">
        <f t="array" ref="N172">N170/I170-1</f>
        <v/>
      </c>
      <c r="O172" s="1720">
        <f t="array" ref="O172">O170/J170-1</f>
        <v/>
      </c>
      <c r="P172" s="1720">
        <f t="array" ref="P172">P170/K170-1</f>
        <v/>
      </c>
      <c r="Q172" s="1720">
        <f t="array" ref="Q172">Q170/L170-1</f>
        <v/>
      </c>
      <c r="R172" s="1720">
        <f t="array" ref="R172">R170/M170-1</f>
        <v/>
      </c>
      <c r="S172" s="1720">
        <f t="array" ref="S172">S170/N170-1</f>
        <v/>
      </c>
      <c r="T172" s="1720">
        <f t="array" ref="T172">T170/O170-1</f>
        <v/>
      </c>
      <c r="U172" s="1720">
        <f t="array" ref="U172">U170/P170-1</f>
        <v/>
      </c>
      <c r="V172" s="1720">
        <f t="array" ref="V172">V170/Q170-1</f>
        <v/>
      </c>
      <c r="W172" s="1720">
        <f t="array" ref="W172">W170/R170-1</f>
        <v/>
      </c>
      <c r="X172" s="1720">
        <f t="array" ref="X172">X170/S170-1</f>
        <v/>
      </c>
      <c r="Y172" s="1720">
        <f t="array" ref="Y172">Y170/T170-1</f>
        <v/>
      </c>
      <c r="Z172" s="1720">
        <f t="array" ref="Z172">Z170/U170-1</f>
        <v/>
      </c>
      <c r="AA172" s="1720">
        <f t="array" ref="AA172">AA170/V170-1</f>
        <v/>
      </c>
      <c r="AB172" s="1720">
        <f t="array" ref="AB172">AB170/W170-1</f>
        <v/>
      </c>
      <c r="AC172" s="1720">
        <f t="array" ref="AC172">AC170/X170-1</f>
        <v/>
      </c>
      <c r="AD172" s="1720">
        <f t="array" ref="AD172">AD170/Y170-1</f>
        <v/>
      </c>
      <c r="AE172" s="1720">
        <f t="array" ref="AE172">AE170/Z170-1</f>
        <v/>
      </c>
      <c r="AF172" s="1720">
        <f t="array" ref="AF172">AF170/AA170-1</f>
        <v/>
      </c>
      <c r="AG172" s="1720">
        <f t="array" ref="AG172">AG170/AB170-1</f>
        <v/>
      </c>
      <c r="AH172" s="1720">
        <f t="array" ref="AH172">AH170/AC170-1</f>
        <v/>
      </c>
      <c r="AI172" s="1720">
        <f t="array" ref="AI172">AI170/AD170-1</f>
        <v/>
      </c>
      <c r="AJ172" s="1720">
        <f t="array" ref="AJ172">AJ170/AE170-1</f>
        <v/>
      </c>
      <c r="AK172" s="1720">
        <f t="array" ref="AK172">AK170/AF170-1</f>
        <v/>
      </c>
      <c r="AL172" s="1720">
        <f t="array" ref="AL172">AL170/AG170-1</f>
        <v/>
      </c>
      <c r="AM172" s="1720">
        <f t="array" ref="AM172">AM170/AH170-1</f>
        <v/>
      </c>
      <c r="AN172" s="1720">
        <f t="array" ref="AN172">AN170/AI170-1</f>
        <v/>
      </c>
      <c r="AO172" s="1720">
        <f t="array" ref="AO172">AO170/AJ170-1</f>
        <v/>
      </c>
      <c r="AP172" s="1720">
        <f t="array" ref="AP172">AP170/AK170-1</f>
        <v/>
      </c>
      <c r="AQ172" s="1720">
        <f t="array" ref="AQ172">AQ170/AL170-1</f>
        <v/>
      </c>
      <c r="AR172" s="1720">
        <f t="array" ref="AR172">AR170/AM170-1</f>
        <v/>
      </c>
      <c r="AS172" s="1720">
        <f t="array" ref="AS172">AS170/AN170-1</f>
        <v/>
      </c>
      <c r="AT172" s="1720">
        <f t="array" ref="AT172">AT170/AO170-1</f>
        <v/>
      </c>
      <c r="AU172" s="1720">
        <f t="array" ref="AU172">AU170/AP170-1</f>
        <v/>
      </c>
      <c r="AV172" s="1720">
        <f t="array" ref="AV172">AV170/AQ170-1</f>
        <v/>
      </c>
      <c r="AW172" s="1721">
        <f t="array" ref="AW172">AW170/AR170-1</f>
        <v/>
      </c>
      <c r="AX172" s="1722">
        <f t="array" ref="AX172">AX170/AS170-1</f>
        <v/>
      </c>
      <c r="AY172" s="1722">
        <f t="array" ref="AY172">AY170/AT170-1</f>
        <v/>
      </c>
      <c r="AZ172" s="1722">
        <f t="array" ref="AZ172">AZ170/AU170-1</f>
        <v/>
      </c>
      <c r="BA172" s="1723">
        <f t="array" ref="BA172">BA170/AV170-1</f>
        <v/>
      </c>
      <c r="BB172" s="1767">
        <f t="array" ref="BB172">BB170/AW170-1</f>
        <v/>
      </c>
      <c r="BC172" s="1766">
        <f t="array" ref="BC172">BC170/AX170-1</f>
        <v/>
      </c>
      <c r="BD172" s="1766">
        <f t="array" ref="BD172">BD170/AY170-1</f>
        <v/>
      </c>
      <c r="BE172" s="1766">
        <f t="array" ref="BE172">BE170/AZ170-1</f>
        <v/>
      </c>
      <c r="BF172" s="1798">
        <f t="array" ref="BF172">BF170/BA170-1</f>
        <v/>
      </c>
      <c r="BG172" s="1799">
        <f t="array" ref="BG172">BG170/BB170-1</f>
        <v/>
      </c>
      <c r="BH172" s="1799">
        <f t="array" ref="BH172">BH170/BC170-1</f>
        <v/>
      </c>
      <c r="BI172" s="1799">
        <f t="array" ref="BI172">BI170/BD170-1</f>
        <v/>
      </c>
      <c r="BJ172" s="1799">
        <f t="array" ref="BJ172">BJ170/BE170-1</f>
        <v/>
      </c>
      <c r="BK172" s="1799">
        <f t="array" ref="BK172">BK170/BF170-1</f>
        <v/>
      </c>
      <c r="BL172" s="1799">
        <f t="array" ref="BL172">BL170/BG170-1</f>
        <v/>
      </c>
      <c r="BM172" s="1799">
        <f t="array" ref="BM172">BM170/BH170-1</f>
        <v/>
      </c>
      <c r="BN172" s="1799">
        <f t="array" ref="BN172">BN170/BI170-1</f>
        <v/>
      </c>
      <c r="BO172" s="1799">
        <f t="array" ref="BO172">BO170/BJ170-1</f>
        <v/>
      </c>
      <c r="BP172" s="1799">
        <f t="array" ref="BP172">BP170/BK170-1</f>
        <v/>
      </c>
      <c r="BQ172" s="1799">
        <f t="array" ref="BQ172">BQ170/BL170-1</f>
        <v/>
      </c>
      <c r="BR172" s="1799">
        <f t="array" ref="BR172">BR170/BM170-1</f>
        <v/>
      </c>
      <c r="BS172" s="1799">
        <f t="array" ref="BS172">BS170/BN170-1</f>
        <v/>
      </c>
      <c r="BT172" s="1799">
        <f t="array" ref="BT172">BT170/BO170-1</f>
        <v/>
      </c>
      <c r="BU172" s="1799">
        <f t="array" ref="BU172">BU170/BP170-1</f>
        <v/>
      </c>
      <c r="BV172" s="1799">
        <f t="array" ref="BV172">BV170/BQ170-1</f>
        <v/>
      </c>
      <c r="BW172" s="1799">
        <f t="array" ref="BW172">BW170/BR170-1</f>
        <v/>
      </c>
      <c r="BX172" s="1799">
        <f t="array" ref="BX172">BX170/BS170-1</f>
        <v/>
      </c>
      <c r="BY172" s="1799">
        <f t="array" ref="BY172">BY170/BT170-1</f>
        <v/>
      </c>
      <c r="BZ172" s="1799">
        <f t="array" ref="BZ172">BZ170/BU170-1</f>
        <v/>
      </c>
      <c r="CA172" s="1686" t="n"/>
      <c r="CB172" s="98" t="n"/>
      <c r="CC172" s="701" t="n"/>
      <c r="CD172" s="701" t="n"/>
      <c r="CE172" s="701" t="n"/>
      <c r="CF172" s="701" t="n"/>
      <c r="CG172" s="701" t="n"/>
      <c r="CH172" s="701" t="n"/>
      <c r="CI172" s="701" t="n"/>
      <c r="CJ172" s="701" t="n"/>
      <c r="CK172" s="701" t="n"/>
      <c r="CL172" s="701" t="n"/>
      <c r="CM172" s="701" t="n"/>
      <c r="CN172" s="701" t="n"/>
      <c r="CO172" s="701" t="n"/>
      <c r="CP172" s="701" t="n"/>
      <c r="CQ172" s="701" t="n"/>
      <c r="CR172" s="701" t="n"/>
      <c r="CS172" s="701" t="n"/>
      <c r="CT172" s="701" t="n"/>
      <c r="CU172" s="701" t="n"/>
      <c r="CV172" s="701" t="n"/>
      <c r="CW172" s="30" t="n"/>
    </row>
    <row r="173" ht="12.75" customHeight="1" s="1676">
      <c r="A173" s="31" t="n"/>
      <c r="B173" s="116" t="inlineStr">
        <is>
          <t>Text_149</t>
        </is>
      </c>
      <c r="C173" s="699" t="n"/>
      <c r="D173" s="1713" t="n"/>
      <c r="E173" s="1713" t="n"/>
      <c r="F173" s="1713" t="n"/>
      <c r="G173" s="1713" t="n"/>
      <c r="H173" s="1714" t="n"/>
      <c r="I173" s="117">
        <f t="array" ref="I173">I170/I154</f>
        <v/>
      </c>
      <c r="J173" s="117">
        <f t="array" ref="J173">J170/J154</f>
        <v/>
      </c>
      <c r="K173" s="117">
        <f t="array" ref="K173">K170/K154</f>
        <v/>
      </c>
      <c r="L173" s="117">
        <f t="array" ref="L173">L170/L154</f>
        <v/>
      </c>
      <c r="M173" s="117">
        <f t="array" ref="M173">M170/M154</f>
        <v/>
      </c>
      <c r="N173" s="117">
        <f t="array" ref="N173">N170/N154</f>
        <v/>
      </c>
      <c r="O173" s="117">
        <f t="array" ref="O173">O170/O154</f>
        <v/>
      </c>
      <c r="P173" s="117">
        <f t="array" ref="P173">P170/P154</f>
        <v/>
      </c>
      <c r="Q173" s="117">
        <f t="array" ref="Q173">Q170/Q154</f>
        <v/>
      </c>
      <c r="R173" s="117">
        <f t="array" ref="R173">R170/R154</f>
        <v/>
      </c>
      <c r="S173" s="117">
        <f t="array" ref="S173">S170/S154</f>
        <v/>
      </c>
      <c r="T173" s="117">
        <f t="array" ref="T173">T170/T154</f>
        <v/>
      </c>
      <c r="U173" s="117">
        <f t="array" ref="U173">U170/U154</f>
        <v/>
      </c>
      <c r="V173" s="117">
        <f t="array" ref="V173">V170/V154</f>
        <v/>
      </c>
      <c r="W173" s="117">
        <f t="array" ref="W173">W170/W154</f>
        <v/>
      </c>
      <c r="X173" s="117">
        <f t="array" ref="X173">X170/X154</f>
        <v/>
      </c>
      <c r="Y173" s="117">
        <f t="array" ref="Y173">Y170/Y154</f>
        <v/>
      </c>
      <c r="Z173" s="117">
        <f t="array" ref="Z173">Z170/Z154</f>
        <v/>
      </c>
      <c r="AA173" s="117">
        <f t="array" ref="AA173">AA170/AA154</f>
        <v/>
      </c>
      <c r="AB173" s="117">
        <f t="array" ref="AB173">AB170/AB154</f>
        <v/>
      </c>
      <c r="AC173" s="117">
        <f t="array" ref="AC173">AC170/AC154</f>
        <v/>
      </c>
      <c r="AD173" s="117">
        <f t="array" ref="AD173">AD170/AD154</f>
        <v/>
      </c>
      <c r="AE173" s="117">
        <f t="array" ref="AE173">AE170/AE154</f>
        <v/>
      </c>
      <c r="AF173" s="117">
        <f t="array" ref="AF173">AF170/AF154</f>
        <v/>
      </c>
      <c r="AG173" s="117">
        <f t="array" ref="AG173">AG170/AG154</f>
        <v/>
      </c>
      <c r="AH173" s="117">
        <f t="array" ref="AH173">AH170/AH154</f>
        <v/>
      </c>
      <c r="AI173" s="117">
        <f t="array" ref="AI173">AI170/AI154</f>
        <v/>
      </c>
      <c r="AJ173" s="117">
        <f t="array" ref="AJ173">AJ170/AJ154</f>
        <v/>
      </c>
      <c r="AK173" s="117">
        <f t="array" ref="AK173">AK170/AK154</f>
        <v/>
      </c>
      <c r="AL173" s="117">
        <f t="array" ref="AL173">AL170/AL154</f>
        <v/>
      </c>
      <c r="AM173" s="117">
        <f t="array" ref="AM173">AM170/AM154</f>
        <v/>
      </c>
      <c r="AN173" s="117">
        <f t="array" ref="AN173">AN170/AN154</f>
        <v/>
      </c>
      <c r="AO173" s="117">
        <f t="array" ref="AO173">AO170/AO154</f>
        <v/>
      </c>
      <c r="AP173" s="117">
        <f t="array" ref="AP173">AP170/AP154</f>
        <v/>
      </c>
      <c r="AQ173" s="117">
        <f t="array" ref="AQ173">AQ170/AQ154</f>
        <v/>
      </c>
      <c r="AR173" s="117">
        <f t="array" ref="AR173">AR170/AR154</f>
        <v/>
      </c>
      <c r="AS173" s="117">
        <f t="array" ref="AS173">AS170/AS154</f>
        <v/>
      </c>
      <c r="AT173" s="117">
        <f t="array" ref="AT173">AT170/AT154</f>
        <v/>
      </c>
      <c r="AU173" s="117">
        <f t="array" ref="AU173">AU170/AU154</f>
        <v/>
      </c>
      <c r="AV173" s="117">
        <f t="array" ref="AV173">AV170/AV154</f>
        <v/>
      </c>
      <c r="AW173" s="125">
        <f t="array" ref="AW173">AW170/AW154</f>
        <v/>
      </c>
      <c r="AX173" s="122">
        <f t="array" ref="AX173">AX170/AX154</f>
        <v/>
      </c>
      <c r="AY173" s="122">
        <f t="array" ref="AY173">AY170/AY154</f>
        <v/>
      </c>
      <c r="AZ173" s="122">
        <f t="array" ref="AZ173">AZ170/AZ154</f>
        <v/>
      </c>
      <c r="BA173" s="124">
        <f t="array" ref="BA173">BA170/BA154</f>
        <v/>
      </c>
      <c r="BB173" s="125">
        <f t="array" ref="BB173">BB170/BB154</f>
        <v/>
      </c>
      <c r="BC173" s="122" t="n">
        <v>0.255073863845292</v>
      </c>
      <c r="BD173" s="194">
        <f t="array" ref="BD173">BD170/BD154</f>
        <v/>
      </c>
      <c r="BE173" s="194">
        <f t="array" ref="BE173">BE170/BE154</f>
        <v/>
      </c>
      <c r="BF173" s="195">
        <f t="array" ref="BF173">BF170/BF154</f>
        <v/>
      </c>
      <c r="BG173" s="192">
        <f t="array" ref="BG173">BG170/BG154</f>
        <v/>
      </c>
      <c r="BH173" s="192">
        <f t="array" ref="BH173">BH170/BH154</f>
        <v/>
      </c>
      <c r="BI173" s="192">
        <f t="array" ref="BI173">BI170/BI154</f>
        <v/>
      </c>
      <c r="BJ173" s="192">
        <f t="array" ref="BJ173">BJ170/BJ154</f>
        <v/>
      </c>
      <c r="BK173" s="192">
        <f t="array" ref="BK173">BK170/BK154</f>
        <v/>
      </c>
      <c r="BL173" s="192">
        <f t="array" ref="BL173">BL170/BL154</f>
        <v/>
      </c>
      <c r="BM173" s="192">
        <f t="array" ref="BM173">BM170/BM154</f>
        <v/>
      </c>
      <c r="BN173" s="192">
        <f t="array" ref="BN173">BN170/BN154</f>
        <v/>
      </c>
      <c r="BO173" s="192">
        <f t="array" ref="BO173">BO170/BO154</f>
        <v/>
      </c>
      <c r="BP173" s="192">
        <f t="array" ref="BP173">BP170/BP154</f>
        <v/>
      </c>
      <c r="BQ173" s="192">
        <f t="array" ref="BQ173">BQ170/BQ154</f>
        <v/>
      </c>
      <c r="BR173" s="192">
        <f t="array" ref="BR173">BR170/BR154</f>
        <v/>
      </c>
      <c r="BS173" s="192">
        <f t="array" ref="BS173">BS170/BS154</f>
        <v/>
      </c>
      <c r="BT173" s="192">
        <f t="array" ref="BT173">BT170/BT154</f>
        <v/>
      </c>
      <c r="BU173" s="192">
        <f t="array" ref="BU173">BU170/BU154</f>
        <v/>
      </c>
      <c r="BV173" s="192">
        <f t="array" ref="BV173">BV170/BV154</f>
        <v/>
      </c>
      <c r="BW173" s="192">
        <f t="array" ref="BW173">BW170/BW154</f>
        <v/>
      </c>
      <c r="BX173" s="192">
        <f t="array" ref="BX173">BX170/BX154</f>
        <v/>
      </c>
      <c r="BY173" s="192">
        <f t="array" ref="BY173">BY170/BY154</f>
        <v/>
      </c>
      <c r="BZ173" s="192">
        <f t="array" ref="BZ173">BZ170/BZ154</f>
        <v/>
      </c>
      <c r="CA173" s="1686" t="n"/>
      <c r="CB173" s="456" t="n"/>
      <c r="CC173" s="701" t="n"/>
      <c r="CD173" s="701" t="n"/>
      <c r="CE173" s="701" t="n"/>
      <c r="CF173" s="701" t="n"/>
      <c r="CG173" s="701" t="n"/>
      <c r="CH173" s="701" t="n"/>
      <c r="CI173" s="701" t="n"/>
      <c r="CJ173" s="701" t="n"/>
      <c r="CK173" s="701" t="n"/>
      <c r="CL173" s="701" t="n"/>
      <c r="CM173" s="701" t="n"/>
      <c r="CN173" s="701" t="n"/>
      <c r="CO173" s="701" t="n"/>
      <c r="CP173" s="701" t="n"/>
      <c r="CQ173" s="701" t="n"/>
      <c r="CR173" s="701" t="n"/>
      <c r="CS173" s="701" t="n"/>
      <c r="CT173" s="701" t="n"/>
      <c r="CU173" s="701" t="n"/>
      <c r="CV173" s="701" t="n"/>
      <c r="CW173" s="30" t="n"/>
    </row>
    <row r="174" ht="12.75" customHeight="1" s="1676">
      <c r="A174" s="31" t="n"/>
      <c r="B174" s="103" t="inlineStr">
        <is>
          <t>Text_136</t>
        </is>
      </c>
      <c r="C174" s="699" t="n"/>
      <c r="D174" s="1713" t="n"/>
      <c r="E174" s="1713" t="n"/>
      <c r="F174" s="1713" t="n"/>
      <c r="G174" s="1713" t="n"/>
      <c r="H174" s="1714" t="n"/>
      <c r="I174" s="192" t="n"/>
      <c r="J174" s="192" t="n"/>
      <c r="K174" s="192" t="n"/>
      <c r="L174" s="192" t="n"/>
      <c r="M174" s="192" t="n"/>
      <c r="N174" s="192" t="n"/>
      <c r="O174" s="192" t="n"/>
      <c r="P174" s="192" t="n"/>
      <c r="Q174" s="192" t="n"/>
      <c r="R174" s="192" t="n"/>
      <c r="S174" s="192" t="n"/>
      <c r="T174" s="192" t="n"/>
      <c r="U174" s="192" t="n"/>
      <c r="V174" s="192" t="n"/>
      <c r="W174" s="192" t="n"/>
      <c r="X174" s="192" t="n"/>
      <c r="Y174" s="192" t="n"/>
      <c r="Z174" s="192" t="n"/>
      <c r="AA174" s="192" t="n"/>
      <c r="AB174" s="192" t="n"/>
      <c r="AC174" s="192" t="n"/>
      <c r="AD174" s="192" t="n"/>
      <c r="AE174" s="192" t="n"/>
      <c r="AF174" s="192" t="n"/>
      <c r="AG174" s="192" t="n"/>
      <c r="AH174" s="192" t="n"/>
      <c r="AI174" s="192" t="n"/>
      <c r="AJ174" s="192" t="n"/>
      <c r="AK174" s="192" t="n"/>
      <c r="AL174" s="192" t="n"/>
      <c r="AM174" s="192" t="n"/>
      <c r="AN174" s="192" t="n"/>
      <c r="AO174" s="192" t="n"/>
      <c r="AP174" s="192" t="n"/>
      <c r="AQ174" s="1715">
        <f t="array" ref="AQ174">AQ150*AQ154</f>
        <v/>
      </c>
      <c r="AR174" s="192" t="n"/>
      <c r="AS174" s="192" t="n"/>
      <c r="AT174" s="192" t="n"/>
      <c r="AU174" s="1715">
        <f t="array" ref="AU174">AU176*AU170</f>
        <v/>
      </c>
      <c r="AV174" s="1715">
        <f t="array" ref="AV174">AV150*AV154</f>
        <v/>
      </c>
      <c r="AW174" s="1716">
        <f t="array" ref="AW174">AW176*AW170</f>
        <v/>
      </c>
      <c r="AX174" s="1717">
        <f t="array" ref="AX174">AX176*AX170</f>
        <v/>
      </c>
      <c r="AY174" s="1717">
        <f t="array" ref="AY174">AY176*AY170</f>
        <v/>
      </c>
      <c r="AZ174" s="194" t="n"/>
      <c r="BA174" s="1718">
        <f t="array" ref="BA174">AV174*(1+BA175)</f>
        <v/>
      </c>
      <c r="BB174" s="1757" t="n"/>
      <c r="BC174" s="1724" t="n"/>
      <c r="BD174" s="1724" t="n"/>
      <c r="BE174" s="1724" t="n"/>
      <c r="BF174" s="1718">
        <f t="array" ref="BF174">BA174*(1+BF175)</f>
        <v/>
      </c>
      <c r="BG174" s="1713" t="n"/>
      <c r="BH174" s="1713" t="n"/>
      <c r="BI174" s="1713" t="n"/>
      <c r="BJ174" s="1713" t="n"/>
      <c r="BK174" s="1715">
        <f t="array" ref="BK174">BF174*(1+BK175)</f>
        <v/>
      </c>
      <c r="BL174" s="1713" t="n"/>
      <c r="BM174" s="1713" t="n"/>
      <c r="BN174" s="1713" t="n"/>
      <c r="BO174" s="1713" t="n"/>
      <c r="BP174" s="1715">
        <f t="array" ref="BP174">BK174*(1+BP175)</f>
        <v/>
      </c>
      <c r="BQ174" s="1713" t="n"/>
      <c r="BR174" s="1713" t="n"/>
      <c r="BS174" s="1713" t="n"/>
      <c r="BT174" s="1713" t="n"/>
      <c r="BU174" s="1715">
        <f t="array" ref="BU174">BP174*(1+BU175)</f>
        <v/>
      </c>
      <c r="BV174" s="1713" t="n"/>
      <c r="BW174" s="1713" t="n"/>
      <c r="BX174" s="1713" t="n"/>
      <c r="BY174" s="1713" t="n"/>
      <c r="BZ174" s="1715">
        <f t="array" ref="BZ174">BU174*(1+BZ175)</f>
        <v/>
      </c>
      <c r="CA174" s="235" t="n"/>
      <c r="CB174" s="456" t="n"/>
      <c r="CC174" s="701" t="n"/>
      <c r="CD174" s="701" t="n"/>
      <c r="CE174" s="701" t="n"/>
      <c r="CF174" s="701" t="n"/>
      <c r="CG174" s="701" t="n"/>
      <c r="CH174" s="701" t="n"/>
      <c r="CI174" s="701" t="n"/>
      <c r="CJ174" s="701" t="n"/>
      <c r="CK174" s="701" t="n"/>
      <c r="CL174" s="701" t="n"/>
      <c r="CM174" s="701" t="n"/>
      <c r="CN174" s="701" t="n"/>
      <c r="CO174" s="701" t="n"/>
      <c r="CP174" s="701" t="n"/>
      <c r="CQ174" s="701" t="n"/>
      <c r="CR174" s="701" t="n"/>
      <c r="CS174" s="701" t="n"/>
      <c r="CT174" s="701" t="n"/>
      <c r="CU174" s="701" t="n"/>
      <c r="CV174" s="701" t="n"/>
      <c r="CW174" s="30" t="n"/>
    </row>
    <row r="175" ht="12.75" customHeight="1" s="1676">
      <c r="A175" s="31" t="n"/>
      <c r="B175" s="103" t="inlineStr">
        <is>
          <t>Text_24</t>
        </is>
      </c>
      <c r="C175" s="699" t="n"/>
      <c r="D175" s="1713" t="n"/>
      <c r="E175" s="1713" t="n"/>
      <c r="F175" s="1713" t="n"/>
      <c r="G175" s="1713" t="n"/>
      <c r="H175" s="1714" t="n"/>
      <c r="I175" s="1715" t="n"/>
      <c r="J175" s="1715" t="n"/>
      <c r="K175" s="1715" t="n"/>
      <c r="L175" s="1715" t="n"/>
      <c r="M175" s="1720" t="n"/>
      <c r="N175" s="1720" t="n"/>
      <c r="O175" s="1720" t="n"/>
      <c r="P175" s="1720" t="n"/>
      <c r="Q175" s="1720" t="n"/>
      <c r="R175" s="1720" t="n"/>
      <c r="S175" s="1720" t="n"/>
      <c r="T175" s="1720" t="n"/>
      <c r="U175" s="1720" t="n"/>
      <c r="V175" s="1720" t="n"/>
      <c r="W175" s="1720" t="n"/>
      <c r="X175" s="1720" t="n"/>
      <c r="Y175" s="1720" t="n"/>
      <c r="Z175" s="1720" t="n"/>
      <c r="AA175" s="1720" t="n"/>
      <c r="AB175" s="1720" t="n"/>
      <c r="AC175" s="1720" t="n"/>
      <c r="AD175" s="1720" t="n"/>
      <c r="AE175" s="1720" t="n"/>
      <c r="AF175" s="1720" t="n"/>
      <c r="AG175" s="1720" t="n"/>
      <c r="AH175" s="1720" t="n"/>
      <c r="AI175" s="1720" t="n"/>
      <c r="AJ175" s="1720" t="n"/>
      <c r="AK175" s="1720" t="n"/>
      <c r="AL175" s="1720" t="n"/>
      <c r="AM175" s="1720" t="n"/>
      <c r="AN175" s="1720" t="n"/>
      <c r="AO175" s="1720" t="n"/>
      <c r="AP175" s="1720" t="n"/>
      <c r="AQ175" s="1720" t="n"/>
      <c r="AR175" s="1720" t="n"/>
      <c r="AS175" s="1720" t="n"/>
      <c r="AT175" s="1720" t="n"/>
      <c r="AU175" s="1720" t="n"/>
      <c r="AV175" s="1720">
        <f t="array" ref="AV175">AV174/AQ174-1</f>
        <v/>
      </c>
      <c r="AW175" s="1721" t="n"/>
      <c r="AX175" s="1722" t="n"/>
      <c r="AY175" s="1854" t="n"/>
      <c r="AZ175" s="1854" t="n"/>
      <c r="BA175" s="1855" t="n">
        <v>0</v>
      </c>
      <c r="BB175" s="677" t="n"/>
      <c r="BC175" s="449" t="n"/>
      <c r="BD175" s="449" t="n"/>
      <c r="BE175" s="449" t="n"/>
      <c r="BF175" s="1855" t="n">
        <v>-0.149484284333149</v>
      </c>
      <c r="BG175" s="341" t="n"/>
      <c r="BH175" s="341" t="n"/>
      <c r="BI175" s="341" t="n"/>
      <c r="BJ175" s="341" t="n"/>
      <c r="BK175" s="1856" t="n">
        <v>0.104827235346524</v>
      </c>
      <c r="BL175" s="341" t="n"/>
      <c r="BM175" s="341" t="n"/>
      <c r="BN175" s="341" t="n"/>
      <c r="BO175" s="341" t="n"/>
      <c r="BP175" s="1856" t="n">
        <v>0.104593991980468</v>
      </c>
      <c r="BQ175" s="341" t="n"/>
      <c r="BR175" s="341" t="n"/>
      <c r="BS175" s="341" t="n"/>
      <c r="BT175" s="341" t="n"/>
      <c r="BU175" s="1856" t="n">
        <v>0.117105607571892</v>
      </c>
      <c r="BV175" s="341" t="n"/>
      <c r="BW175" s="341" t="n"/>
      <c r="BX175" s="341" t="n"/>
      <c r="BY175" s="341" t="n"/>
      <c r="BZ175" s="1856" t="n">
        <v>0.125262647586411</v>
      </c>
      <c r="CA175" s="235" t="n"/>
      <c r="CB175" s="98" t="n"/>
      <c r="CC175" s="701" t="n"/>
      <c r="CD175" s="701" t="n"/>
      <c r="CE175" s="701" t="n"/>
      <c r="CF175" s="701" t="n"/>
      <c r="CG175" s="701" t="n"/>
      <c r="CH175" s="701" t="n"/>
      <c r="CI175" s="701" t="n"/>
      <c r="CJ175" s="701" t="n"/>
      <c r="CK175" s="701" t="n"/>
      <c r="CL175" s="701" t="n"/>
      <c r="CM175" s="701" t="n"/>
      <c r="CN175" s="701" t="n"/>
      <c r="CO175" s="701" t="n"/>
      <c r="CP175" s="701" t="n"/>
      <c r="CQ175" s="701" t="n"/>
      <c r="CR175" s="701" t="n"/>
      <c r="CS175" s="701" t="n"/>
      <c r="CT175" s="701" t="n"/>
      <c r="CU175" s="701" t="n"/>
      <c r="CV175" s="701" t="n"/>
      <c r="CW175" s="30" t="n"/>
    </row>
    <row r="176" ht="12.75" customHeight="1" s="1676">
      <c r="A176" s="31" t="n"/>
      <c r="B176" s="116" t="inlineStr">
        <is>
          <t>Text_154</t>
        </is>
      </c>
      <c r="C176" s="699" t="n"/>
      <c r="D176" s="1713" t="n"/>
      <c r="E176" s="1713" t="n"/>
      <c r="F176" s="1713" t="n"/>
      <c r="G176" s="1713" t="n"/>
      <c r="H176" s="1714" t="n"/>
      <c r="I176" s="117" t="n"/>
      <c r="J176" s="117" t="n"/>
      <c r="K176" s="117" t="n"/>
      <c r="L176" s="117" t="n"/>
      <c r="M176" s="117" t="n"/>
      <c r="N176" s="117" t="n"/>
      <c r="O176" s="117" t="n"/>
      <c r="P176" s="117" t="n"/>
      <c r="Q176" s="117" t="n"/>
      <c r="R176" s="117" t="n"/>
      <c r="S176" s="117" t="n"/>
      <c r="T176" s="117" t="n"/>
      <c r="U176" s="117" t="n"/>
      <c r="V176" s="117" t="n"/>
      <c r="W176" s="117" t="n"/>
      <c r="X176" s="117" t="n"/>
      <c r="Y176" s="117" t="n"/>
      <c r="Z176" s="117" t="n"/>
      <c r="AA176" s="117" t="n"/>
      <c r="AB176" s="117" t="n"/>
      <c r="AC176" s="117" t="n"/>
      <c r="AD176" s="117" t="n"/>
      <c r="AE176" s="117" t="n"/>
      <c r="AF176" s="117" t="n"/>
      <c r="AG176" s="117" t="n"/>
      <c r="AH176" s="117" t="n"/>
      <c r="AI176" s="117" t="n"/>
      <c r="AJ176" s="117" t="n"/>
      <c r="AK176" s="117" t="n"/>
      <c r="AL176" s="117" t="n"/>
      <c r="AM176" s="117" t="n"/>
      <c r="AN176" s="117" t="n"/>
      <c r="AO176" s="117" t="n"/>
      <c r="AP176" s="117" t="n"/>
      <c r="AQ176" s="117">
        <f t="array" ref="AQ176">AQ174/AQ170</f>
        <v/>
      </c>
      <c r="AR176" s="117" t="n"/>
      <c r="AS176" s="117" t="n"/>
      <c r="AT176" s="117" t="n"/>
      <c r="AU176" s="117" t="n">
        <v>0.844440916165859</v>
      </c>
      <c r="AV176" s="117">
        <f t="array" ref="AV176">AV174/AV170</f>
        <v/>
      </c>
      <c r="AW176" s="125" t="n">
        <v>0.921680745255822</v>
      </c>
      <c r="AX176" s="122" t="n">
        <v>0.857961048691474</v>
      </c>
      <c r="AY176" s="122" t="n">
        <v>0.835479847931201</v>
      </c>
      <c r="AZ176" s="450" t="n">
        <v>0.736003132969438</v>
      </c>
      <c r="BA176" s="124">
        <f t="array" ref="BA176">BA174/BA170</f>
        <v/>
      </c>
      <c r="BB176" s="125" t="n">
        <v>0.872246061266189</v>
      </c>
      <c r="BC176" s="122" t="n">
        <v>0.831852495893714</v>
      </c>
      <c r="BD176" s="1724" t="n"/>
      <c r="BE176" s="1724" t="n"/>
      <c r="BF176" s="124">
        <f t="array" ref="BF176">BF174/BF170</f>
        <v/>
      </c>
      <c r="BG176" s="1713" t="n"/>
      <c r="BH176" s="1713" t="n"/>
      <c r="BI176" s="1713" t="n"/>
      <c r="BJ176" s="1713" t="n"/>
      <c r="BK176" s="117">
        <f t="array" ref="BK176">BK174/BK170</f>
        <v/>
      </c>
      <c r="BL176" s="1713" t="n"/>
      <c r="BM176" s="1713" t="n"/>
      <c r="BN176" s="1713" t="n"/>
      <c r="BO176" s="1713" t="n"/>
      <c r="BP176" s="117">
        <f t="array" ref="BP176">BP174/BP170</f>
        <v/>
      </c>
      <c r="BQ176" s="1713" t="n"/>
      <c r="BR176" s="1713" t="n"/>
      <c r="BS176" s="1713" t="n"/>
      <c r="BT176" s="1713" t="n"/>
      <c r="BU176" s="117">
        <f t="array" ref="BU176">BU174/BU170</f>
        <v/>
      </c>
      <c r="BV176" s="1713" t="n"/>
      <c r="BW176" s="1713" t="n"/>
      <c r="BX176" s="1713" t="n"/>
      <c r="BY176" s="1713" t="n"/>
      <c r="BZ176" s="117">
        <f t="array" ref="BZ176">BZ174/BZ170</f>
        <v/>
      </c>
      <c r="CA176" s="235" t="n"/>
      <c r="CB176" s="456" t="n"/>
      <c r="CC176" s="701" t="n"/>
      <c r="CD176" s="701" t="n"/>
      <c r="CE176" s="701" t="n"/>
      <c r="CF176" s="701" t="n"/>
      <c r="CG176" s="701" t="n"/>
      <c r="CH176" s="701" t="n"/>
      <c r="CI176" s="701" t="n"/>
      <c r="CJ176" s="701" t="n"/>
      <c r="CK176" s="701" t="n"/>
      <c r="CL176" s="701" t="n"/>
      <c r="CM176" s="701" t="n"/>
      <c r="CN176" s="701" t="n"/>
      <c r="CO176" s="701" t="n"/>
      <c r="CP176" s="701" t="n"/>
      <c r="CQ176" s="701" t="n"/>
      <c r="CR176" s="701" t="n"/>
      <c r="CS176" s="701" t="n"/>
      <c r="CT176" s="701" t="n"/>
      <c r="CU176" s="701" t="n"/>
      <c r="CV176" s="701" t="n"/>
      <c r="CW176" s="30" t="n"/>
    </row>
    <row r="177" ht="12.75" customHeight="1" s="1676">
      <c r="A177" s="31" t="n"/>
      <c r="B177" s="167" t="inlineStr">
        <is>
          <t>Text_138</t>
        </is>
      </c>
      <c r="C177" s="699" t="n"/>
      <c r="D177" s="1713" t="n"/>
      <c r="E177" s="1713" t="n"/>
      <c r="F177" s="1713" t="n"/>
      <c r="G177" s="1713" t="n"/>
      <c r="H177" s="1714" t="n"/>
      <c r="I177" s="192" t="n"/>
      <c r="J177" s="192" t="n"/>
      <c r="K177" s="192" t="n"/>
      <c r="L177" s="192" t="n"/>
      <c r="M177" s="192" t="n"/>
      <c r="N177" s="192" t="n"/>
      <c r="O177" s="192" t="n"/>
      <c r="P177" s="192" t="n"/>
      <c r="Q177" s="192" t="n"/>
      <c r="R177" s="192" t="n"/>
      <c r="S177" s="192" t="n"/>
      <c r="T177" s="192" t="n"/>
      <c r="U177" s="192" t="n"/>
      <c r="V177" s="192" t="n"/>
      <c r="W177" s="192" t="n"/>
      <c r="X177" s="192" t="n"/>
      <c r="Y177" s="192" t="n"/>
      <c r="Z177" s="192" t="n"/>
      <c r="AA177" s="192" t="n"/>
      <c r="AB177" s="192" t="n"/>
      <c r="AC177" s="192" t="n"/>
      <c r="AD177" s="192" t="n"/>
      <c r="AE177" s="192" t="n"/>
      <c r="AF177" s="192" t="n"/>
      <c r="AG177" s="192" t="n"/>
      <c r="AH177" s="192" t="n"/>
      <c r="AI177" s="192" t="n"/>
      <c r="AJ177" s="192" t="n"/>
      <c r="AK177" s="192" t="n"/>
      <c r="AL177" s="192" t="n"/>
      <c r="AM177" s="192" t="n"/>
      <c r="AN177" s="192" t="n"/>
      <c r="AO177" s="192" t="n"/>
      <c r="AP177" s="192" t="n"/>
      <c r="AQ177" s="1715">
        <f t="array" ref="AQ177">AQ170-AQ174</f>
        <v/>
      </c>
      <c r="AR177" s="192" t="n"/>
      <c r="AS177" s="192" t="n"/>
      <c r="AT177" s="192" t="n"/>
      <c r="AU177" s="1715">
        <f t="array" ref="AU177">AU170-AU174</f>
        <v/>
      </c>
      <c r="AV177" s="1715">
        <f t="array" ref="AV177">AV170-AV174</f>
        <v/>
      </c>
      <c r="AW177" s="1716">
        <f t="array" ref="AW177">AW179*AW170</f>
        <v/>
      </c>
      <c r="AX177" s="1717">
        <f t="array" ref="AX177">AX179*AX170</f>
        <v/>
      </c>
      <c r="AY177" s="1717">
        <f t="array" ref="AY177">AY179*AY170</f>
        <v/>
      </c>
      <c r="AZ177" s="1717">
        <f t="array" ref="AZ177">AZ170-AZ174</f>
        <v/>
      </c>
      <c r="BA177" s="1718">
        <f t="array" ref="BA177">BA170-BA174</f>
        <v/>
      </c>
      <c r="BB177" s="1716">
        <f t="array" ref="BB177">BB179*BB170</f>
        <v/>
      </c>
      <c r="BC177" s="1717">
        <f t="array" ref="BC177">BC179*BC170</f>
        <v/>
      </c>
      <c r="BD177" s="1724" t="n"/>
      <c r="BE177" s="1724" t="n"/>
      <c r="BF177" s="1718">
        <f t="array" ref="BF177">BF170-BF174</f>
        <v/>
      </c>
      <c r="BG177" s="1713" t="n"/>
      <c r="BH177" s="1713" t="n"/>
      <c r="BI177" s="1713" t="n"/>
      <c r="BJ177" s="1713" t="n"/>
      <c r="BK177" s="1715">
        <f t="array" ref="BK177">BK170-BK174</f>
        <v/>
      </c>
      <c r="BL177" s="1713" t="n"/>
      <c r="BM177" s="1713" t="n"/>
      <c r="BN177" s="1713" t="n"/>
      <c r="BO177" s="1713" t="n"/>
      <c r="BP177" s="1715">
        <f t="array" ref="BP177">BP170-BP174</f>
        <v/>
      </c>
      <c r="BQ177" s="1713" t="n"/>
      <c r="BR177" s="1713" t="n"/>
      <c r="BS177" s="1713" t="n"/>
      <c r="BT177" s="1713" t="n"/>
      <c r="BU177" s="1715">
        <f t="array" ref="BU177">BU170-BU174</f>
        <v/>
      </c>
      <c r="BV177" s="1713" t="n"/>
      <c r="BW177" s="1713" t="n"/>
      <c r="BX177" s="1713" t="n"/>
      <c r="BY177" s="1713" t="n"/>
      <c r="BZ177" s="1715">
        <f t="array" ref="BZ177">BZ170-BZ174</f>
        <v/>
      </c>
      <c r="CA177" s="235" t="n"/>
      <c r="CB177" s="456" t="n"/>
      <c r="CC177" s="701" t="n"/>
      <c r="CD177" s="701" t="n"/>
      <c r="CE177" s="701" t="n"/>
      <c r="CF177" s="701" t="n"/>
      <c r="CG177" s="701" t="n"/>
      <c r="CH177" s="701" t="n"/>
      <c r="CI177" s="701" t="n"/>
      <c r="CJ177" s="701" t="n"/>
      <c r="CK177" s="701" t="n"/>
      <c r="CL177" s="701" t="n"/>
      <c r="CM177" s="701" t="n"/>
      <c r="CN177" s="701" t="n"/>
      <c r="CO177" s="701" t="n"/>
      <c r="CP177" s="701" t="n"/>
      <c r="CQ177" s="701" t="n"/>
      <c r="CR177" s="701" t="n"/>
      <c r="CS177" s="701" t="n"/>
      <c r="CT177" s="701" t="n"/>
      <c r="CU177" s="701" t="n"/>
      <c r="CV177" s="701" t="n"/>
      <c r="CW177" s="30" t="n"/>
    </row>
    <row r="178" ht="12.75" customHeight="1" s="1676">
      <c r="A178" s="31" t="n"/>
      <c r="B178" s="103" t="inlineStr">
        <is>
          <t>Text_24</t>
        </is>
      </c>
      <c r="C178" s="699" t="n"/>
      <c r="D178" s="1713" t="n"/>
      <c r="E178" s="1713" t="n"/>
      <c r="F178" s="1713" t="n"/>
      <c r="G178" s="1713" t="n"/>
      <c r="H178" s="1714" t="n"/>
      <c r="I178" s="1715" t="n"/>
      <c r="J178" s="1715" t="n"/>
      <c r="K178" s="1715" t="n"/>
      <c r="L178" s="1715" t="n"/>
      <c r="M178" s="1720" t="n"/>
      <c r="N178" s="1720" t="n"/>
      <c r="O178" s="1720" t="n"/>
      <c r="P178" s="1720" t="n"/>
      <c r="Q178" s="1720" t="n"/>
      <c r="R178" s="1720" t="n"/>
      <c r="S178" s="1720" t="n"/>
      <c r="T178" s="1720" t="n"/>
      <c r="U178" s="1720" t="n"/>
      <c r="V178" s="1720" t="n"/>
      <c r="W178" s="1720" t="n"/>
      <c r="X178" s="1720" t="n"/>
      <c r="Y178" s="1720" t="n"/>
      <c r="Z178" s="1720" t="n"/>
      <c r="AA178" s="1720" t="n"/>
      <c r="AB178" s="1720" t="n"/>
      <c r="AC178" s="1720" t="n"/>
      <c r="AD178" s="1720" t="n"/>
      <c r="AE178" s="1720" t="n"/>
      <c r="AF178" s="1720" t="n"/>
      <c r="AG178" s="1720" t="n"/>
      <c r="AH178" s="1720" t="n"/>
      <c r="AI178" s="1720" t="n"/>
      <c r="AJ178" s="1720" t="n"/>
      <c r="AK178" s="1720" t="n"/>
      <c r="AL178" s="1720" t="n"/>
      <c r="AM178" s="1720" t="n"/>
      <c r="AN178" s="1720" t="n"/>
      <c r="AO178" s="1720" t="n"/>
      <c r="AP178" s="1720" t="n"/>
      <c r="AQ178" s="1720" t="n"/>
      <c r="AR178" s="1720" t="n"/>
      <c r="AS178" s="1720" t="n"/>
      <c r="AT178" s="1720" t="n"/>
      <c r="AU178" s="1720" t="n"/>
      <c r="AV178" s="1720">
        <f t="array" ref="AV178">AV177/AQ177-1</f>
        <v/>
      </c>
      <c r="AW178" s="1721" t="n"/>
      <c r="AX178" s="1722" t="n"/>
      <c r="AY178" s="1722" t="n"/>
      <c r="AZ178" s="1722" t="n"/>
      <c r="BA178" s="1723">
        <f t="array" ref="BA178">BA177/AV177-1</f>
        <v/>
      </c>
      <c r="BB178" s="1721" t="n"/>
      <c r="BC178" s="1722" t="n"/>
      <c r="BD178" s="449" t="n"/>
      <c r="BE178" s="449" t="n"/>
      <c r="BF178" s="1723">
        <f t="array" ref="BF178">BF177/BA177-1</f>
        <v/>
      </c>
      <c r="BG178" s="341" t="n"/>
      <c r="BH178" s="341" t="n"/>
      <c r="BI178" s="341" t="n"/>
      <c r="BJ178" s="341" t="n"/>
      <c r="BK178" s="1720">
        <f t="array" ref="BK178">BK177/BF177-1</f>
        <v/>
      </c>
      <c r="BL178" s="341" t="n"/>
      <c r="BM178" s="341" t="n"/>
      <c r="BN178" s="341" t="n"/>
      <c r="BO178" s="341" t="n"/>
      <c r="BP178" s="1720">
        <f t="array" ref="BP178">BP177/BK177-1</f>
        <v/>
      </c>
      <c r="BQ178" s="341" t="n"/>
      <c r="BR178" s="341" t="n"/>
      <c r="BS178" s="341" t="n"/>
      <c r="BT178" s="341" t="n"/>
      <c r="BU178" s="1720">
        <f t="array" ref="BU178">BU177/BP177-1</f>
        <v/>
      </c>
      <c r="BV178" s="341" t="n"/>
      <c r="BW178" s="341" t="n"/>
      <c r="BX178" s="341" t="n"/>
      <c r="BY178" s="341" t="n"/>
      <c r="BZ178" s="1720">
        <f t="array" ref="BZ178">BZ177/BU177-1</f>
        <v/>
      </c>
      <c r="CA178" s="235" t="n"/>
      <c r="CB178" s="98" t="n"/>
      <c r="CC178" s="701" t="n"/>
      <c r="CD178" s="701" t="n"/>
      <c r="CE178" s="701" t="n"/>
      <c r="CF178" s="701" t="n"/>
      <c r="CG178" s="701" t="n"/>
      <c r="CH178" s="701" t="n"/>
      <c r="CI178" s="701" t="n"/>
      <c r="CJ178" s="701" t="n"/>
      <c r="CK178" s="701" t="n"/>
      <c r="CL178" s="701" t="n"/>
      <c r="CM178" s="701" t="n"/>
      <c r="CN178" s="701" t="n"/>
      <c r="CO178" s="701" t="n"/>
      <c r="CP178" s="701" t="n"/>
      <c r="CQ178" s="701" t="n"/>
      <c r="CR178" s="701" t="n"/>
      <c r="CS178" s="701" t="n"/>
      <c r="CT178" s="701" t="n"/>
      <c r="CU178" s="701" t="n"/>
      <c r="CV178" s="701" t="n"/>
      <c r="CW178" s="30" t="n"/>
    </row>
    <row r="179" ht="12.75" customHeight="1" s="1676">
      <c r="A179" s="31" t="n"/>
      <c r="B179" s="130" t="inlineStr">
        <is>
          <t>Text_155</t>
        </is>
      </c>
      <c r="C179" s="805" t="n"/>
      <c r="D179" s="1726" t="n"/>
      <c r="E179" s="1726" t="n"/>
      <c r="F179" s="1726" t="n"/>
      <c r="G179" s="1726" t="n"/>
      <c r="H179" s="1727" t="n"/>
      <c r="I179" s="133" t="n"/>
      <c r="J179" s="133" t="n"/>
      <c r="K179" s="133" t="n"/>
      <c r="L179" s="133" t="n"/>
      <c r="M179" s="133" t="n"/>
      <c r="N179" s="133" t="n"/>
      <c r="O179" s="133" t="n"/>
      <c r="P179" s="133" t="n"/>
      <c r="Q179" s="133" t="n"/>
      <c r="R179" s="133" t="n"/>
      <c r="S179" s="133" t="n"/>
      <c r="T179" s="133" t="n"/>
      <c r="U179" s="133" t="n"/>
      <c r="V179" s="133" t="n"/>
      <c r="W179" s="133" t="n"/>
      <c r="X179" s="133" t="n"/>
      <c r="Y179" s="133" t="n"/>
      <c r="Z179" s="133" t="n"/>
      <c r="AA179" s="133" t="n"/>
      <c r="AB179" s="133" t="n"/>
      <c r="AC179" s="133" t="n"/>
      <c r="AD179" s="133" t="n"/>
      <c r="AE179" s="133" t="n"/>
      <c r="AF179" s="133" t="n"/>
      <c r="AG179" s="133" t="n"/>
      <c r="AH179" s="133" t="n"/>
      <c r="AI179" s="133" t="n"/>
      <c r="AJ179" s="133" t="n"/>
      <c r="AK179" s="133" t="n"/>
      <c r="AL179" s="133" t="n"/>
      <c r="AM179" s="133" t="n"/>
      <c r="AN179" s="133" t="n"/>
      <c r="AO179" s="133" t="n"/>
      <c r="AP179" s="133" t="n"/>
      <c r="AQ179" s="133">
        <f t="array" ref="AQ179">AQ177/AQ170</f>
        <v/>
      </c>
      <c r="AR179" s="133" t="n"/>
      <c r="AS179" s="133" t="n"/>
      <c r="AT179" s="133" t="n"/>
      <c r="AU179" s="197">
        <f t="array" ref="AU179">AU177/AU170</f>
        <v/>
      </c>
      <c r="AV179" s="133">
        <f t="array" ref="AV179">AV177/AV170</f>
        <v/>
      </c>
      <c r="AW179" s="134" t="n">
        <v>0.0926972012583451</v>
      </c>
      <c r="AX179" s="135">
        <f t="array" ref="AX179">1-AX176</f>
        <v/>
      </c>
      <c r="AY179" s="135">
        <f t="array" ref="AY179">1-AY176</f>
        <v/>
      </c>
      <c r="AZ179" s="135">
        <f t="array" ref="AZ179">1-AZ176</f>
        <v/>
      </c>
      <c r="BA179" s="136">
        <f t="array" ref="BA179">BA177/BA170</f>
        <v/>
      </c>
      <c r="BB179" s="134">
        <f t="array" ref="BB179">1-BB176</f>
        <v/>
      </c>
      <c r="BC179" s="135">
        <f t="array" ref="BC179">1-BC176</f>
        <v/>
      </c>
      <c r="BD179" s="1728" t="n"/>
      <c r="BE179" s="1728" t="n"/>
      <c r="BF179" s="136">
        <f t="array" ref="BF179">BF177/BF170</f>
        <v/>
      </c>
      <c r="BG179" s="1726" t="n"/>
      <c r="BH179" s="1726" t="n"/>
      <c r="BI179" s="1726" t="n"/>
      <c r="BJ179" s="1726" t="n"/>
      <c r="BK179" s="133">
        <f t="array" ref="BK179">BK177/BK170</f>
        <v/>
      </c>
      <c r="BL179" s="1726" t="n"/>
      <c r="BM179" s="1726" t="n"/>
      <c r="BN179" s="1726" t="n"/>
      <c r="BO179" s="1726" t="n"/>
      <c r="BP179" s="133">
        <f t="array" ref="BP179">BP177/BP170</f>
        <v/>
      </c>
      <c r="BQ179" s="1726" t="n"/>
      <c r="BR179" s="1726" t="n"/>
      <c r="BS179" s="1726" t="n"/>
      <c r="BT179" s="1726" t="n"/>
      <c r="BU179" s="133">
        <f t="array" ref="BU179">BU177/BU170</f>
        <v/>
      </c>
      <c r="BV179" s="1726" t="n"/>
      <c r="BW179" s="1726" t="n"/>
      <c r="BX179" s="1726" t="n"/>
      <c r="BY179" s="1726" t="n"/>
      <c r="BZ179" s="133">
        <f t="array" ref="BZ179">BZ177/BZ170</f>
        <v/>
      </c>
      <c r="CA179" s="451" t="n"/>
      <c r="CB179" s="456" t="n"/>
      <c r="CC179" s="701" t="n"/>
      <c r="CD179" s="701" t="n"/>
      <c r="CE179" s="701" t="n"/>
      <c r="CF179" s="701" t="n"/>
      <c r="CG179" s="701" t="n"/>
      <c r="CH179" s="701" t="n"/>
      <c r="CI179" s="701" t="n"/>
      <c r="CJ179" s="701" t="n"/>
      <c r="CK179" s="701" t="n"/>
      <c r="CL179" s="701" t="n"/>
      <c r="CM179" s="701" t="n"/>
      <c r="CN179" s="701" t="n"/>
      <c r="CO179" s="701" t="n"/>
      <c r="CP179" s="701" t="n"/>
      <c r="CQ179" s="701" t="n"/>
      <c r="CR179" s="701" t="n"/>
      <c r="CS179" s="701" t="n"/>
      <c r="CT179" s="701" t="n"/>
      <c r="CU179" s="701" t="n"/>
      <c r="CV179" s="701" t="n"/>
      <c r="CW179" s="30" t="n"/>
    </row>
    <row r="180" ht="12.75" customHeight="1" s="1676">
      <c r="A180" s="31" t="n"/>
      <c r="B180" s="201" t="inlineStr">
        <is>
          <t>Text_156</t>
        </is>
      </c>
      <c r="C180" s="33" t="n"/>
      <c r="D180" s="1735" t="n"/>
      <c r="E180" s="1735" t="n"/>
      <c r="F180" s="1735" t="n"/>
      <c r="G180" s="1735" t="n"/>
      <c r="H180" s="1736" t="n"/>
      <c r="I180" s="1769" t="n"/>
      <c r="J180" s="1769" t="n"/>
      <c r="K180" s="1769" t="n"/>
      <c r="L180" s="1769" t="n"/>
      <c r="M180" s="1769" t="n"/>
      <c r="N180" s="1769" t="n"/>
      <c r="O180" s="1769" t="n"/>
      <c r="P180" s="1769" t="n"/>
      <c r="Q180" s="1769" t="n"/>
      <c r="R180" s="1769" t="n"/>
      <c r="S180" s="1769" t="n"/>
      <c r="T180" s="1769" t="n"/>
      <c r="U180" s="1769" t="n"/>
      <c r="V180" s="1769" t="n"/>
      <c r="W180" s="1769" t="n"/>
      <c r="X180" s="1769" t="n"/>
      <c r="Y180" s="1769" t="n"/>
      <c r="Z180" s="1769" t="n">
        <v>69.7173424974728</v>
      </c>
      <c r="AA180" s="1769" t="n">
        <v>61.8414049234556</v>
      </c>
      <c r="AB180" s="1769" t="n">
        <v>153.55186468825</v>
      </c>
      <c r="AC180" s="1769" t="n">
        <v>77.1791235575204</v>
      </c>
      <c r="AD180" s="1769" t="n">
        <v>69.66089019408641</v>
      </c>
      <c r="AE180" s="1769" t="n">
        <v>89.367486392556</v>
      </c>
      <c r="AF180" s="1769" t="n">
        <v>115.868543418385</v>
      </c>
      <c r="AG180" s="1769" t="n">
        <v>344.980037257482</v>
      </c>
      <c r="AH180" s="1769" t="n">
        <v>79.4522708468939</v>
      </c>
      <c r="AI180" s="1769" t="n">
        <v>73.35375743954479</v>
      </c>
      <c r="AJ180" s="1769" t="n">
        <v>105.302779643876</v>
      </c>
      <c r="AK180" s="1769" t="n">
        <v>79.1941440248825</v>
      </c>
      <c r="AL180" s="1769" t="n">
        <v>424.554341112708</v>
      </c>
      <c r="AM180" s="1769" t="n">
        <v>103.209970739065</v>
      </c>
      <c r="AN180" s="1769" t="n">
        <v>148.996624789651</v>
      </c>
      <c r="AO180" s="1769" t="n">
        <v>131.266292297668</v>
      </c>
      <c r="AP180" s="1769" t="n">
        <v>149.367869949569</v>
      </c>
      <c r="AQ180" s="1769" t="n">
        <v>429.31425999485</v>
      </c>
      <c r="AR180" s="1769" t="n">
        <v>141.532825976302</v>
      </c>
      <c r="AS180" s="1769" t="n">
        <v>151.883699391167</v>
      </c>
      <c r="AT180" s="1769" t="n">
        <v>127.404105968237</v>
      </c>
      <c r="AU180" s="1769" t="n">
        <v>135.58768991955</v>
      </c>
      <c r="AV180" s="1769" t="n">
        <v>624.6201585978509</v>
      </c>
      <c r="AW180" s="1771" t="n">
        <v>151.256029253386</v>
      </c>
      <c r="AX180" s="1772" t="n">
        <v>166.168379940632</v>
      </c>
      <c r="AY180" s="1772" t="n">
        <v>126.690979385568</v>
      </c>
      <c r="AZ180" s="1772" t="n">
        <v>117.453248380854</v>
      </c>
      <c r="BA180" s="1773">
        <f t="array" ref="BA180">AZ180+AY180+AX180+AW180</f>
        <v/>
      </c>
      <c r="BB180" s="1771" t="n">
        <v>141.259246761987</v>
      </c>
      <c r="BC180" s="1772" t="n">
        <v>143.646210248502</v>
      </c>
      <c r="BD180" s="1922">
        <f t="array" ref="BD180">BC180*(1+BD181)</f>
        <v/>
      </c>
      <c r="BE180" s="1922">
        <f t="array" ref="BE180">BD180*(1+BE181)</f>
        <v/>
      </c>
      <c r="BF180" s="1773">
        <f t="array" ref="BF180">BE180+BD180+BC180+BB180</f>
        <v/>
      </c>
      <c r="BG180" s="1770">
        <f t="array" ref="BG180">BE180*(1+BG181)</f>
        <v/>
      </c>
      <c r="BH180" s="1770">
        <f t="array" ref="BH180">BG180*(1+BH181)</f>
        <v/>
      </c>
      <c r="BI180" s="1770">
        <f t="array" ref="BI180">BH180*(1+BI181)</f>
        <v/>
      </c>
      <c r="BJ180" s="1770">
        <f t="array" ref="BJ180">BI180*(1+BJ181)</f>
        <v/>
      </c>
      <c r="BK180" s="1770">
        <f t="array" ref="BK180">BJ180+BI180+BH180+BG180</f>
        <v/>
      </c>
      <c r="BL180" s="1770">
        <f t="array" ref="BL180">BJ180*(1+BL181)</f>
        <v/>
      </c>
      <c r="BM180" s="1770">
        <f t="array" ref="BM180">BL180*(1+BM181)</f>
        <v/>
      </c>
      <c r="BN180" s="1770">
        <f t="array" ref="BN180">BM180*(1+BN181)</f>
        <v/>
      </c>
      <c r="BO180" s="1770">
        <f t="array" ref="BO180">BN180*(1+BO181)</f>
        <v/>
      </c>
      <c r="BP180" s="1770">
        <f t="array" ref="BP180">BO180+BN180+BM180+BL180</f>
        <v/>
      </c>
      <c r="BQ180" s="1770">
        <f t="array" ref="BQ180">BO180*(1+BQ181)</f>
        <v/>
      </c>
      <c r="BR180" s="1770">
        <f t="array" ref="BR180">BQ180*(1+BR181)</f>
        <v/>
      </c>
      <c r="BS180" s="1770">
        <f t="array" ref="BS180">BR180*(1+BS181)</f>
        <v/>
      </c>
      <c r="BT180" s="1770">
        <f t="array" ref="BT180">BS180*(1+BT181)</f>
        <v/>
      </c>
      <c r="BU180" s="1770">
        <f t="array" ref="BU180">BT180+BS180+BR180+BQ180</f>
        <v/>
      </c>
      <c r="BV180" s="1770">
        <f t="array" ref="BV180">BT180*(1+BV181)</f>
        <v/>
      </c>
      <c r="BW180" s="1770">
        <f t="array" ref="BW180">BV180*(1+BW181)</f>
        <v/>
      </c>
      <c r="BX180" s="1770">
        <f t="array" ref="BX180">BW180*(1+BX181)</f>
        <v/>
      </c>
      <c r="BY180" s="1770">
        <f t="array" ref="BY180">BX180*(1+BY181)</f>
        <v/>
      </c>
      <c r="BZ180" s="1770">
        <f t="array" ref="BZ180">BY180+BX180+BW180+BV180</f>
        <v/>
      </c>
      <c r="CA180" s="453" t="inlineStr">
        <is>
          <t>Text_157</t>
        </is>
      </c>
      <c r="CB180" s="456" t="n"/>
      <c r="CC180" s="701" t="n"/>
      <c r="CD180" s="701" t="n"/>
      <c r="CE180" s="701" t="n"/>
      <c r="CF180" s="701" t="n"/>
      <c r="CG180" s="701" t="n"/>
      <c r="CH180" s="701" t="n"/>
      <c r="CI180" s="701" t="n"/>
      <c r="CJ180" s="701" t="n"/>
      <c r="CK180" s="701" t="n"/>
      <c r="CL180" s="701" t="n"/>
      <c r="CM180" s="701" t="n"/>
      <c r="CN180" s="701" t="n"/>
      <c r="CO180" s="701" t="n"/>
      <c r="CP180" s="701" t="n"/>
      <c r="CQ180" s="701" t="n"/>
      <c r="CR180" s="701" t="n"/>
      <c r="CS180" s="701" t="n"/>
      <c r="CT180" s="701" t="n"/>
      <c r="CU180" s="701" t="n"/>
      <c r="CV180" s="701" t="n"/>
      <c r="CW180" s="30" t="n"/>
    </row>
    <row r="181" ht="12.75" customHeight="1" s="1676">
      <c r="A181" s="31" t="n"/>
      <c r="B181" s="103" t="inlineStr">
        <is>
          <t>Text_49</t>
        </is>
      </c>
      <c r="C181" s="699" t="n"/>
      <c r="D181" s="1713" t="n"/>
      <c r="E181" s="1713" t="n"/>
      <c r="F181" s="1713" t="n"/>
      <c r="G181" s="1713" t="n"/>
      <c r="H181" s="1714" t="n"/>
      <c r="I181" s="1761" t="n"/>
      <c r="J181" s="1761" t="n"/>
      <c r="K181" s="1761" t="n"/>
      <c r="L181" s="1761" t="n"/>
      <c r="M181" s="1761" t="n"/>
      <c r="N181" s="1761" t="n"/>
      <c r="O181" s="1761" t="n"/>
      <c r="P181" s="1761" t="n"/>
      <c r="Q181" s="1761" t="n"/>
      <c r="R181" s="1761" t="n"/>
      <c r="S181" s="1761" t="n"/>
      <c r="T181" s="1761" t="n"/>
      <c r="U181" s="1761" t="n"/>
      <c r="V181" s="1761" t="n"/>
      <c r="W181" s="1761" t="n"/>
      <c r="X181" s="1761" t="n"/>
      <c r="Y181" s="1761" t="n"/>
      <c r="Z181" s="1761" t="n"/>
      <c r="AA181" s="1761" t="n"/>
      <c r="AB181" s="1761" t="n"/>
      <c r="AC181" s="1761" t="n"/>
      <c r="AD181" s="1761" t="n"/>
      <c r="AE181" s="1761" t="n"/>
      <c r="AF181" s="1761" t="n"/>
      <c r="AG181" s="1761" t="n"/>
      <c r="AH181" s="1761" t="n"/>
      <c r="AI181" s="1761" t="n"/>
      <c r="AJ181" s="1761" t="n"/>
      <c r="AK181" s="1761" t="n"/>
      <c r="AL181" s="1761" t="n"/>
      <c r="AM181" s="1790">
        <f t="array" ref="AM181">AM180/AK180-1</f>
        <v/>
      </c>
      <c r="AN181" s="1790">
        <f t="array" ref="AN181">AN180/AM180-1</f>
        <v/>
      </c>
      <c r="AO181" s="1790">
        <f t="array" ref="AO181">AO180/AN180-1</f>
        <v/>
      </c>
      <c r="AP181" s="1790">
        <f t="array" ref="AP181">AP180/AO180-1</f>
        <v/>
      </c>
      <c r="AQ181" s="1761" t="n"/>
      <c r="AR181" s="1790">
        <f t="array" ref="AR181">AR180/AP180-1</f>
        <v/>
      </c>
      <c r="AS181" s="1790">
        <f t="array" ref="AS181">AS180/AR180-1</f>
        <v/>
      </c>
      <c r="AT181" s="1790">
        <f t="array" ref="AT181">AT180/AS180-1</f>
        <v/>
      </c>
      <c r="AU181" s="1790">
        <f t="array" ref="AU181">AU180/AT180-1</f>
        <v/>
      </c>
      <c r="AV181" s="1761" t="n"/>
      <c r="AW181" s="1791">
        <f t="array" ref="AW181">AW180/AU180-1</f>
        <v/>
      </c>
      <c r="AX181" s="1792">
        <f t="array" ref="AX181">AX180/AW180-1</f>
        <v/>
      </c>
      <c r="AY181" s="1792">
        <f t="array" ref="AY181">AY180/AX180-1</f>
        <v/>
      </c>
      <c r="AZ181" s="1792">
        <f t="array" ref="AZ181">AZ180/AY180-1</f>
        <v/>
      </c>
      <c r="BA181" s="1718" t="n"/>
      <c r="BB181" s="1791">
        <f t="array" ref="BB181">BB180/AZ180-1</f>
        <v/>
      </c>
      <c r="BC181" s="1792">
        <f t="array" ref="BC181">BC180/BB180-1</f>
        <v/>
      </c>
      <c r="BD181" s="1804" t="n">
        <v>0.009480632150841861</v>
      </c>
      <c r="BE181" s="1804" t="n">
        <v>0</v>
      </c>
      <c r="BF181" s="1795" t="n"/>
      <c r="BG181" s="1856" t="n">
        <v>0</v>
      </c>
      <c r="BH181" s="1856" t="n">
        <v>0.00972841082727465</v>
      </c>
      <c r="BI181" s="1856" t="n">
        <v>0.00964481033473321</v>
      </c>
      <c r="BJ181" s="1856" t="n">
        <v>0.00938945758618182</v>
      </c>
      <c r="BK181" s="1797" t="n"/>
      <c r="BL181" s="1856" t="n">
        <v>0.00935716524631122</v>
      </c>
      <c r="BM181" s="1856" t="n">
        <v>0.010650296519648</v>
      </c>
      <c r="BN181" s="1856" t="n">
        <v>0.009903697511647821</v>
      </c>
      <c r="BO181" s="1856">
        <f t="array" ref="BO181">BN181</f>
        <v/>
      </c>
      <c r="BP181" s="1797" t="n"/>
      <c r="BQ181" s="1856" t="n">
        <v>0.0246144221571989</v>
      </c>
      <c r="BR181" s="1856">
        <f t="array" ref="BR181">BQ181</f>
        <v/>
      </c>
      <c r="BS181" s="1856">
        <f t="array" ref="BS181">BR181</f>
        <v/>
      </c>
      <c r="BT181" s="1856">
        <f t="array" ref="BT181">BS181</f>
        <v/>
      </c>
      <c r="BU181" s="1797" t="n"/>
      <c r="BV181" s="1856" t="n">
        <v>0.0255988242756436</v>
      </c>
      <c r="BW181" s="1856">
        <f t="array" ref="BW181">BV181</f>
        <v/>
      </c>
      <c r="BX181" s="1856">
        <f t="array" ref="BX181">BW181</f>
        <v/>
      </c>
      <c r="BY181" s="1856">
        <f t="array" ref="BY181">BX181</f>
        <v/>
      </c>
      <c r="BZ181" s="1797" t="n"/>
      <c r="CA181" s="1686" t="n"/>
      <c r="CB181" s="456" t="n"/>
      <c r="CC181" s="701" t="n"/>
      <c r="CD181" s="701" t="n"/>
      <c r="CE181" s="701" t="n"/>
      <c r="CF181" s="701" t="n"/>
      <c r="CG181" s="701" t="n"/>
      <c r="CH181" s="701" t="n"/>
      <c r="CI181" s="701" t="n"/>
      <c r="CJ181" s="701" t="n"/>
      <c r="CK181" s="701" t="n"/>
      <c r="CL181" s="701" t="n"/>
      <c r="CM181" s="701" t="n"/>
      <c r="CN181" s="701" t="n"/>
      <c r="CO181" s="701" t="n"/>
      <c r="CP181" s="701" t="n"/>
      <c r="CQ181" s="701" t="n"/>
      <c r="CR181" s="701" t="n"/>
      <c r="CS181" s="701" t="n"/>
      <c r="CT181" s="701" t="n"/>
      <c r="CU181" s="701" t="n"/>
      <c r="CV181" s="701" t="n"/>
      <c r="CW181" s="30" t="n"/>
    </row>
    <row r="182" ht="12.75" customHeight="1" s="1676">
      <c r="A182" s="31" t="n"/>
      <c r="B182" s="103" t="inlineStr">
        <is>
          <t>Text_24</t>
        </is>
      </c>
      <c r="C182" s="699" t="n"/>
      <c r="D182" s="1713" t="n"/>
      <c r="E182" s="1713" t="n"/>
      <c r="F182" s="1713" t="n"/>
      <c r="G182" s="1713" t="n"/>
      <c r="H182" s="1714" t="n"/>
      <c r="I182" s="1719" t="n"/>
      <c r="J182" s="1719" t="n"/>
      <c r="K182" s="1719" t="n"/>
      <c r="L182" s="1719" t="n"/>
      <c r="M182" s="1720" t="n"/>
      <c r="N182" s="1720">
        <f t="array" ref="N182">N180/I180-1</f>
        <v/>
      </c>
      <c r="O182" s="1720">
        <f t="array" ref="O182">O180/J180-1</f>
        <v/>
      </c>
      <c r="P182" s="1720">
        <f t="array" ref="P182">P180/K180-1</f>
        <v/>
      </c>
      <c r="Q182" s="1720">
        <f t="array" ref="Q182">Q180/L180-1</f>
        <v/>
      </c>
      <c r="R182" s="1720">
        <f t="array" ref="R182">R180/M180-1</f>
        <v/>
      </c>
      <c r="S182" s="1720">
        <f t="array" ref="S182">S180/N180-1</f>
        <v/>
      </c>
      <c r="T182" s="1720">
        <f t="array" ref="T182">T180/O180-1</f>
        <v/>
      </c>
      <c r="U182" s="1720">
        <f t="array" ref="U182">U180/P180-1</f>
        <v/>
      </c>
      <c r="V182" s="1720">
        <f t="array" ref="V182">V180/Q180-1</f>
        <v/>
      </c>
      <c r="W182" s="1720">
        <f t="array" ref="W182">W180/R180-1</f>
        <v/>
      </c>
      <c r="X182" s="1720">
        <f t="array" ref="X182">X180/S180-1</f>
        <v/>
      </c>
      <c r="Y182" s="1720">
        <f t="array" ref="Y182">Y180/T180-1</f>
        <v/>
      </c>
      <c r="Z182" s="1720">
        <f t="array" ref="Z182">Z180/U180-1</f>
        <v/>
      </c>
      <c r="AA182" s="1720">
        <f t="array" ref="AA182">AA180/V180-1</f>
        <v/>
      </c>
      <c r="AB182" s="1720">
        <f t="array" ref="AB182">AB180/W180-1</f>
        <v/>
      </c>
      <c r="AC182" s="1720">
        <f t="array" ref="AC182">AC180/X180-1</f>
        <v/>
      </c>
      <c r="AD182" s="1720">
        <f t="array" ref="AD182">AD180/Y180-1</f>
        <v/>
      </c>
      <c r="AE182" s="1720">
        <f t="array" ref="AE182">AE180/Z180-1</f>
        <v/>
      </c>
      <c r="AF182" s="1720">
        <f t="array" ref="AF182">AF180/AA180-1</f>
        <v/>
      </c>
      <c r="AG182" s="1720">
        <f t="array" ref="AG182">AG180/AB180-1</f>
        <v/>
      </c>
      <c r="AH182" s="1720">
        <f t="array" ref="AH182">AH180/AC180-1</f>
        <v/>
      </c>
      <c r="AI182" s="1720">
        <f t="array" ref="AI182">AI180/AD180-1</f>
        <v/>
      </c>
      <c r="AJ182" s="1720">
        <f t="array" ref="AJ182">AJ180/AE180-1</f>
        <v/>
      </c>
      <c r="AK182" s="1720">
        <f t="array" ref="AK182">AK180/AF180-1</f>
        <v/>
      </c>
      <c r="AL182" s="1720">
        <f t="array" ref="AL182">AL180/AG180-1</f>
        <v/>
      </c>
      <c r="AM182" s="1720">
        <f t="array" ref="AM182">AM180/AH180-1</f>
        <v/>
      </c>
      <c r="AN182" s="1720">
        <f t="array" ref="AN182">AN180/AI180-1</f>
        <v/>
      </c>
      <c r="AO182" s="1720">
        <f t="array" ref="AO182">AO180/AJ180-1</f>
        <v/>
      </c>
      <c r="AP182" s="1720">
        <f t="array" ref="AP182">AP180/AK180-1</f>
        <v/>
      </c>
      <c r="AQ182" s="1720">
        <f t="array" ref="AQ182">AQ180/AL180-1</f>
        <v/>
      </c>
      <c r="AR182" s="1720">
        <f t="array" ref="AR182">AR180/AM180-1</f>
        <v/>
      </c>
      <c r="AS182" s="1720">
        <f t="array" ref="AS182">AS180/AN180-1</f>
        <v/>
      </c>
      <c r="AT182" s="1720">
        <f t="array" ref="AT182">AT180/AO180-1</f>
        <v/>
      </c>
      <c r="AU182" s="1720">
        <f t="array" ref="AU182">AU180/AP180-1</f>
        <v/>
      </c>
      <c r="AV182" s="1720">
        <f t="array" ref="AV182">AV180/AQ180-1</f>
        <v/>
      </c>
      <c r="AW182" s="1721">
        <f t="array" ref="AW182">AW180/AR180-1</f>
        <v/>
      </c>
      <c r="AX182" s="1722">
        <f t="array" ref="AX182">AX180/AS180-1</f>
        <v/>
      </c>
      <c r="AY182" s="1722">
        <f t="array" ref="AY182">AY180/AT180-1</f>
        <v/>
      </c>
      <c r="AZ182" s="1722">
        <f t="array" ref="AZ182">AZ180/AU180-1</f>
        <v/>
      </c>
      <c r="BA182" s="1723">
        <f t="array" ref="BA182">BA180/AV180-1</f>
        <v/>
      </c>
      <c r="BB182" s="1721">
        <f t="array" ref="BB182">BB180/AW180-1</f>
        <v/>
      </c>
      <c r="BC182" s="1722">
        <f t="array" ref="BC182">BC180/AX180-1</f>
        <v/>
      </c>
      <c r="BD182" s="1722">
        <f t="array" ref="BD182">BD180/AY180-1</f>
        <v/>
      </c>
      <c r="BE182" s="1722">
        <f t="array" ref="BE182">BE180/AZ180-1</f>
        <v/>
      </c>
      <c r="BF182" s="1723">
        <f t="array" ref="BF182">BF180/BA180-1</f>
        <v/>
      </c>
      <c r="BG182" s="1720">
        <f t="array" ref="BG182">BG180/BB180-1</f>
        <v/>
      </c>
      <c r="BH182" s="1720">
        <f t="array" ref="BH182">BH180/BC180-1</f>
        <v/>
      </c>
      <c r="BI182" s="1720">
        <f t="array" ref="BI182">BI180/BD180-1</f>
        <v/>
      </c>
      <c r="BJ182" s="1720">
        <f t="array" ref="BJ182">BJ180/BE180-1</f>
        <v/>
      </c>
      <c r="BK182" s="1720">
        <f t="array" ref="BK182">BK180/BF180-1</f>
        <v/>
      </c>
      <c r="BL182" s="1720">
        <f t="array" ref="BL182">BL180/BG180-1</f>
        <v/>
      </c>
      <c r="BM182" s="1720">
        <f t="array" ref="BM182">BM180/BH180-1</f>
        <v/>
      </c>
      <c r="BN182" s="1720">
        <f t="array" ref="BN182">BN180/BI180-1</f>
        <v/>
      </c>
      <c r="BO182" s="1720">
        <f t="array" ref="BO182">BO180/BJ180-1</f>
        <v/>
      </c>
      <c r="BP182" s="1720">
        <f t="array" ref="BP182">BP180/BK180-1</f>
        <v/>
      </c>
      <c r="BQ182" s="1720">
        <f t="array" ref="BQ182">BQ180/BL180-1</f>
        <v/>
      </c>
      <c r="BR182" s="1720">
        <f t="array" ref="BR182">BR180/BM180-1</f>
        <v/>
      </c>
      <c r="BS182" s="1720">
        <f t="array" ref="BS182">BS180/BN180-1</f>
        <v/>
      </c>
      <c r="BT182" s="1720">
        <f t="array" ref="BT182">BT180/BO180-1</f>
        <v/>
      </c>
      <c r="BU182" s="1720">
        <f t="array" ref="BU182">BU180/BP180-1</f>
        <v/>
      </c>
      <c r="BV182" s="1720">
        <f t="array" ref="BV182">BV180/BQ180-1</f>
        <v/>
      </c>
      <c r="BW182" s="1720">
        <f t="array" ref="BW182">BW180/BR180-1</f>
        <v/>
      </c>
      <c r="BX182" s="1720">
        <f t="array" ref="BX182">BX180/BS180-1</f>
        <v/>
      </c>
      <c r="BY182" s="1720">
        <f t="array" ref="BY182">BY180/BT180-1</f>
        <v/>
      </c>
      <c r="BZ182" s="1720">
        <f t="array" ref="BZ182">BZ180/BU180-1</f>
        <v/>
      </c>
      <c r="CA182" s="1686" t="n"/>
      <c r="CB182" s="98" t="n"/>
      <c r="CC182" s="701" t="n"/>
      <c r="CD182" s="701" t="n"/>
      <c r="CE182" s="701" t="n"/>
      <c r="CF182" s="701" t="n"/>
      <c r="CG182" s="701" t="n"/>
      <c r="CH182" s="701" t="n"/>
      <c r="CI182" s="701" t="n"/>
      <c r="CJ182" s="701" t="n"/>
      <c r="CK182" s="701" t="n"/>
      <c r="CL182" s="701" t="n"/>
      <c r="CM182" s="701" t="n"/>
      <c r="CN182" s="701" t="n"/>
      <c r="CO182" s="701" t="n"/>
      <c r="CP182" s="701" t="n"/>
      <c r="CQ182" s="701" t="n"/>
      <c r="CR182" s="701" t="n"/>
      <c r="CS182" s="701" t="n"/>
      <c r="CT182" s="701" t="n"/>
      <c r="CU182" s="701" t="n"/>
      <c r="CV182" s="701" t="n"/>
      <c r="CW182" s="30" t="n"/>
    </row>
    <row r="183" ht="12.75" customHeight="1" s="1676">
      <c r="A183" s="31" t="n"/>
      <c r="B183" s="454" t="inlineStr">
        <is>
          <t>Text_158</t>
        </is>
      </c>
      <c r="C183" s="699" t="n"/>
      <c r="D183" s="699" t="n"/>
      <c r="E183" s="699" t="n"/>
      <c r="F183" s="699" t="n"/>
      <c r="G183" s="699" t="n"/>
      <c r="H183" s="699" t="n"/>
      <c r="I183" s="699" t="n"/>
      <c r="J183" s="699" t="n"/>
      <c r="K183" s="699" t="n"/>
      <c r="L183" s="699" t="n"/>
      <c r="M183" s="699" t="n"/>
      <c r="N183" s="699" t="n"/>
      <c r="O183" s="699" t="n"/>
      <c r="P183" s="699" t="n"/>
      <c r="Q183" s="699" t="n"/>
      <c r="R183" s="699" t="n"/>
      <c r="S183" s="699" t="n"/>
      <c r="T183" s="699" t="n"/>
      <c r="U183" s="699" t="n"/>
      <c r="V183" s="699" t="n"/>
      <c r="W183" s="699" t="n"/>
      <c r="X183" s="699" t="n"/>
      <c r="Y183" s="699" t="n"/>
      <c r="Z183" s="699" t="n"/>
      <c r="AA183" s="699" t="n"/>
      <c r="AB183" s="699" t="n"/>
      <c r="AC183" s="699" t="n"/>
      <c r="AD183" s="699" t="n"/>
      <c r="AE183" s="1917" t="n"/>
      <c r="AF183" s="1917" t="n"/>
      <c r="AG183" s="699" t="n"/>
      <c r="AH183" s="699" t="n"/>
      <c r="AI183" s="699" t="n"/>
      <c r="AJ183" s="1917" t="n"/>
      <c r="AK183" s="1917" t="n"/>
      <c r="AL183" s="699" t="n"/>
      <c r="AM183" s="1882" t="n"/>
      <c r="AN183" s="1882" t="n"/>
      <c r="AO183" s="1882" t="n"/>
      <c r="AP183" s="1917" t="n"/>
      <c r="AQ183" s="699" t="n"/>
      <c r="AR183" s="699" t="n"/>
      <c r="AS183" s="699" t="n"/>
      <c r="AT183" s="699" t="n"/>
      <c r="AU183" s="699" t="n"/>
      <c r="AV183" s="699" t="n"/>
      <c r="AW183" s="456" t="n"/>
      <c r="AX183" s="1914" t="n"/>
      <c r="AY183" s="1914" t="n"/>
      <c r="AZ183" s="1914" t="n"/>
      <c r="BA183" s="381" t="n"/>
      <c r="BB183" s="435" t="n"/>
      <c r="BC183" s="436" t="n"/>
      <c r="BD183" s="436" t="n"/>
      <c r="BE183" s="436" t="n"/>
      <c r="BF183" s="1915" t="n">
        <v>483.135696777011</v>
      </c>
      <c r="BG183" s="400" t="n"/>
      <c r="BH183" s="400" t="n"/>
      <c r="BI183" s="400" t="n"/>
      <c r="BJ183" s="400" t="n"/>
      <c r="BK183" s="1916" t="n">
        <v>700.084788175068</v>
      </c>
      <c r="BL183" s="400" t="n"/>
      <c r="BM183" s="400" t="n"/>
      <c r="BN183" s="400" t="n"/>
      <c r="BO183" s="400" t="n"/>
      <c r="BP183" s="1916" t="n">
        <v>676.524569500096</v>
      </c>
      <c r="BQ183" s="400" t="n"/>
      <c r="BR183" s="400" t="n"/>
      <c r="BS183" s="400" t="n"/>
      <c r="BT183" s="400" t="n"/>
      <c r="BU183" s="1916" t="n"/>
      <c r="BV183" s="400" t="n"/>
      <c r="BW183" s="400" t="n"/>
      <c r="BX183" s="400" t="n"/>
      <c r="BY183" s="400" t="n"/>
      <c r="BZ183" s="1916" t="n"/>
      <c r="CA183" s="1686" t="n"/>
      <c r="CB183" s="456" t="n"/>
      <c r="CC183" s="701" t="n"/>
      <c r="CD183" s="701" t="n"/>
      <c r="CE183" s="701" t="n"/>
      <c r="CF183" s="701" t="n"/>
      <c r="CG183" s="701" t="n"/>
      <c r="CH183" s="701" t="n"/>
      <c r="CI183" s="701" t="n"/>
      <c r="CJ183" s="701" t="n"/>
      <c r="CK183" s="701" t="n"/>
      <c r="CL183" s="701" t="n"/>
      <c r="CM183" s="701" t="n"/>
      <c r="CN183" s="701" t="n"/>
      <c r="CO183" s="701" t="n"/>
      <c r="CP183" s="701" t="n"/>
      <c r="CQ183" s="701" t="n"/>
      <c r="CR183" s="701" t="n"/>
      <c r="CS183" s="701" t="n"/>
      <c r="CT183" s="701" t="n"/>
      <c r="CU183" s="701" t="n"/>
      <c r="CV183" s="701" t="n"/>
      <c r="CW183" s="30" t="n"/>
    </row>
    <row r="184" ht="12.75" customHeight="1" s="1676">
      <c r="A184" s="31" t="n"/>
      <c r="B184" s="388" t="inlineStr">
        <is>
          <t>Text_145</t>
        </is>
      </c>
      <c r="C184" s="699" t="n"/>
      <c r="D184" s="699" t="n"/>
      <c r="E184" s="699" t="n"/>
      <c r="F184" s="699" t="n"/>
      <c r="G184" s="699" t="n"/>
      <c r="H184" s="699" t="n"/>
      <c r="I184" s="699" t="n"/>
      <c r="J184" s="699" t="n"/>
      <c r="K184" s="699" t="n"/>
      <c r="L184" s="699" t="n"/>
      <c r="M184" s="699" t="n"/>
      <c r="N184" s="699" t="n"/>
      <c r="O184" s="699" t="n"/>
      <c r="P184" s="699" t="n"/>
      <c r="Q184" s="699" t="n"/>
      <c r="R184" s="699" t="n"/>
      <c r="S184" s="699" t="n"/>
      <c r="T184" s="699" t="n"/>
      <c r="U184" s="699" t="n"/>
      <c r="V184" s="699" t="n"/>
      <c r="W184" s="699" t="n"/>
      <c r="X184" s="699" t="n"/>
      <c r="Y184" s="699" t="n"/>
      <c r="Z184" s="699" t="n"/>
      <c r="AA184" s="699" t="n"/>
      <c r="AB184" s="699" t="n"/>
      <c r="AC184" s="699" t="n"/>
      <c r="AD184" s="699" t="n"/>
      <c r="AE184" s="1917" t="n"/>
      <c r="AF184" s="1917" t="n"/>
      <c r="AG184" s="699" t="n"/>
      <c r="AH184" s="699" t="n"/>
      <c r="AI184" s="699" t="n"/>
      <c r="AJ184" s="1917" t="n"/>
      <c r="AK184" s="1917" t="n"/>
      <c r="AL184" s="699" t="n"/>
      <c r="AM184" s="1882" t="n"/>
      <c r="AN184" s="1882" t="n"/>
      <c r="AO184" s="1882" t="n"/>
      <c r="AP184" s="1917" t="n"/>
      <c r="AQ184" s="699" t="n"/>
      <c r="AR184" s="699" t="n"/>
      <c r="AS184" s="699" t="n"/>
      <c r="AT184" s="699" t="n"/>
      <c r="AU184" s="699" t="n"/>
      <c r="AV184" s="699" t="n"/>
      <c r="AW184" s="456" t="n"/>
      <c r="AX184" s="1918" t="n"/>
      <c r="AY184" s="1918" t="n"/>
      <c r="AZ184" s="1918" t="n"/>
      <c r="BA184" s="381" t="n"/>
      <c r="BB184" s="435" t="n"/>
      <c r="BC184" s="436" t="n"/>
      <c r="BD184" s="436" t="n"/>
      <c r="BE184" s="436" t="n"/>
      <c r="BF184" s="1919">
        <f t="array" ref="BF184">BF180/BF183-1</f>
        <v/>
      </c>
      <c r="BG184" s="400" t="n"/>
      <c r="BH184" s="400" t="n"/>
      <c r="BI184" s="400" t="n"/>
      <c r="BJ184" s="400" t="n"/>
      <c r="BK184" s="1920">
        <f t="array" ref="BK184">BK180/BK183-1</f>
        <v/>
      </c>
      <c r="BL184" s="400" t="n"/>
      <c r="BM184" s="400" t="n"/>
      <c r="BN184" s="400" t="n"/>
      <c r="BO184" s="400" t="n"/>
      <c r="BP184" s="1920">
        <f t="array" ref="BP184">BP180/BP183-1</f>
        <v/>
      </c>
      <c r="BQ184" s="400" t="n"/>
      <c r="BR184" s="400" t="n"/>
      <c r="BS184" s="400" t="n"/>
      <c r="BT184" s="400" t="n"/>
      <c r="BU184" s="1920" t="n"/>
      <c r="BV184" s="400" t="n"/>
      <c r="BW184" s="400" t="n"/>
      <c r="BX184" s="400" t="n"/>
      <c r="BY184" s="400" t="n"/>
      <c r="BZ184" s="1920" t="n"/>
      <c r="CA184" s="1686" t="n"/>
      <c r="CB184" s="456" t="n"/>
      <c r="CC184" s="701" t="n"/>
      <c r="CD184" s="701" t="n"/>
      <c r="CE184" s="701" t="n"/>
      <c r="CF184" s="701" t="n"/>
      <c r="CG184" s="701" t="n"/>
      <c r="CH184" s="701" t="n"/>
      <c r="CI184" s="701" t="n"/>
      <c r="CJ184" s="701" t="n"/>
      <c r="CK184" s="701" t="n"/>
      <c r="CL184" s="701" t="n"/>
      <c r="CM184" s="701" t="n"/>
      <c r="CN184" s="701" t="n"/>
      <c r="CO184" s="701" t="n"/>
      <c r="CP184" s="701" t="n"/>
      <c r="CQ184" s="701" t="n"/>
      <c r="CR184" s="701" t="n"/>
      <c r="CS184" s="701" t="n"/>
      <c r="CT184" s="701" t="n"/>
      <c r="CU184" s="701" t="n"/>
      <c r="CV184" s="701" t="n"/>
      <c r="CW184" s="30" t="n"/>
    </row>
    <row r="185" ht="12.75" customHeight="1" s="1676">
      <c r="A185" s="31" t="n"/>
      <c r="B185" s="196" t="inlineStr">
        <is>
          <t>Text_146</t>
        </is>
      </c>
      <c r="C185" s="805" t="n"/>
      <c r="D185" s="1726" t="n"/>
      <c r="E185" s="1726" t="n"/>
      <c r="F185" s="1726" t="n"/>
      <c r="G185" s="1726" t="n"/>
      <c r="H185" s="1727" t="n"/>
      <c r="I185" s="197">
        <f t="array" ref="I185">I180/I$192</f>
        <v/>
      </c>
      <c r="J185" s="197">
        <f t="array" ref="J185">J180/J$192</f>
        <v/>
      </c>
      <c r="K185" s="197">
        <f t="array" ref="K185">K180/K$192</f>
        <v/>
      </c>
      <c r="L185" s="197">
        <f t="array" ref="L185">L180/L$192</f>
        <v/>
      </c>
      <c r="M185" s="197">
        <f t="array" ref="M185">M180/M$192</f>
        <v/>
      </c>
      <c r="N185" s="197">
        <f t="array" ref="N185">N180/N$192</f>
        <v/>
      </c>
      <c r="O185" s="197">
        <f t="array" ref="O185">O180/O$192</f>
        <v/>
      </c>
      <c r="P185" s="197">
        <f t="array" ref="P185">P180/P$192</f>
        <v/>
      </c>
      <c r="Q185" s="197">
        <f t="array" ref="Q185">Q180/Q$192</f>
        <v/>
      </c>
      <c r="R185" s="197">
        <f t="array" ref="R185">R180/R$192</f>
        <v/>
      </c>
      <c r="S185" s="197">
        <f t="array" ref="S185">S180/S$192</f>
        <v/>
      </c>
      <c r="T185" s="197">
        <f t="array" ref="T185">T180/T$192</f>
        <v/>
      </c>
      <c r="U185" s="197">
        <f t="array" ref="U185">U180/U$192</f>
        <v/>
      </c>
      <c r="V185" s="197">
        <f t="array" ref="V185">V180/V$192</f>
        <v/>
      </c>
      <c r="W185" s="197">
        <f t="array" ref="W185">W180/W$192</f>
        <v/>
      </c>
      <c r="X185" s="197">
        <f t="array" ref="X185">X180/X$192</f>
        <v/>
      </c>
      <c r="Y185" s="197">
        <f t="array" ref="Y185">Y180/Y$192</f>
        <v/>
      </c>
      <c r="Z185" s="197">
        <f t="array" ref="Z185">Z180/Z$192</f>
        <v/>
      </c>
      <c r="AA185" s="197">
        <f t="array" ref="AA185">AA180/AA$192</f>
        <v/>
      </c>
      <c r="AB185" s="197">
        <f t="array" ref="AB185">AB180/AB$192</f>
        <v/>
      </c>
      <c r="AC185" s="197">
        <f t="array" ref="AC185">AC180/AC$192</f>
        <v/>
      </c>
      <c r="AD185" s="197">
        <f t="array" ref="AD185">AD180/AD$192</f>
        <v/>
      </c>
      <c r="AE185" s="197">
        <f t="array" ref="AE185">AE180/AE$192</f>
        <v/>
      </c>
      <c r="AF185" s="197">
        <f t="array" ref="AF185">AF180/AF$192</f>
        <v/>
      </c>
      <c r="AG185" s="197">
        <f t="array" ref="AG185">AG180/AG$192</f>
        <v/>
      </c>
      <c r="AH185" s="197">
        <f t="array" ref="AH185">AH180/AH$192</f>
        <v/>
      </c>
      <c r="AI185" s="197">
        <f t="array" ref="AI185">AI180/AI$192</f>
        <v/>
      </c>
      <c r="AJ185" s="197">
        <f t="array" ref="AJ185">AJ180/AJ$192</f>
        <v/>
      </c>
      <c r="AK185" s="197">
        <f t="array" ref="AK185">AK180/AK$192</f>
        <v/>
      </c>
      <c r="AL185" s="197">
        <f t="array" ref="AL185">AL180/AL$192</f>
        <v/>
      </c>
      <c r="AM185" s="197">
        <f t="array" ref="AM185">AM180/AM$192</f>
        <v/>
      </c>
      <c r="AN185" s="197">
        <f t="array" ref="AN185">AN180/AN$192</f>
        <v/>
      </c>
      <c r="AO185" s="197">
        <f t="array" ref="AO185">AO180/AO$192</f>
        <v/>
      </c>
      <c r="AP185" s="197">
        <f t="array" ref="AP185">AP180/AP$192</f>
        <v/>
      </c>
      <c r="AQ185" s="197">
        <f t="array" ref="AQ185">AQ180/AQ$192</f>
        <v/>
      </c>
      <c r="AR185" s="197">
        <f t="array" ref="AR185">AR180/AR$192</f>
        <v/>
      </c>
      <c r="AS185" s="197">
        <f t="array" ref="AS185">AS180/AS$192</f>
        <v/>
      </c>
      <c r="AT185" s="197">
        <f t="array" ref="AT185">AT180/AT$192</f>
        <v/>
      </c>
      <c r="AU185" s="197">
        <f t="array" ref="AU185">AU180/AU$192</f>
        <v/>
      </c>
      <c r="AV185" s="197">
        <f t="array" ref="AV185">AV180/AV$192</f>
        <v/>
      </c>
      <c r="AW185" s="198">
        <f t="array" ref="AW185">AW180/AW$192</f>
        <v/>
      </c>
      <c r="AX185" s="199">
        <f t="array" ref="AX185">AX180/AX$192</f>
        <v/>
      </c>
      <c r="AY185" s="199">
        <f t="array" ref="AY185">AY180/AY$192</f>
        <v/>
      </c>
      <c r="AZ185" s="199">
        <f t="array" ref="AZ185">AZ180/AZ$192</f>
        <v/>
      </c>
      <c r="BA185" s="200">
        <f t="array" ref="BA185">BA180/BA$192</f>
        <v/>
      </c>
      <c r="BB185" s="198">
        <f t="array" ref="BB185">BB180/BB$192</f>
        <v/>
      </c>
      <c r="BC185" s="199">
        <f t="array" ref="BC185">BC180/BC$192</f>
        <v/>
      </c>
      <c r="BD185" s="199">
        <f t="array" ref="BD185">BD180/BD$192</f>
        <v/>
      </c>
      <c r="BE185" s="199">
        <f t="array" ref="BE185">BE180/BE$192</f>
        <v/>
      </c>
      <c r="BF185" s="200">
        <f t="array" ref="BF185">BF180/BF$192</f>
        <v/>
      </c>
      <c r="BG185" s="197">
        <f t="array" ref="BG185">BG180/BG$192</f>
        <v/>
      </c>
      <c r="BH185" s="197">
        <f t="array" ref="BH185">BH180/BH$192</f>
        <v/>
      </c>
      <c r="BI185" s="197">
        <f t="array" ref="BI185">BI180/BI$192</f>
        <v/>
      </c>
      <c r="BJ185" s="197">
        <f t="array" ref="BJ185">BJ180/BJ$192</f>
        <v/>
      </c>
      <c r="BK185" s="197">
        <f t="array" ref="BK185">BK180/BK$192</f>
        <v/>
      </c>
      <c r="BL185" s="197">
        <f t="array" ref="BL185">BL180/BL$192</f>
        <v/>
      </c>
      <c r="BM185" s="197">
        <f t="array" ref="BM185">BM180/BM$192</f>
        <v/>
      </c>
      <c r="BN185" s="197">
        <f t="array" ref="BN185">BN180/BN$192</f>
        <v/>
      </c>
      <c r="BO185" s="197">
        <f t="array" ref="BO185">BO180/BO$192</f>
        <v/>
      </c>
      <c r="BP185" s="197">
        <f t="array" ref="BP185">BP180/BP$192</f>
        <v/>
      </c>
      <c r="BQ185" s="197">
        <f t="array" ref="BQ185">BQ180/BQ$192</f>
        <v/>
      </c>
      <c r="BR185" s="197">
        <f t="array" ref="BR185">BR180/BR$192</f>
        <v/>
      </c>
      <c r="BS185" s="197">
        <f t="array" ref="BS185">BS180/BS$192</f>
        <v/>
      </c>
      <c r="BT185" s="197">
        <f t="array" ref="BT185">BT180/BT$192</f>
        <v/>
      </c>
      <c r="BU185" s="197">
        <f t="array" ref="BU185">BU180/BU$192</f>
        <v/>
      </c>
      <c r="BV185" s="197">
        <f t="array" ref="BV185">BV180/BV$192</f>
        <v/>
      </c>
      <c r="BW185" s="197">
        <f t="array" ref="BW185">BW180/BW$192</f>
        <v/>
      </c>
      <c r="BX185" s="197">
        <f t="array" ref="BX185">BX180/BX$192</f>
        <v/>
      </c>
      <c r="BY185" s="197">
        <f t="array" ref="BY185">BY180/BY$192</f>
        <v/>
      </c>
      <c r="BZ185" s="197">
        <f t="array" ref="BZ185">BZ180/BZ$192</f>
        <v/>
      </c>
      <c r="CA185" s="1688" t="n"/>
      <c r="CB185" s="98" t="n"/>
      <c r="CC185" s="701" t="n"/>
      <c r="CD185" s="701" t="n"/>
      <c r="CE185" s="701" t="n"/>
      <c r="CF185" s="701" t="n"/>
      <c r="CG185" s="701" t="n"/>
      <c r="CH185" s="701" t="n"/>
      <c r="CI185" s="701" t="n"/>
      <c r="CJ185" s="701" t="n"/>
      <c r="CK185" s="701" t="n"/>
      <c r="CL185" s="701" t="n"/>
      <c r="CM185" s="701" t="n"/>
      <c r="CN185" s="701" t="n"/>
      <c r="CO185" s="701" t="n"/>
      <c r="CP185" s="701" t="n"/>
      <c r="CQ185" s="701" t="n"/>
      <c r="CR185" s="701" t="n"/>
      <c r="CS185" s="701" t="n"/>
      <c r="CT185" s="701" t="n"/>
      <c r="CU185" s="701" t="n"/>
      <c r="CV185" s="701" t="n"/>
      <c r="CW185" s="30" t="n"/>
    </row>
    <row r="186" ht="12.75" customHeight="1" s="1676">
      <c r="A186" s="31" t="n"/>
      <c r="B186" s="201" t="inlineStr">
        <is>
          <t>Text_159</t>
        </is>
      </c>
      <c r="C186" s="33" t="n"/>
      <c r="D186" s="1735" t="n"/>
      <c r="E186" s="1735" t="n"/>
      <c r="F186" s="1735" t="n"/>
      <c r="G186" s="1735" t="n"/>
      <c r="H186" s="1736" t="n"/>
      <c r="I186" s="1769" t="n">
        <v>14.1285971976355</v>
      </c>
      <c r="J186" s="1769" t="n">
        <v>16.2683845564119</v>
      </c>
      <c r="K186" s="1769" t="n">
        <v>33.9275301363125</v>
      </c>
      <c r="L186" s="1769" t="n">
        <v>17.2235726933892</v>
      </c>
      <c r="M186" s="1769" t="n">
        <v>76.79575994195859</v>
      </c>
      <c r="N186" s="1769" t="n">
        <v>16.6422037264938</v>
      </c>
      <c r="O186" s="1769" t="n">
        <v>8.390755439268521</v>
      </c>
      <c r="P186" s="1769" t="n">
        <v>25.8801652577133</v>
      </c>
      <c r="Q186" s="1769" t="n">
        <v>14.8375103271916</v>
      </c>
      <c r="R186" s="1769" t="n">
        <v>81.2060565820867</v>
      </c>
      <c r="S186" s="1769" t="n">
        <v>24.2013425625665</v>
      </c>
      <c r="T186" s="1769" t="n">
        <v>25.8504948476341</v>
      </c>
      <c r="U186" s="1769" t="n">
        <v>22.1066335199232</v>
      </c>
      <c r="V186" s="1769" t="n">
        <v>23.3417289098146</v>
      </c>
      <c r="W186" s="1769" t="n">
        <v>80.5454669636086</v>
      </c>
      <c r="X186" s="1769" t="n">
        <v>20.9747127308769</v>
      </c>
      <c r="Y186" s="1769" t="n">
        <v>22.8351612098346</v>
      </c>
      <c r="Z186" s="1769" t="n">
        <v>109.473378574532</v>
      </c>
      <c r="AA186" s="1769" t="n">
        <v>173.556750389463</v>
      </c>
      <c r="AB186" s="1769" t="n">
        <v>273.949894748967</v>
      </c>
      <c r="AC186" s="1769" t="n">
        <v>212.055685126761</v>
      </c>
      <c r="AD186" s="1769" t="n">
        <v>214.875500346041</v>
      </c>
      <c r="AE186" s="1769" t="n">
        <v>187.857468599851</v>
      </c>
      <c r="AF186" s="1769" t="n">
        <v>242.238926363805</v>
      </c>
      <c r="AG186" s="1769" t="n">
        <v>632.560909175986</v>
      </c>
      <c r="AH186" s="1769" t="n">
        <v>173.657576103491</v>
      </c>
      <c r="AI186" s="1769" t="n">
        <v>197.784454729618</v>
      </c>
      <c r="AJ186" s="1769" t="n">
        <v>221.29152914635</v>
      </c>
      <c r="AK186" s="1769" t="n">
        <v>212.782515028952</v>
      </c>
      <c r="AL186" s="1769" t="n">
        <v>915.28092561195</v>
      </c>
      <c r="AM186" s="1769" t="n">
        <v>180.45373739722</v>
      </c>
      <c r="AN186" s="1769" t="n">
        <v>167.210625512605</v>
      </c>
      <c r="AO186" s="1769" t="n">
        <v>195.380518625175</v>
      </c>
      <c r="AP186" s="1769" t="n">
        <v>258.109538521935</v>
      </c>
      <c r="AQ186" s="1769" t="n">
        <v>858.834328037455</v>
      </c>
      <c r="AR186" s="1769" t="n">
        <v>167.942210069365</v>
      </c>
      <c r="AS186" s="1769" t="n">
        <v>195.620148300719</v>
      </c>
      <c r="AT186" s="1769" t="n">
        <v>119.553901767372</v>
      </c>
      <c r="AU186" s="1769" t="n">
        <v>109.863378400917</v>
      </c>
      <c r="AV186" s="1769" t="n">
        <v>729.817936895026</v>
      </c>
      <c r="AW186" s="1771" t="n">
        <v>160.838278709468</v>
      </c>
      <c r="AX186" s="1772" t="n">
        <v>163.750334941085</v>
      </c>
      <c r="AY186" s="1772" t="n">
        <v>149.466255175364</v>
      </c>
      <c r="AZ186" s="1772" t="n">
        <v>150.835800145765</v>
      </c>
      <c r="BA186" s="1773">
        <f t="array" ref="BA186">AZ186+AY186+AX186+AW186</f>
        <v/>
      </c>
      <c r="BB186" s="1771" t="n">
        <v>140.807326857625</v>
      </c>
      <c r="BC186" s="1772" t="n">
        <v>134.468730914612</v>
      </c>
      <c r="BD186" s="1922">
        <f t="array" ref="BD186">BC186*(1+BD187)</f>
        <v/>
      </c>
      <c r="BE186" s="1922">
        <f t="array" ref="BE186">BD186*(1+BE187)</f>
        <v/>
      </c>
      <c r="BF186" s="1773">
        <f t="array" ref="BF186">BE186+BD186+BC186+BB186</f>
        <v/>
      </c>
      <c r="BG186" s="1770">
        <f t="array" ref="BG186">BE186*(1+BG187)</f>
        <v/>
      </c>
      <c r="BH186" s="1770">
        <f t="array" ref="BH186">BG186*(1+BH187)</f>
        <v/>
      </c>
      <c r="BI186" s="1770">
        <f t="array" ref="BI186">BH186*(1+BI187)</f>
        <v/>
      </c>
      <c r="BJ186" s="1770">
        <f t="array" ref="BJ186">BI186*(1+BJ187)</f>
        <v/>
      </c>
      <c r="BK186" s="1770">
        <f t="array" ref="BK186">BJ186+BI186+BH186+BG186</f>
        <v/>
      </c>
      <c r="BL186" s="1770">
        <f t="array" ref="BL186">BJ186*(1+BL187)</f>
        <v/>
      </c>
      <c r="BM186" s="1770">
        <f t="array" ref="BM186">BL186*(1+BM187)</f>
        <v/>
      </c>
      <c r="BN186" s="1770">
        <f t="array" ref="BN186">BM186*(1+BN187)</f>
        <v/>
      </c>
      <c r="BO186" s="1770">
        <f t="array" ref="BO186">BN186*(1+BO187)</f>
        <v/>
      </c>
      <c r="BP186" s="1770">
        <f t="array" ref="BP186">BO186+BN186+BM186+BL186</f>
        <v/>
      </c>
      <c r="BQ186" s="1770">
        <f t="array" ref="BQ186">BO186*(1+BQ187)</f>
        <v/>
      </c>
      <c r="BR186" s="1770">
        <f t="array" ref="BR186">BQ186*(1+BR187)</f>
        <v/>
      </c>
      <c r="BS186" s="1770">
        <f t="array" ref="BS186">BR186*(1+BS187)</f>
        <v/>
      </c>
      <c r="BT186" s="1770">
        <f t="array" ref="BT186">BS186*(1+BT187)</f>
        <v/>
      </c>
      <c r="BU186" s="1770">
        <f t="array" ref="BU186">BT186+BS186+BR186+BQ186</f>
        <v/>
      </c>
      <c r="BV186" s="1770">
        <f t="array" ref="BV186">BT186*(1+BV187)</f>
        <v/>
      </c>
      <c r="BW186" s="1770">
        <f t="array" ref="BW186">BV186*(1+BW187)</f>
        <v/>
      </c>
      <c r="BX186" s="1770">
        <f t="array" ref="BX186">BW186*(1+BX187)</f>
        <v/>
      </c>
      <c r="BY186" s="1770">
        <f t="array" ref="BY186">BX186*(1+BY187)</f>
        <v/>
      </c>
      <c r="BZ186" s="1770">
        <f t="array" ref="BZ186">BY186+BX186+BW186+BV186</f>
        <v/>
      </c>
      <c r="CA186" s="455" t="inlineStr">
        <is>
          <t>Text_160</t>
        </is>
      </c>
      <c r="CB186" s="456" t="n"/>
      <c r="CC186" s="701" t="n"/>
      <c r="CD186" s="701" t="n"/>
      <c r="CE186" s="701" t="n"/>
      <c r="CF186" s="701" t="n"/>
      <c r="CG186" s="701" t="n"/>
      <c r="CH186" s="701" t="n"/>
      <c r="CI186" s="701" t="n"/>
      <c r="CJ186" s="701" t="n"/>
      <c r="CK186" s="701" t="n"/>
      <c r="CL186" s="701" t="n"/>
      <c r="CM186" s="701" t="n"/>
      <c r="CN186" s="701" t="n"/>
      <c r="CO186" s="701" t="n"/>
      <c r="CP186" s="701" t="n"/>
      <c r="CQ186" s="701" t="n"/>
      <c r="CR186" s="701" t="n"/>
      <c r="CS186" s="701" t="n"/>
      <c r="CT186" s="701" t="n"/>
      <c r="CU186" s="701" t="n"/>
      <c r="CV186" s="701" t="n"/>
      <c r="CW186" s="30" t="n"/>
    </row>
    <row r="187" ht="12.75" customHeight="1" s="1676">
      <c r="A187" s="31" t="n"/>
      <c r="B187" s="103" t="inlineStr">
        <is>
          <t>Text_49</t>
        </is>
      </c>
      <c r="C187" s="699" t="n"/>
      <c r="D187" s="1713" t="n"/>
      <c r="E187" s="1713" t="n"/>
      <c r="F187" s="1713" t="n"/>
      <c r="G187" s="1713" t="n"/>
      <c r="H187" s="1714" t="n"/>
      <c r="I187" s="1761" t="n"/>
      <c r="J187" s="1761" t="n"/>
      <c r="K187" s="1761" t="n"/>
      <c r="L187" s="1761" t="n"/>
      <c r="M187" s="1761" t="n"/>
      <c r="N187" s="1761" t="n"/>
      <c r="O187" s="1761" t="n"/>
      <c r="P187" s="1761" t="n"/>
      <c r="Q187" s="1761" t="n"/>
      <c r="R187" s="1761" t="n"/>
      <c r="S187" s="1761" t="n"/>
      <c r="T187" s="1761" t="n"/>
      <c r="U187" s="1761" t="n"/>
      <c r="V187" s="1761" t="n"/>
      <c r="W187" s="1761" t="n"/>
      <c r="X187" s="1761" t="n"/>
      <c r="Y187" s="1761" t="n"/>
      <c r="Z187" s="1761" t="n"/>
      <c r="AA187" s="1761" t="n"/>
      <c r="AB187" s="1761" t="n"/>
      <c r="AC187" s="1761" t="n"/>
      <c r="AD187" s="1761" t="n"/>
      <c r="AE187" s="1761" t="n"/>
      <c r="AF187" s="1761" t="n"/>
      <c r="AG187" s="1761" t="n"/>
      <c r="AH187" s="1761" t="n"/>
      <c r="AI187" s="1761" t="n"/>
      <c r="AJ187" s="1761" t="n"/>
      <c r="AK187" s="1761" t="n"/>
      <c r="AL187" s="1761" t="n"/>
      <c r="AM187" s="1790">
        <f t="array" ref="AM187">AM186/AK186-1</f>
        <v/>
      </c>
      <c r="AN187" s="1790">
        <f t="array" ref="AN187">AN186/AM186-1</f>
        <v/>
      </c>
      <c r="AO187" s="1790">
        <f t="array" ref="AO187">AO186/AN186-1</f>
        <v/>
      </c>
      <c r="AP187" s="1790">
        <f t="array" ref="AP187">AP186/AO186-1</f>
        <v/>
      </c>
      <c r="AQ187" s="1761" t="n"/>
      <c r="AR187" s="1790">
        <f t="array" ref="AR187">AR186/AP186-1</f>
        <v/>
      </c>
      <c r="AS187" s="1790">
        <f t="array" ref="AS187">AS186/AR186-1</f>
        <v/>
      </c>
      <c r="AT187" s="1790">
        <f t="array" ref="AT187">AT186/AS186-1</f>
        <v/>
      </c>
      <c r="AU187" s="1790">
        <f t="array" ref="AU187">AU186/AT186-1</f>
        <v/>
      </c>
      <c r="AV187" s="1761" t="n"/>
      <c r="AW187" s="1791">
        <f t="array" ref="AW187">AW186/AU186-1</f>
        <v/>
      </c>
      <c r="AX187" s="1792">
        <f t="array" ref="AX187">AX186/AW186-1</f>
        <v/>
      </c>
      <c r="AY187" s="1792">
        <f t="array" ref="AY187">AY186/AX186-1</f>
        <v/>
      </c>
      <c r="AZ187" s="1792">
        <f t="array" ref="AZ187">AZ186/AY186-1</f>
        <v/>
      </c>
      <c r="BA187" s="1718" t="n"/>
      <c r="BB187" s="1791">
        <f t="array" ref="BB187">BB186/AZ186-1</f>
        <v/>
      </c>
      <c r="BC187" s="1792">
        <f t="array" ref="BC187">BC186/BB186-1</f>
        <v/>
      </c>
      <c r="BD187" s="1804" t="n">
        <v>0.0049389688087138</v>
      </c>
      <c r="BE187" s="1804" t="n">
        <v>0.009830251356016419</v>
      </c>
      <c r="BF187" s="1795" t="n"/>
      <c r="BG187" s="1856" t="n">
        <v>0.009679671711680439</v>
      </c>
      <c r="BH187" s="1856" t="n">
        <v>0.0102978934849181</v>
      </c>
      <c r="BI187" s="1856" t="n">
        <v>0.00999450098010503</v>
      </c>
      <c r="BJ187" s="1856" t="n">
        <v>0.00944139495454353</v>
      </c>
      <c r="BK187" s="1797" t="n"/>
      <c r="BL187" s="1856" t="n">
        <v>0.00962691093593308</v>
      </c>
      <c r="BM187" s="1856" t="n">
        <v>0.0102443450182128</v>
      </c>
      <c r="BN187" s="1856" t="n">
        <v>0.009434841145987071</v>
      </c>
      <c r="BO187" s="1856">
        <f t="array" ref="BO187">BN187</f>
        <v/>
      </c>
      <c r="BP187" s="1797" t="n"/>
      <c r="BQ187" s="1856" t="n">
        <v>0.0157024138280975</v>
      </c>
      <c r="BR187" s="1856">
        <f t="array" ref="BR187">BQ187</f>
        <v/>
      </c>
      <c r="BS187" s="1856">
        <f t="array" ref="BS187">BR187</f>
        <v/>
      </c>
      <c r="BT187" s="1856">
        <f t="array" ref="BT187">BS187</f>
        <v/>
      </c>
      <c r="BU187" s="1797" t="n"/>
      <c r="BV187" s="1856" t="n">
        <v>0.014990293054028</v>
      </c>
      <c r="BW187" s="1856">
        <f t="array" ref="BW187">BV187</f>
        <v/>
      </c>
      <c r="BX187" s="1856">
        <f t="array" ref="BX187">BW187</f>
        <v/>
      </c>
      <c r="BY187" s="1856">
        <f t="array" ref="BY187">BX187</f>
        <v/>
      </c>
      <c r="BZ187" s="1797" t="n"/>
      <c r="CA187" s="1686" t="n"/>
      <c r="CB187" s="456">
        <f t="array" ref="CB187">135/4</f>
        <v/>
      </c>
      <c r="CC187" s="701" t="n"/>
      <c r="CD187" s="701" t="n"/>
      <c r="CE187" s="701" t="n"/>
      <c r="CF187" s="701" t="n"/>
      <c r="CG187" s="701" t="n"/>
      <c r="CH187" s="701" t="n"/>
      <c r="CI187" s="701" t="n"/>
      <c r="CJ187" s="701" t="n"/>
      <c r="CK187" s="701" t="n"/>
      <c r="CL187" s="701" t="n"/>
      <c r="CM187" s="701" t="n"/>
      <c r="CN187" s="701" t="n"/>
      <c r="CO187" s="701" t="n"/>
      <c r="CP187" s="701" t="n"/>
      <c r="CQ187" s="701" t="n"/>
      <c r="CR187" s="701" t="n"/>
      <c r="CS187" s="701" t="n"/>
      <c r="CT187" s="701" t="n"/>
      <c r="CU187" s="701" t="n"/>
      <c r="CV187" s="701" t="n"/>
      <c r="CW187" s="30" t="n"/>
    </row>
    <row r="188" ht="12.75" customHeight="1" s="1676">
      <c r="A188" s="31" t="n"/>
      <c r="B188" s="103" t="inlineStr">
        <is>
          <t>Text_24</t>
        </is>
      </c>
      <c r="C188" s="699" t="n"/>
      <c r="D188" s="1713" t="n"/>
      <c r="E188" s="1713" t="n"/>
      <c r="F188" s="1713" t="n"/>
      <c r="G188" s="1713" t="n"/>
      <c r="H188" s="1714" t="n"/>
      <c r="I188" s="1719" t="n"/>
      <c r="J188" s="1719" t="n"/>
      <c r="K188" s="1719" t="n"/>
      <c r="L188" s="1719" t="n"/>
      <c r="M188" s="1720" t="n"/>
      <c r="N188" s="1720">
        <f t="array" ref="N188">N186/I186-1</f>
        <v/>
      </c>
      <c r="O188" s="1720">
        <f t="array" ref="O188">O186/J186-1</f>
        <v/>
      </c>
      <c r="P188" s="1720">
        <f t="array" ref="P188">P186/K186-1</f>
        <v/>
      </c>
      <c r="Q188" s="1720">
        <f t="array" ref="Q188">Q186/L186-1</f>
        <v/>
      </c>
      <c r="R188" s="1720">
        <f t="array" ref="R188">R186/M186-1</f>
        <v/>
      </c>
      <c r="S188" s="1720">
        <f t="array" ref="S188">S186/N186-1</f>
        <v/>
      </c>
      <c r="T188" s="1720">
        <f t="array" ref="T188">T186/O186-1</f>
        <v/>
      </c>
      <c r="U188" s="1720">
        <f t="array" ref="U188">U186/P186-1</f>
        <v/>
      </c>
      <c r="V188" s="1720">
        <f t="array" ref="V188">V186/Q186-1</f>
        <v/>
      </c>
      <c r="W188" s="1720">
        <f t="array" ref="W188">W186/R186-1</f>
        <v/>
      </c>
      <c r="X188" s="1720">
        <f t="array" ref="X188">X186/S186-1</f>
        <v/>
      </c>
      <c r="Y188" s="1720">
        <f t="array" ref="Y188">Y186/T186-1</f>
        <v/>
      </c>
      <c r="Z188" s="1720">
        <f t="array" ref="Z188">Z186/U186-1</f>
        <v/>
      </c>
      <c r="AA188" s="1720">
        <f t="array" ref="AA188">AA186/V186-1</f>
        <v/>
      </c>
      <c r="AB188" s="1720">
        <f t="array" ref="AB188">AB186/W186-1</f>
        <v/>
      </c>
      <c r="AC188" s="1720">
        <f t="array" ref="AC188">AC186/X186-1</f>
        <v/>
      </c>
      <c r="AD188" s="1720">
        <f t="array" ref="AD188">AD186/Y186-1</f>
        <v/>
      </c>
      <c r="AE188" s="1720">
        <f t="array" ref="AE188">AE186/Z186-1</f>
        <v/>
      </c>
      <c r="AF188" s="1720">
        <f t="array" ref="AF188">AF186/AA186-1</f>
        <v/>
      </c>
      <c r="AG188" s="1720">
        <f t="array" ref="AG188">AG186/AB186-1</f>
        <v/>
      </c>
      <c r="AH188" s="1720">
        <f t="array" ref="AH188">AH186/AC186-1</f>
        <v/>
      </c>
      <c r="AI188" s="1720">
        <f t="array" ref="AI188">AI186/AD186-1</f>
        <v/>
      </c>
      <c r="AJ188" s="1720">
        <f t="array" ref="AJ188">AJ186/AE186-1</f>
        <v/>
      </c>
      <c r="AK188" s="1720">
        <f t="array" ref="AK188">AK186/AF186-1</f>
        <v/>
      </c>
      <c r="AL188" s="1720">
        <f t="array" ref="AL188">AL186/AG186-1</f>
        <v/>
      </c>
      <c r="AM188" s="1720">
        <f t="array" ref="AM188">AM186/AH186-1</f>
        <v/>
      </c>
      <c r="AN188" s="1720">
        <f t="array" ref="AN188">AN186/AI186-1</f>
        <v/>
      </c>
      <c r="AO188" s="1720">
        <f t="array" ref="AO188">AO186/AJ186-1</f>
        <v/>
      </c>
      <c r="AP188" s="1720">
        <f t="array" ref="AP188">AP186/AK186-1</f>
        <v/>
      </c>
      <c r="AQ188" s="1720">
        <f t="array" ref="AQ188">AQ186/AL186-1</f>
        <v/>
      </c>
      <c r="AR188" s="1720">
        <f t="array" ref="AR188">AR186/AM186-1</f>
        <v/>
      </c>
      <c r="AS188" s="1720">
        <f t="array" ref="AS188">AS186/AN186-1</f>
        <v/>
      </c>
      <c r="AT188" s="1720">
        <f t="array" ref="AT188">AT186/AO186-1</f>
        <v/>
      </c>
      <c r="AU188" s="1720">
        <f t="array" ref="AU188">AU186/AP186-1</f>
        <v/>
      </c>
      <c r="AV188" s="1720">
        <f t="array" ref="AV188">AV186/AQ186-1</f>
        <v/>
      </c>
      <c r="AW188" s="1721">
        <f t="array" ref="AW188">AW186/AR186-1</f>
        <v/>
      </c>
      <c r="AX188" s="1722">
        <f t="array" ref="AX188">AX186/AS186-1</f>
        <v/>
      </c>
      <c r="AY188" s="1722">
        <f t="array" ref="AY188">AY186/AT186-1</f>
        <v/>
      </c>
      <c r="AZ188" s="1722">
        <f t="array" ref="AZ188">AZ186/AU186-1</f>
        <v/>
      </c>
      <c r="BA188" s="1723">
        <f t="array" ref="BA188">BA186/AV186-1</f>
        <v/>
      </c>
      <c r="BB188" s="1721">
        <f t="array" ref="BB188">BB186/AW186-1</f>
        <v/>
      </c>
      <c r="BC188" s="1722">
        <f t="array" ref="BC188">BC186/AX186-1</f>
        <v/>
      </c>
      <c r="BD188" s="1722">
        <f t="array" ref="BD188">BD186/AY186-1</f>
        <v/>
      </c>
      <c r="BE188" s="1722">
        <f t="array" ref="BE188">BE186/AZ186-1</f>
        <v/>
      </c>
      <c r="BF188" s="1723">
        <f t="array" ref="BF188">BF186/BA186-1</f>
        <v/>
      </c>
      <c r="BG188" s="1720">
        <f t="array" ref="BG188">BG186/BB186-1</f>
        <v/>
      </c>
      <c r="BH188" s="1720">
        <f t="array" ref="BH188">BH186/BC186-1</f>
        <v/>
      </c>
      <c r="BI188" s="1720">
        <f t="array" ref="BI188">BI186/BD186-1</f>
        <v/>
      </c>
      <c r="BJ188" s="1720">
        <f t="array" ref="BJ188">BJ186/BE186-1</f>
        <v/>
      </c>
      <c r="BK188" s="1720">
        <f t="array" ref="BK188">BK186/BF186-1</f>
        <v/>
      </c>
      <c r="BL188" s="1720">
        <f t="array" ref="BL188">BL186/BG186-1</f>
        <v/>
      </c>
      <c r="BM188" s="1720">
        <f t="array" ref="BM188">BM186/BH186-1</f>
        <v/>
      </c>
      <c r="BN188" s="1720">
        <f t="array" ref="BN188">BN186/BI186-1</f>
        <v/>
      </c>
      <c r="BO188" s="1720">
        <f t="array" ref="BO188">BO186/BJ186-1</f>
        <v/>
      </c>
      <c r="BP188" s="1720">
        <f t="array" ref="BP188">BP186/BK186-1</f>
        <v/>
      </c>
      <c r="BQ188" s="1720">
        <f t="array" ref="BQ188">BQ186/BL186-1</f>
        <v/>
      </c>
      <c r="BR188" s="1720">
        <f t="array" ref="BR188">BR186/BM186-1</f>
        <v/>
      </c>
      <c r="BS188" s="1720">
        <f t="array" ref="BS188">BS186/BN186-1</f>
        <v/>
      </c>
      <c r="BT188" s="1720">
        <f t="array" ref="BT188">BT186/BO186-1</f>
        <v/>
      </c>
      <c r="BU188" s="1720">
        <f t="array" ref="BU188">BU186/BP186-1</f>
        <v/>
      </c>
      <c r="BV188" s="1720">
        <f t="array" ref="BV188">BV186/BQ186-1</f>
        <v/>
      </c>
      <c r="BW188" s="1720">
        <f t="array" ref="BW188">BW186/BR186-1</f>
        <v/>
      </c>
      <c r="BX188" s="1720">
        <f t="array" ref="BX188">BX186/BS186-1</f>
        <v/>
      </c>
      <c r="BY188" s="1720">
        <f t="array" ref="BY188">BY186/BT186-1</f>
        <v/>
      </c>
      <c r="BZ188" s="1720">
        <f t="array" ref="BZ188">BZ186/BU186-1</f>
        <v/>
      </c>
      <c r="CA188" s="1686" t="n"/>
      <c r="CB188" s="98" t="n"/>
      <c r="CC188" s="701" t="n"/>
      <c r="CD188" s="701" t="n"/>
      <c r="CE188" s="701" t="n"/>
      <c r="CF188" s="701" t="n"/>
      <c r="CG188" s="701" t="n"/>
      <c r="CH188" s="701" t="n"/>
      <c r="CI188" s="701" t="n"/>
      <c r="CJ188" s="701" t="n"/>
      <c r="CK188" s="701" t="n"/>
      <c r="CL188" s="701" t="n"/>
      <c r="CM188" s="701" t="n"/>
      <c r="CN188" s="701" t="n"/>
      <c r="CO188" s="701" t="n"/>
      <c r="CP188" s="701" t="n"/>
      <c r="CQ188" s="701" t="n"/>
      <c r="CR188" s="701" t="n"/>
      <c r="CS188" s="701" t="n"/>
      <c r="CT188" s="701" t="n"/>
      <c r="CU188" s="701" t="n"/>
      <c r="CV188" s="701" t="n"/>
      <c r="CW188" s="30" t="n"/>
    </row>
    <row r="189" ht="12.75" customHeight="1" s="1676">
      <c r="A189" s="31" t="n"/>
      <c r="B189" s="454" t="inlineStr">
        <is>
          <t>Text_158</t>
        </is>
      </c>
      <c r="C189" s="699" t="n"/>
      <c r="D189" s="699" t="n"/>
      <c r="E189" s="699" t="n"/>
      <c r="F189" s="699" t="n"/>
      <c r="G189" s="699" t="n"/>
      <c r="H189" s="699" t="n"/>
      <c r="I189" s="699" t="n"/>
      <c r="J189" s="699" t="n"/>
      <c r="K189" s="699" t="n"/>
      <c r="L189" s="699" t="n"/>
      <c r="M189" s="699" t="n"/>
      <c r="N189" s="699" t="n"/>
      <c r="O189" s="699" t="n"/>
      <c r="P189" s="699" t="n"/>
      <c r="Q189" s="699" t="n"/>
      <c r="R189" s="699" t="n"/>
      <c r="S189" s="699" t="n"/>
      <c r="T189" s="699" t="n"/>
      <c r="U189" s="699" t="n"/>
      <c r="V189" s="699" t="n"/>
      <c r="W189" s="699" t="n"/>
      <c r="X189" s="699" t="n"/>
      <c r="Y189" s="699" t="n"/>
      <c r="Z189" s="699" t="n"/>
      <c r="AA189" s="699" t="n"/>
      <c r="AB189" s="699" t="n"/>
      <c r="AC189" s="699" t="n"/>
      <c r="AD189" s="699" t="n"/>
      <c r="AE189" s="1917" t="n"/>
      <c r="AF189" s="1917" t="n"/>
      <c r="AG189" s="699" t="n"/>
      <c r="AH189" s="699" t="n"/>
      <c r="AI189" s="699" t="n"/>
      <c r="AJ189" s="1917" t="n"/>
      <c r="AK189" s="1917" t="n"/>
      <c r="AL189" s="699" t="n"/>
      <c r="AM189" s="1882" t="n"/>
      <c r="AN189" s="1882" t="n"/>
      <c r="AO189" s="1882" t="n"/>
      <c r="AP189" s="1917" t="n"/>
      <c r="AQ189" s="699" t="n"/>
      <c r="AR189" s="699" t="n"/>
      <c r="AS189" s="699" t="n"/>
      <c r="AT189" s="699" t="n"/>
      <c r="AU189" s="699" t="n"/>
      <c r="AV189" s="699" t="n"/>
      <c r="AW189" s="456" t="n"/>
      <c r="AX189" s="1914" t="n"/>
      <c r="AY189" s="1914" t="n"/>
      <c r="AZ189" s="1914" t="n"/>
      <c r="BA189" s="381" t="n"/>
      <c r="BB189" s="435" t="n"/>
      <c r="BC189" s="436" t="n"/>
      <c r="BD189" s="436" t="n"/>
      <c r="BE189" s="436" t="n"/>
      <c r="BF189" s="1915" t="n">
        <v>532.333879494299</v>
      </c>
      <c r="BG189" s="400" t="n"/>
      <c r="BH189" s="400" t="n"/>
      <c r="BI189" s="400" t="n"/>
      <c r="BJ189" s="400" t="n"/>
      <c r="BK189" s="1916" t="n">
        <v>584.743499907801</v>
      </c>
      <c r="BL189" s="400" t="n"/>
      <c r="BM189" s="400" t="n"/>
      <c r="BN189" s="400" t="n"/>
      <c r="BO189" s="400" t="n"/>
      <c r="BP189" s="1916" t="n">
        <v>675.2117380947479</v>
      </c>
      <c r="BQ189" s="400" t="n"/>
      <c r="BR189" s="400" t="n"/>
      <c r="BS189" s="400" t="n"/>
      <c r="BT189" s="400" t="n"/>
      <c r="BU189" s="1916" t="n"/>
      <c r="BV189" s="400" t="n"/>
      <c r="BW189" s="400" t="n"/>
      <c r="BX189" s="400" t="n"/>
      <c r="BY189" s="400" t="n"/>
      <c r="BZ189" s="1916" t="n"/>
      <c r="CA189" s="1686" t="n"/>
      <c r="CB189" s="456" t="n"/>
      <c r="CC189" s="701" t="n"/>
      <c r="CD189" s="701" t="n"/>
      <c r="CE189" s="701" t="n"/>
      <c r="CF189" s="701" t="n"/>
      <c r="CG189" s="701" t="n"/>
      <c r="CH189" s="701" t="n"/>
      <c r="CI189" s="701" t="n"/>
      <c r="CJ189" s="701" t="n"/>
      <c r="CK189" s="701" t="n"/>
      <c r="CL189" s="701" t="n"/>
      <c r="CM189" s="701" t="n"/>
      <c r="CN189" s="701" t="n"/>
      <c r="CO189" s="701" t="n"/>
      <c r="CP189" s="701" t="n"/>
      <c r="CQ189" s="701" t="n"/>
      <c r="CR189" s="701" t="n"/>
      <c r="CS189" s="701" t="n"/>
      <c r="CT189" s="701" t="n"/>
      <c r="CU189" s="701" t="n"/>
      <c r="CV189" s="701" t="n"/>
      <c r="CW189" s="30" t="n"/>
    </row>
    <row r="190" ht="12.75" customHeight="1" s="1676">
      <c r="A190" s="31" t="n"/>
      <c r="B190" s="388" t="inlineStr">
        <is>
          <t>Text_145</t>
        </is>
      </c>
      <c r="C190" s="699" t="n"/>
      <c r="D190" s="699" t="n"/>
      <c r="E190" s="699" t="n"/>
      <c r="F190" s="699" t="n"/>
      <c r="G190" s="699" t="n"/>
      <c r="H190" s="699" t="n"/>
      <c r="I190" s="699" t="n"/>
      <c r="J190" s="699" t="n"/>
      <c r="K190" s="699" t="n"/>
      <c r="L190" s="699" t="n"/>
      <c r="M190" s="699" t="n"/>
      <c r="N190" s="699" t="n"/>
      <c r="O190" s="699" t="n"/>
      <c r="P190" s="699" t="n"/>
      <c r="Q190" s="699" t="n"/>
      <c r="R190" s="699" t="n"/>
      <c r="S190" s="699" t="n"/>
      <c r="T190" s="699" t="n"/>
      <c r="U190" s="699" t="n"/>
      <c r="V190" s="699" t="n"/>
      <c r="W190" s="699" t="n"/>
      <c r="X190" s="699" t="n"/>
      <c r="Y190" s="699" t="n"/>
      <c r="Z190" s="699" t="n"/>
      <c r="AA190" s="699" t="n"/>
      <c r="AB190" s="699" t="n"/>
      <c r="AC190" s="699" t="n"/>
      <c r="AD190" s="699" t="n"/>
      <c r="AE190" s="1917" t="n"/>
      <c r="AF190" s="1917" t="n"/>
      <c r="AG190" s="699" t="n"/>
      <c r="AH190" s="699" t="n"/>
      <c r="AI190" s="699" t="n"/>
      <c r="AJ190" s="1917" t="n"/>
      <c r="AK190" s="1917" t="n"/>
      <c r="AL190" s="699" t="n"/>
      <c r="AM190" s="1882" t="n"/>
      <c r="AN190" s="1882" t="n"/>
      <c r="AO190" s="1882" t="n"/>
      <c r="AP190" s="1917" t="n"/>
      <c r="AQ190" s="699" t="n"/>
      <c r="AR190" s="699" t="n"/>
      <c r="AS190" s="699" t="n"/>
      <c r="AT190" s="699" t="n"/>
      <c r="AU190" s="699" t="n"/>
      <c r="AV190" s="699" t="n"/>
      <c r="AW190" s="456" t="n"/>
      <c r="AX190" s="1918" t="n"/>
      <c r="AY190" s="1918" t="n"/>
      <c r="AZ190" s="1918" t="n"/>
      <c r="BA190" s="381" t="n"/>
      <c r="BB190" s="435" t="n"/>
      <c r="BC190" s="436" t="n"/>
      <c r="BD190" s="436" t="n"/>
      <c r="BE190" s="436" t="n"/>
      <c r="BF190" s="1919">
        <f t="array" ref="BF190">BF186/BF189-1</f>
        <v/>
      </c>
      <c r="BG190" s="400" t="n"/>
      <c r="BH190" s="400" t="n"/>
      <c r="BI190" s="400" t="n"/>
      <c r="BJ190" s="400" t="n"/>
      <c r="BK190" s="1920">
        <f t="array" ref="BK190">BK186/BK189-1</f>
        <v/>
      </c>
      <c r="BL190" s="400" t="n"/>
      <c r="BM190" s="400" t="n"/>
      <c r="BN190" s="400" t="n"/>
      <c r="BO190" s="400" t="n"/>
      <c r="BP190" s="1920">
        <f t="array" ref="BP190">BP186/BP189-1</f>
        <v/>
      </c>
      <c r="BQ190" s="400" t="n"/>
      <c r="BR190" s="400" t="n"/>
      <c r="BS190" s="400" t="n"/>
      <c r="BT190" s="400" t="n"/>
      <c r="BU190" s="1920" t="n"/>
      <c r="BV190" s="400" t="n"/>
      <c r="BW190" s="400" t="n"/>
      <c r="BX190" s="400" t="n"/>
      <c r="BY190" s="400" t="n"/>
      <c r="BZ190" s="1920" t="n"/>
      <c r="CA190" s="1686" t="n"/>
      <c r="CB190" s="456" t="n"/>
      <c r="CC190" s="701" t="n"/>
      <c r="CD190" s="701" t="n"/>
      <c r="CE190" s="701" t="n"/>
      <c r="CF190" s="701" t="n"/>
      <c r="CG190" s="701" t="n"/>
      <c r="CH190" s="701" t="n"/>
      <c r="CI190" s="701" t="n"/>
      <c r="CJ190" s="701" t="n"/>
      <c r="CK190" s="701" t="n"/>
      <c r="CL190" s="701" t="n"/>
      <c r="CM190" s="701" t="n"/>
      <c r="CN190" s="701" t="n"/>
      <c r="CO190" s="701" t="n"/>
      <c r="CP190" s="701" t="n"/>
      <c r="CQ190" s="701" t="n"/>
      <c r="CR190" s="701" t="n"/>
      <c r="CS190" s="701" t="n"/>
      <c r="CT190" s="701" t="n"/>
      <c r="CU190" s="701" t="n"/>
      <c r="CV190" s="701" t="n"/>
      <c r="CW190" s="30" t="n"/>
    </row>
    <row r="191" ht="12.75" customHeight="1" s="1676">
      <c r="A191" s="31" t="n"/>
      <c r="B191" s="196" t="inlineStr">
        <is>
          <t>Text_146</t>
        </is>
      </c>
      <c r="C191" s="805" t="n"/>
      <c r="D191" s="1726" t="n"/>
      <c r="E191" s="1726" t="n"/>
      <c r="F191" s="1726" t="n"/>
      <c r="G191" s="1726" t="n"/>
      <c r="H191" s="1727" t="n"/>
      <c r="I191" s="197">
        <f t="array" ref="I191">I186/I$192</f>
        <v/>
      </c>
      <c r="J191" s="197">
        <f t="array" ref="J191">J186/J$192</f>
        <v/>
      </c>
      <c r="K191" s="197">
        <f t="array" ref="K191">K186/K$192</f>
        <v/>
      </c>
      <c r="L191" s="197">
        <f t="array" ref="L191">L186/L$192</f>
        <v/>
      </c>
      <c r="M191" s="197">
        <f t="array" ref="M191">M186/M$192</f>
        <v/>
      </c>
      <c r="N191" s="197">
        <f t="array" ref="N191">N186/N$192</f>
        <v/>
      </c>
      <c r="O191" s="197">
        <f t="array" ref="O191">O186/O$192</f>
        <v/>
      </c>
      <c r="P191" s="197">
        <f t="array" ref="P191">P186/P$192</f>
        <v/>
      </c>
      <c r="Q191" s="197">
        <f t="array" ref="Q191">Q186/Q$192</f>
        <v/>
      </c>
      <c r="R191" s="197">
        <f t="array" ref="R191">R186/R$192</f>
        <v/>
      </c>
      <c r="S191" s="197">
        <f t="array" ref="S191">S186/S$192</f>
        <v/>
      </c>
      <c r="T191" s="197">
        <f t="array" ref="T191">T186/T$192</f>
        <v/>
      </c>
      <c r="U191" s="197">
        <f t="array" ref="U191">U186/U$192</f>
        <v/>
      </c>
      <c r="V191" s="197">
        <f t="array" ref="V191">V186/V$192</f>
        <v/>
      </c>
      <c r="W191" s="197">
        <f t="array" ref="W191">W186/W$192</f>
        <v/>
      </c>
      <c r="X191" s="197">
        <f t="array" ref="X191">X186/X$192</f>
        <v/>
      </c>
      <c r="Y191" s="197">
        <f t="array" ref="Y191">Y186/Y$192</f>
        <v/>
      </c>
      <c r="Z191" s="197">
        <f t="array" ref="Z191">Z186/Z$192</f>
        <v/>
      </c>
      <c r="AA191" s="197">
        <f t="array" ref="AA191">AA186/AA$192</f>
        <v/>
      </c>
      <c r="AB191" s="197">
        <f t="array" ref="AB191">AB186/AB$192</f>
        <v/>
      </c>
      <c r="AC191" s="197">
        <f t="array" ref="AC191">AC186/AC$192</f>
        <v/>
      </c>
      <c r="AD191" s="197">
        <f t="array" ref="AD191">AD186/AD$192</f>
        <v/>
      </c>
      <c r="AE191" s="197">
        <f t="array" ref="AE191">AE186/AE$192</f>
        <v/>
      </c>
      <c r="AF191" s="197">
        <f t="array" ref="AF191">AF186/AF$192</f>
        <v/>
      </c>
      <c r="AG191" s="197">
        <f t="array" ref="AG191">AG186/AG$192</f>
        <v/>
      </c>
      <c r="AH191" s="197">
        <f t="array" ref="AH191">AH186/AH$192</f>
        <v/>
      </c>
      <c r="AI191" s="197">
        <f t="array" ref="AI191">AI186/AI$192</f>
        <v/>
      </c>
      <c r="AJ191" s="197">
        <f t="array" ref="AJ191">AJ186/AJ$192</f>
        <v/>
      </c>
      <c r="AK191" s="197">
        <f t="array" ref="AK191">AK186/AK$192</f>
        <v/>
      </c>
      <c r="AL191" s="197">
        <f t="array" ref="AL191">AL186/AL$192</f>
        <v/>
      </c>
      <c r="AM191" s="197">
        <f t="array" ref="AM191">AM186/AM$192</f>
        <v/>
      </c>
      <c r="AN191" s="197">
        <f t="array" ref="AN191">AN186/AN$192</f>
        <v/>
      </c>
      <c r="AO191" s="197">
        <f t="array" ref="AO191">AO186/AO$192</f>
        <v/>
      </c>
      <c r="AP191" s="197">
        <f t="array" ref="AP191">AP186/AP$192</f>
        <v/>
      </c>
      <c r="AQ191" s="197">
        <f t="array" ref="AQ191">AQ186/AQ$192</f>
        <v/>
      </c>
      <c r="AR191" s="197">
        <f t="array" ref="AR191">AR186/AR$192</f>
        <v/>
      </c>
      <c r="AS191" s="197">
        <f t="array" ref="AS191">AS186/AS$192</f>
        <v/>
      </c>
      <c r="AT191" s="197">
        <f t="array" ref="AT191">AT186/AT$192</f>
        <v/>
      </c>
      <c r="AU191" s="197">
        <f t="array" ref="AU191">AU186/AU$192</f>
        <v/>
      </c>
      <c r="AV191" s="197">
        <f t="array" ref="AV191">AV186/AV$192</f>
        <v/>
      </c>
      <c r="AW191" s="198">
        <f t="array" ref="AW191">AW186/AW$192</f>
        <v/>
      </c>
      <c r="AX191" s="199">
        <f t="array" ref="AX191">AX186/AX$192</f>
        <v/>
      </c>
      <c r="AY191" s="199">
        <f t="array" ref="AY191">AY186/AY$192</f>
        <v/>
      </c>
      <c r="AZ191" s="199">
        <f t="array" ref="AZ191">AZ186/AZ$192</f>
        <v/>
      </c>
      <c r="BA191" s="200">
        <f t="array" ref="BA191">BA186/BA$192</f>
        <v/>
      </c>
      <c r="BB191" s="198">
        <f t="array" ref="BB191">BB186/BB$192</f>
        <v/>
      </c>
      <c r="BC191" s="199">
        <f t="array" ref="BC191">BC186/BC$192</f>
        <v/>
      </c>
      <c r="BD191" s="199">
        <f t="array" ref="BD191">BD186/BD$192</f>
        <v/>
      </c>
      <c r="BE191" s="199">
        <f t="array" ref="BE191">BE186/BE$192</f>
        <v/>
      </c>
      <c r="BF191" s="200">
        <f t="array" ref="BF191">BF186/BF$192</f>
        <v/>
      </c>
      <c r="BG191" s="197">
        <f t="array" ref="BG191">BG186/BG$192</f>
        <v/>
      </c>
      <c r="BH191" s="197">
        <f t="array" ref="BH191">BH186/BH$192</f>
        <v/>
      </c>
      <c r="BI191" s="197">
        <f t="array" ref="BI191">BI186/BI$192</f>
        <v/>
      </c>
      <c r="BJ191" s="197">
        <f t="array" ref="BJ191">BJ186/BJ$192</f>
        <v/>
      </c>
      <c r="BK191" s="197">
        <f t="array" ref="BK191">BK186/BK$192</f>
        <v/>
      </c>
      <c r="BL191" s="197">
        <f t="array" ref="BL191">BL186/BL$192</f>
        <v/>
      </c>
      <c r="BM191" s="197">
        <f t="array" ref="BM191">BM186/BM$192</f>
        <v/>
      </c>
      <c r="BN191" s="197">
        <f t="array" ref="BN191">BN186/BN$192</f>
        <v/>
      </c>
      <c r="BO191" s="197">
        <f t="array" ref="BO191">BO186/BO$192</f>
        <v/>
      </c>
      <c r="BP191" s="197">
        <f t="array" ref="BP191">BP186/BP$192</f>
        <v/>
      </c>
      <c r="BQ191" s="197">
        <f t="array" ref="BQ191">BQ186/BQ$192</f>
        <v/>
      </c>
      <c r="BR191" s="197">
        <f t="array" ref="BR191">BR186/BR$192</f>
        <v/>
      </c>
      <c r="BS191" s="197">
        <f t="array" ref="BS191">BS186/BS$192</f>
        <v/>
      </c>
      <c r="BT191" s="197">
        <f t="array" ref="BT191">BT186/BT$192</f>
        <v/>
      </c>
      <c r="BU191" s="197">
        <f t="array" ref="BU191">BU186/BU$192</f>
        <v/>
      </c>
      <c r="BV191" s="197">
        <f t="array" ref="BV191">BV186/BV$192</f>
        <v/>
      </c>
      <c r="BW191" s="197">
        <f t="array" ref="BW191">BW186/BW$192</f>
        <v/>
      </c>
      <c r="BX191" s="197">
        <f t="array" ref="BX191">BX186/BX$192</f>
        <v/>
      </c>
      <c r="BY191" s="197">
        <f t="array" ref="BY191">BY186/BY$192</f>
        <v/>
      </c>
      <c r="BZ191" s="197">
        <f t="array" ref="BZ191">BZ186/BZ$192</f>
        <v/>
      </c>
      <c r="CA191" s="1686" t="n"/>
      <c r="CB191" s="98" t="n"/>
      <c r="CC191" s="701" t="n"/>
      <c r="CD191" s="701" t="n"/>
      <c r="CE191" s="701" t="n"/>
      <c r="CF191" s="701" t="n"/>
      <c r="CG191" s="701" t="n"/>
      <c r="CH191" s="701" t="n"/>
      <c r="CI191" s="701" t="n"/>
      <c r="CJ191" s="701" t="n"/>
      <c r="CK191" s="701" t="n"/>
      <c r="CL191" s="701" t="n"/>
      <c r="CM191" s="701" t="n"/>
      <c r="CN191" s="701" t="n"/>
      <c r="CO191" s="701" t="n"/>
      <c r="CP191" s="701" t="n"/>
      <c r="CQ191" s="701" t="n"/>
      <c r="CR191" s="701" t="n"/>
      <c r="CS191" s="701" t="n"/>
      <c r="CT191" s="701" t="n"/>
      <c r="CU191" s="701" t="n"/>
      <c r="CV191" s="701" t="n"/>
      <c r="CW191" s="30" t="n"/>
    </row>
    <row r="192" ht="12.75" customHeight="1" s="1676">
      <c r="A192" s="31" t="n"/>
      <c r="B192" s="250" t="inlineStr">
        <is>
          <t>Text_161</t>
        </is>
      </c>
      <c r="C192" s="66" t="n"/>
      <c r="D192" s="1806" t="n"/>
      <c r="E192" s="1806" t="n"/>
      <c r="F192" s="1806" t="n"/>
      <c r="G192" s="1806" t="n"/>
      <c r="H192" s="1807" t="n"/>
      <c r="I192" s="1806">
        <f t="array" ref="I192">I186+I180+I154</f>
        <v/>
      </c>
      <c r="J192" s="1806">
        <f t="array" ref="J192">J186+J180+J154</f>
        <v/>
      </c>
      <c r="K192" s="1806">
        <f t="array" ref="K192">K186+K180+K154</f>
        <v/>
      </c>
      <c r="L192" s="1806">
        <f t="array" ref="L192">L186+L180+L154</f>
        <v/>
      </c>
      <c r="M192" s="1807">
        <f t="array" ref="M192">M186+M180+M154</f>
        <v/>
      </c>
      <c r="N192" s="1806">
        <f t="array" ref="N192">N186+N180+N154</f>
        <v/>
      </c>
      <c r="O192" s="1806">
        <f t="array" ref="O192">O186+O180+O154</f>
        <v/>
      </c>
      <c r="P192" s="1806">
        <f t="array" ref="P192">P186+P180+P154</f>
        <v/>
      </c>
      <c r="Q192" s="1806">
        <f t="array" ref="Q192">Q186+Q180+Q154</f>
        <v/>
      </c>
      <c r="R192" s="1807">
        <f t="array" ref="R192">R186+R180+R154</f>
        <v/>
      </c>
      <c r="S192" s="1806">
        <f t="array" ref="S192">S186+S180+S154</f>
        <v/>
      </c>
      <c r="T192" s="1806">
        <f t="array" ref="T192">T186+T180+T154</f>
        <v/>
      </c>
      <c r="U192" s="1806">
        <f t="array" ref="U192">U186+U180+U154</f>
        <v/>
      </c>
      <c r="V192" s="1806">
        <f t="array" ref="V192">V186+V180+V154</f>
        <v/>
      </c>
      <c r="W192" s="1807">
        <f t="array" ref="W192">W186+W180+W154</f>
        <v/>
      </c>
      <c r="X192" s="1807">
        <f t="array" ref="X192">X186+X180+X154</f>
        <v/>
      </c>
      <c r="Y192" s="1807">
        <f t="array" ref="Y192">Y186+Y180+Y154</f>
        <v/>
      </c>
      <c r="Z192" s="1807">
        <f t="array" ref="Z192">Z186+Z180+Z154</f>
        <v/>
      </c>
      <c r="AA192" s="1807">
        <f t="array" ref="AA192">AA186+AA180+AA154</f>
        <v/>
      </c>
      <c r="AB192" s="1807">
        <f t="array" ref="AB192">AB186+AB180+AB154</f>
        <v/>
      </c>
      <c r="AC192" s="1807">
        <f t="array" ref="AC192">AC186+AC180+AC154</f>
        <v/>
      </c>
      <c r="AD192" s="1807">
        <f t="array" ref="AD192">AD186+AD180+AD154</f>
        <v/>
      </c>
      <c r="AE192" s="1807">
        <f t="array" ref="AE192">AE186+AE180+AE154</f>
        <v/>
      </c>
      <c r="AF192" s="1807">
        <f t="array" ref="AF192">AF186+AF180+AF154</f>
        <v/>
      </c>
      <c r="AG192" s="1807">
        <f t="array" ref="AG192">AG186+AG180+AG154</f>
        <v/>
      </c>
      <c r="AH192" s="1807">
        <f t="array" ref="AH192">AH186+AH180+AH154</f>
        <v/>
      </c>
      <c r="AI192" s="1807">
        <f t="array" ref="AI192">AI186+AI180+AI154</f>
        <v/>
      </c>
      <c r="AJ192" s="1807">
        <f t="array" ref="AJ192">AJ186+AJ180+AJ154</f>
        <v/>
      </c>
      <c r="AK192" s="1807">
        <f t="array" ref="AK192">AK186+AK180+AK154</f>
        <v/>
      </c>
      <c r="AL192" s="1807">
        <f t="array" ref="AL192">AL186+AL180+AL154</f>
        <v/>
      </c>
      <c r="AM192" s="1807">
        <f t="array" ref="AM192">AM186+AM180+AM154</f>
        <v/>
      </c>
      <c r="AN192" s="1807">
        <f t="array" ref="AN192">AN186+AN180+AN154</f>
        <v/>
      </c>
      <c r="AO192" s="1807">
        <f t="array" ref="AO192">AO186+AO180+AO154</f>
        <v/>
      </c>
      <c r="AP192" s="1807">
        <f t="array" ref="AP192">AP186+AP180+AP154</f>
        <v/>
      </c>
      <c r="AQ192" s="1807">
        <f t="array" ref="AQ192">AQ186+AQ180+AQ154</f>
        <v/>
      </c>
      <c r="AR192" s="1807">
        <f t="array" ref="AR192">AR186+AR180+AR154</f>
        <v/>
      </c>
      <c r="AS192" s="1807">
        <f t="array" ref="AS192">AS186+AS180+AS154</f>
        <v/>
      </c>
      <c r="AT192" s="1807">
        <f t="array" ref="AT192">AT186+AT180+AT154</f>
        <v/>
      </c>
      <c r="AU192" s="1807">
        <f t="array" ref="AU192">AU186+AU180+AU154</f>
        <v/>
      </c>
      <c r="AV192" s="1807">
        <f t="array" ref="AV192">AV186+AV180+AV154</f>
        <v/>
      </c>
      <c r="AW192" s="1808">
        <f t="array" ref="AW192">AW186+AW180+AW154</f>
        <v/>
      </c>
      <c r="AX192" s="1809">
        <f t="array" ref="AX192">AX186+AX180+AX154</f>
        <v/>
      </c>
      <c r="AY192" s="1809">
        <f t="array" ref="AY192">AY186+AY180+AY154</f>
        <v/>
      </c>
      <c r="AZ192" s="1809">
        <f t="array" ref="AZ192">AZ186+AZ180+AZ154</f>
        <v/>
      </c>
      <c r="BA192" s="1810">
        <f t="array" ref="BA192">BA186+BA180+BA154</f>
        <v/>
      </c>
      <c r="BB192" s="1808">
        <f t="array" ref="BB192">BB186+BB180+BB154</f>
        <v/>
      </c>
      <c r="BC192" s="1809">
        <f t="array" ref="BC192">BC186+BC180+BC154</f>
        <v/>
      </c>
      <c r="BD192" s="1809">
        <f t="array" ref="BD192">BD186+BD180+BD154</f>
        <v/>
      </c>
      <c r="BE192" s="1809">
        <f t="array" ref="BE192">BE186+BE180+BE154</f>
        <v/>
      </c>
      <c r="BF192" s="1810">
        <f t="array" ref="BF192">BF186+BF180+BF154</f>
        <v/>
      </c>
      <c r="BG192" s="1807">
        <f t="array" ref="BG192">BG186+BG180+BG154</f>
        <v/>
      </c>
      <c r="BH192" s="1807">
        <f t="array" ref="BH192">BH186+BH180+BH154</f>
        <v/>
      </c>
      <c r="BI192" s="1807">
        <f t="array" ref="BI192">BI186+BI180+BI154</f>
        <v/>
      </c>
      <c r="BJ192" s="1807">
        <f t="array" ref="BJ192">BJ186+BJ180+BJ154</f>
        <v/>
      </c>
      <c r="BK192" s="1807">
        <f t="array" ref="BK192">BK186+BK180+BK154</f>
        <v/>
      </c>
      <c r="BL192" s="1807">
        <f t="array" ref="BL192">BL186+BL180+BL154</f>
        <v/>
      </c>
      <c r="BM192" s="1807">
        <f t="array" ref="BM192">BM186+BM180+BM154</f>
        <v/>
      </c>
      <c r="BN192" s="1807">
        <f t="array" ref="BN192">BN186+BN180+BN154</f>
        <v/>
      </c>
      <c r="BO192" s="1807">
        <f t="array" ref="BO192">BO186+BO180+BO154</f>
        <v/>
      </c>
      <c r="BP192" s="1807">
        <f t="array" ref="BP192">BP186+BP180+BP154</f>
        <v/>
      </c>
      <c r="BQ192" s="1807">
        <f t="array" ref="BQ192">BQ186+BQ180+BQ154</f>
        <v/>
      </c>
      <c r="BR192" s="1807">
        <f t="array" ref="BR192">BR186+BR180+BR154</f>
        <v/>
      </c>
      <c r="BS192" s="1807">
        <f t="array" ref="BS192">BS186+BS180+BS154</f>
        <v/>
      </c>
      <c r="BT192" s="1807">
        <f t="array" ref="BT192">BT186+BT180+BT154</f>
        <v/>
      </c>
      <c r="BU192" s="1807">
        <f t="array" ref="BU192">BU186+BU180+BU154</f>
        <v/>
      </c>
      <c r="BV192" s="1807">
        <f t="array" ref="BV192">BV186+BV180+BV154</f>
        <v/>
      </c>
      <c r="BW192" s="1807">
        <f t="array" ref="BW192">BW186+BW180+BW154</f>
        <v/>
      </c>
      <c r="BX192" s="1807">
        <f t="array" ref="BX192">BX186+BX180+BX154</f>
        <v/>
      </c>
      <c r="BY192" s="1807">
        <f t="array" ref="BY192">BY186+BY180+BY154</f>
        <v/>
      </c>
      <c r="BZ192" s="1807">
        <f t="array" ref="BZ192">BZ186+BZ180+BZ154</f>
        <v/>
      </c>
      <c r="CA192" s="1688" t="n"/>
      <c r="CB192" s="456" t="n"/>
      <c r="CC192" s="701" t="n"/>
      <c r="CD192" s="701" t="n"/>
      <c r="CE192" s="701" t="n"/>
      <c r="CF192" s="701" t="n"/>
      <c r="CG192" s="701" t="n"/>
      <c r="CH192" s="701" t="n"/>
      <c r="CI192" s="701" t="n"/>
      <c r="CJ192" s="701" t="n"/>
      <c r="CK192" s="701" t="n"/>
      <c r="CL192" s="701" t="n"/>
      <c r="CM192" s="701" t="n"/>
      <c r="CN192" s="701" t="n"/>
      <c r="CO192" s="701" t="n"/>
      <c r="CP192" s="701" t="n"/>
      <c r="CQ192" s="701" t="n"/>
      <c r="CR192" s="701" t="n"/>
      <c r="CS192" s="701" t="n"/>
      <c r="CT192" s="701" t="n"/>
      <c r="CU192" s="701" t="n"/>
      <c r="CV192" s="701" t="n"/>
      <c r="CW192" s="30" t="n"/>
    </row>
    <row r="193" ht="12.75" customHeight="1" s="1676">
      <c r="A193" s="31" t="n"/>
      <c r="B193" s="293" t="inlineStr">
        <is>
          <t>Text_24</t>
        </is>
      </c>
      <c r="C193" s="33" t="n"/>
      <c r="D193" s="1735" t="n"/>
      <c r="E193" s="1735" t="n"/>
      <c r="F193" s="1735" t="n"/>
      <c r="G193" s="1735" t="n"/>
      <c r="H193" s="1736" t="n"/>
      <c r="I193" s="1923" t="n"/>
      <c r="J193" s="1923" t="n"/>
      <c r="K193" s="1923" t="n"/>
      <c r="L193" s="1923" t="n"/>
      <c r="M193" s="1924" t="n"/>
      <c r="N193" s="1924">
        <f t="array" ref="N193">N192/I192-1</f>
        <v/>
      </c>
      <c r="O193" s="1924">
        <f t="array" ref="O193">O192/J192-1</f>
        <v/>
      </c>
      <c r="P193" s="1924">
        <f t="array" ref="P193">P192/K192-1</f>
        <v/>
      </c>
      <c r="Q193" s="1924">
        <f t="array" ref="Q193">Q192/L192-1</f>
        <v/>
      </c>
      <c r="R193" s="1924">
        <f t="array" ref="R193">R192/M192-1</f>
        <v/>
      </c>
      <c r="S193" s="1924">
        <f t="array" ref="S193">S192/N192-1</f>
        <v/>
      </c>
      <c r="T193" s="1924">
        <f t="array" ref="T193">T192/O192-1</f>
        <v/>
      </c>
      <c r="U193" s="1924">
        <f t="array" ref="U193">U192/P192-1</f>
        <v/>
      </c>
      <c r="V193" s="1924">
        <f t="array" ref="V193">V192/Q192-1</f>
        <v/>
      </c>
      <c r="W193" s="1924">
        <f t="array" ref="W193">W192/R192-1</f>
        <v/>
      </c>
      <c r="X193" s="1924">
        <f t="array" ref="X193">X192/S192-1</f>
        <v/>
      </c>
      <c r="Y193" s="1924">
        <f t="array" ref="Y193">Y192/T192-1</f>
        <v/>
      </c>
      <c r="Z193" s="1924">
        <f t="array" ref="Z193">Z192/U192-1</f>
        <v/>
      </c>
      <c r="AA193" s="1924">
        <f t="array" ref="AA193">AA192/V192-1</f>
        <v/>
      </c>
      <c r="AB193" s="1924">
        <f t="array" ref="AB193">AB192/W192-1</f>
        <v/>
      </c>
      <c r="AC193" s="1924">
        <f t="array" ref="AC193">AC192/X192-1</f>
        <v/>
      </c>
      <c r="AD193" s="1924">
        <f t="array" ref="AD193">AD192/Y192-1</f>
        <v/>
      </c>
      <c r="AE193" s="1924">
        <f t="array" ref="AE193">AE192/Z192-1</f>
        <v/>
      </c>
      <c r="AF193" s="1924">
        <f t="array" ref="AF193">AF192/AA192-1</f>
        <v/>
      </c>
      <c r="AG193" s="1924">
        <f t="array" ref="AG193">AG192/AB192-1</f>
        <v/>
      </c>
      <c r="AH193" s="1924">
        <f t="array" ref="AH193">AH192/AC192-1</f>
        <v/>
      </c>
      <c r="AI193" s="1924">
        <f t="array" ref="AI193">AI192/AD192-1</f>
        <v/>
      </c>
      <c r="AJ193" s="1924">
        <f t="array" ref="AJ193">AJ192/AE192-1</f>
        <v/>
      </c>
      <c r="AK193" s="1924">
        <f t="array" ref="AK193">AK192/AF192-1</f>
        <v/>
      </c>
      <c r="AL193" s="1924">
        <f t="array" ref="AL193">AL192/AG192-1</f>
        <v/>
      </c>
      <c r="AM193" s="1924">
        <f t="array" ref="AM193">AM192/AH192-1</f>
        <v/>
      </c>
      <c r="AN193" s="1924">
        <f t="array" ref="AN193">AN192/AI192-1</f>
        <v/>
      </c>
      <c r="AO193" s="1924">
        <f t="array" ref="AO193">AO192/AJ192-1</f>
        <v/>
      </c>
      <c r="AP193" s="1924">
        <f t="array" ref="AP193">AP192/AK192-1</f>
        <v/>
      </c>
      <c r="AQ193" s="1924">
        <f t="array" ref="AQ193">AQ192/AL192-1</f>
        <v/>
      </c>
      <c r="AR193" s="1924">
        <f t="array" ref="AR193">AR192/AM192-1</f>
        <v/>
      </c>
      <c r="AS193" s="1924">
        <f t="array" ref="AS193">AS192/AN192-1</f>
        <v/>
      </c>
      <c r="AT193" s="1924">
        <f t="array" ref="AT193">AT192/AO192-1</f>
        <v/>
      </c>
      <c r="AU193" s="1924">
        <f t="array" ref="AU193">AU192/AP192-1</f>
        <v/>
      </c>
      <c r="AV193" s="1924">
        <f t="array" ref="AV193">AV192/AQ192-1</f>
        <v/>
      </c>
      <c r="AW193" s="1925">
        <f t="array" ref="AW193">AW192/AR192-1</f>
        <v/>
      </c>
      <c r="AX193" s="1926">
        <f t="array" ref="AX193">AX192/AS192-1</f>
        <v/>
      </c>
      <c r="AY193" s="1926">
        <f t="array" ref="AY193">AY192/AT192-1</f>
        <v/>
      </c>
      <c r="AZ193" s="1926">
        <f t="array" ref="AZ193">AZ192/AU192-1</f>
        <v/>
      </c>
      <c r="BA193" s="1927">
        <f t="array" ref="BA193">BA192/AV192-1</f>
        <v/>
      </c>
      <c r="BB193" s="1925">
        <f t="array" ref="BB193">BB192/AW192-1</f>
        <v/>
      </c>
      <c r="BC193" s="1926">
        <f t="array" ref="BC193">BC192/AX192-1</f>
        <v/>
      </c>
      <c r="BD193" s="1926">
        <f t="array" ref="BD193">BD192/AY192-1</f>
        <v/>
      </c>
      <c r="BE193" s="1926">
        <f t="array" ref="BE193">BE192/AZ192-1</f>
        <v/>
      </c>
      <c r="BF193" s="1927">
        <f t="array" ref="BF193">BF192/BA192-1</f>
        <v/>
      </c>
      <c r="BG193" s="1924">
        <f t="array" ref="BG193">BG192/BB192-1</f>
        <v/>
      </c>
      <c r="BH193" s="1924">
        <f t="array" ref="BH193">BH192/BC192-1</f>
        <v/>
      </c>
      <c r="BI193" s="1924">
        <f t="array" ref="BI193">BI192/BD192-1</f>
        <v/>
      </c>
      <c r="BJ193" s="1924">
        <f t="array" ref="BJ193">BJ192/BE192-1</f>
        <v/>
      </c>
      <c r="BK193" s="1924">
        <f t="array" ref="BK193">BK192/BF192-1</f>
        <v/>
      </c>
      <c r="BL193" s="1924">
        <f t="array" ref="BL193">BL192/BG192-1</f>
        <v/>
      </c>
      <c r="BM193" s="1924">
        <f t="array" ref="BM193">BM192/BH192-1</f>
        <v/>
      </c>
      <c r="BN193" s="1924">
        <f t="array" ref="BN193">BN192/BI192-1</f>
        <v/>
      </c>
      <c r="BO193" s="1924">
        <f t="array" ref="BO193">BO192/BJ192-1</f>
        <v/>
      </c>
      <c r="BP193" s="1924">
        <f t="array" ref="BP193">BP192/BK192-1</f>
        <v/>
      </c>
      <c r="BQ193" s="1924">
        <f t="array" ref="BQ193">BQ192/BL192-1</f>
        <v/>
      </c>
      <c r="BR193" s="1924">
        <f t="array" ref="BR193">BR192/BM192-1</f>
        <v/>
      </c>
      <c r="BS193" s="1924">
        <f t="array" ref="BS193">BS192/BN192-1</f>
        <v/>
      </c>
      <c r="BT193" s="1924">
        <f t="array" ref="BT193">BT192/BO192-1</f>
        <v/>
      </c>
      <c r="BU193" s="1924">
        <f t="array" ref="BU193">BU192/BP192-1</f>
        <v/>
      </c>
      <c r="BV193" s="1924">
        <f t="array" ref="BV193">BV192/BQ192-1</f>
        <v/>
      </c>
      <c r="BW193" s="1924">
        <f t="array" ref="BW193">BW192/BR192-1</f>
        <v/>
      </c>
      <c r="BX193" s="1924">
        <f t="array" ref="BX193">BX192/BS192-1</f>
        <v/>
      </c>
      <c r="BY193" s="1924">
        <f t="array" ref="BY193">BY192/BT192-1</f>
        <v/>
      </c>
      <c r="BZ193" s="1924">
        <f t="array" ref="BZ193">BZ192/BU192-1</f>
        <v/>
      </c>
      <c r="CA193" s="1743" t="n"/>
      <c r="CB193" s="98" t="n"/>
      <c r="CC193" s="701" t="n"/>
      <c r="CD193" s="701" t="n"/>
      <c r="CE193" s="701" t="n"/>
      <c r="CF193" s="701" t="n"/>
      <c r="CG193" s="701" t="n"/>
      <c r="CH193" s="701" t="n"/>
      <c r="CI193" s="701" t="n"/>
      <c r="CJ193" s="701" t="n"/>
      <c r="CK193" s="701" t="n"/>
      <c r="CL193" s="701" t="n"/>
      <c r="CM193" s="701" t="n"/>
      <c r="CN193" s="701" t="n"/>
      <c r="CO193" s="701" t="n"/>
      <c r="CP193" s="701" t="n"/>
      <c r="CQ193" s="701" t="n"/>
      <c r="CR193" s="701" t="n"/>
      <c r="CS193" s="701" t="n"/>
      <c r="CT193" s="701" t="n"/>
      <c r="CU193" s="701" t="n"/>
      <c r="CV193" s="701" t="n"/>
      <c r="CW193" s="30" t="n"/>
    </row>
    <row r="194" ht="12.75" customHeight="1" s="1676">
      <c r="A194" s="31" t="n"/>
      <c r="B194" s="462" t="inlineStr">
        <is>
          <t>Text_162</t>
        </is>
      </c>
      <c r="C194" s="805" t="n"/>
      <c r="D194" s="1726" t="n"/>
      <c r="E194" s="1726" t="n"/>
      <c r="F194" s="1726" t="n"/>
      <c r="G194" s="1726" t="n"/>
      <c r="H194" s="1727" t="n"/>
      <c r="I194" s="1928" t="n"/>
      <c r="J194" s="1928" t="n"/>
      <c r="K194" s="1928" t="n"/>
      <c r="L194" s="1928" t="n"/>
      <c r="M194" s="1928" t="n"/>
      <c r="N194" s="1928" t="n"/>
      <c r="O194" s="1928" t="n"/>
      <c r="P194" s="1928" t="n"/>
      <c r="Q194" s="1928" t="n"/>
      <c r="R194" s="1928" t="n">
        <v>-0.410497607748136</v>
      </c>
      <c r="S194" s="1928" t="n"/>
      <c r="T194" s="1928" t="n"/>
      <c r="U194" s="1928" t="n"/>
      <c r="V194" s="1928" t="n">
        <v>0.133085613311024</v>
      </c>
      <c r="W194" s="1928" t="n">
        <v>0.171489924517238</v>
      </c>
      <c r="X194" s="1928" t="n">
        <v>-0.304246250244426</v>
      </c>
      <c r="Y194" s="1928" t="n">
        <v>-0.236358899590655</v>
      </c>
      <c r="Z194" s="1928" t="n">
        <v>0.00519828401440462</v>
      </c>
      <c r="AA194" s="1928" t="n">
        <v>-0.0347183149837849</v>
      </c>
      <c r="AB194" s="1928" t="n">
        <v>-0.5945507229500701</v>
      </c>
      <c r="AC194" s="1928" t="n">
        <v>-0.146856158417916</v>
      </c>
      <c r="AD194" s="1928" t="n">
        <v>0.124361589357669</v>
      </c>
      <c r="AE194" s="1928" t="n">
        <v>0.234065464740462</v>
      </c>
      <c r="AF194" s="1928" t="n">
        <v>0.00821063622578057</v>
      </c>
      <c r="AG194" s="1928" t="n">
        <v>0.218115997917992</v>
      </c>
      <c r="AH194" s="1928" t="n">
        <v>0.401246865919333</v>
      </c>
      <c r="AI194" s="1928" t="n">
        <v>0.39590539639341</v>
      </c>
      <c r="AJ194" s="1928" t="n">
        <v>0.532600219833805</v>
      </c>
      <c r="AK194" s="1928" t="n">
        <v>-0.00210156553578638</v>
      </c>
      <c r="AL194" s="1928" t="n">
        <v>1.40013856880162</v>
      </c>
      <c r="AM194" s="1928" t="n">
        <v>-0.0768531036278445</v>
      </c>
      <c r="AN194" s="1928" t="n">
        <v>-0.299467920988278</v>
      </c>
      <c r="AO194" s="1928" t="n">
        <v>-0.384958972843566</v>
      </c>
      <c r="AP194" s="1928" t="n">
        <v>-0.899774579455788</v>
      </c>
      <c r="AQ194" s="1928" t="n">
        <v>-1.7490003981544</v>
      </c>
      <c r="AR194" s="1928" t="n">
        <v>-1.85893326901414</v>
      </c>
      <c r="AS194" s="1928" t="n">
        <v>-1.61779797619104</v>
      </c>
      <c r="AT194" s="1928" t="n">
        <v>0.720556344372112</v>
      </c>
      <c r="AU194" s="1928" t="n">
        <v>-0.327325593191973</v>
      </c>
      <c r="AV194" s="1928" t="n">
        <v>-2.5168104374816</v>
      </c>
      <c r="AW194" s="1929" t="n">
        <v>-1.24754092839954</v>
      </c>
      <c r="AX194" s="1930" t="n">
        <v>-0.457015615102545</v>
      </c>
      <c r="AY194" s="1930" t="n">
        <v>-0.237307269026682</v>
      </c>
      <c r="AZ194" s="1930" t="n">
        <v>-0.563736625862298</v>
      </c>
      <c r="BA194" s="1931">
        <f t="array" ref="BA194">AZ194+AY194+AX194+AW194</f>
        <v/>
      </c>
      <c r="BB194" s="1932" t="n">
        <v>0.0706620881890245</v>
      </c>
      <c r="BC194" s="1930" t="n">
        <v>-0.3857717548633</v>
      </c>
      <c r="BD194" s="1933" t="n">
        <v>0</v>
      </c>
      <c r="BE194" s="1933" t="n">
        <v>0</v>
      </c>
      <c r="BF194" s="1931">
        <f t="array" ref="BF194">BE194+BD194+BC194+BB194</f>
        <v/>
      </c>
      <c r="BG194" s="1934" t="n">
        <v>0</v>
      </c>
      <c r="BH194" s="1934" t="n">
        <v>0</v>
      </c>
      <c r="BI194" s="1934" t="n">
        <v>0</v>
      </c>
      <c r="BJ194" s="1934" t="n">
        <v>0</v>
      </c>
      <c r="BK194" s="1934" t="n">
        <v>0</v>
      </c>
      <c r="BL194" s="1934" t="n">
        <v>0</v>
      </c>
      <c r="BM194" s="1934" t="n">
        <v>0</v>
      </c>
      <c r="BN194" s="1934" t="n">
        <v>0</v>
      </c>
      <c r="BO194" s="1934" t="n">
        <v>0</v>
      </c>
      <c r="BP194" s="1934" t="n">
        <v>0</v>
      </c>
      <c r="BQ194" s="1934" t="n">
        <v>0</v>
      </c>
      <c r="BR194" s="1934" t="n">
        <v>0</v>
      </c>
      <c r="BS194" s="1934" t="n">
        <v>0</v>
      </c>
      <c r="BT194" s="1934" t="n">
        <v>0</v>
      </c>
      <c r="BU194" s="1934" t="n">
        <v>0</v>
      </c>
      <c r="BV194" s="1934" t="n">
        <v>0</v>
      </c>
      <c r="BW194" s="1934" t="n">
        <v>0</v>
      </c>
      <c r="BX194" s="1934" t="n">
        <v>0</v>
      </c>
      <c r="BY194" s="1934" t="n">
        <v>0</v>
      </c>
      <c r="BZ194" s="1934" t="n">
        <v>0</v>
      </c>
      <c r="CA194" s="1786" t="n"/>
      <c r="CB194" s="456" t="n"/>
      <c r="CC194" s="701" t="n"/>
      <c r="CD194" s="701" t="n"/>
      <c r="CE194" s="701" t="n"/>
      <c r="CF194" s="701" t="n"/>
      <c r="CG194" s="701" t="n"/>
      <c r="CH194" s="701" t="n"/>
      <c r="CI194" s="701" t="n"/>
      <c r="CJ194" s="701" t="n"/>
      <c r="CK194" s="701" t="n"/>
      <c r="CL194" s="701" t="n"/>
      <c r="CM194" s="701" t="n"/>
      <c r="CN194" s="701" t="n"/>
      <c r="CO194" s="701" t="n"/>
      <c r="CP194" s="701" t="n"/>
      <c r="CQ194" s="701" t="n"/>
      <c r="CR194" s="701" t="n"/>
      <c r="CS194" s="701" t="n"/>
      <c r="CT194" s="701" t="n"/>
      <c r="CU194" s="701" t="n"/>
      <c r="CV194" s="701" t="n"/>
      <c r="CW194" s="30" t="n"/>
    </row>
    <row r="195" ht="12.75" customHeight="1" s="1676">
      <c r="A195" s="31" t="n"/>
      <c r="B195" s="250" t="inlineStr">
        <is>
          <t>Text_33</t>
        </is>
      </c>
      <c r="C195" s="66" t="n"/>
      <c r="D195" s="1806" t="n"/>
      <c r="E195" s="1806" t="n"/>
      <c r="F195" s="1806" t="n"/>
      <c r="G195" s="1806" t="n"/>
      <c r="H195" s="1807" t="n"/>
      <c r="I195" s="1806">
        <f t="array" ref="I195">I194+I192</f>
        <v/>
      </c>
      <c r="J195" s="1806">
        <f t="array" ref="J195">J194+J192</f>
        <v/>
      </c>
      <c r="K195" s="1806">
        <f t="array" ref="K195">K194+K192</f>
        <v/>
      </c>
      <c r="L195" s="1806">
        <f t="array" ref="L195">L194+L192</f>
        <v/>
      </c>
      <c r="M195" s="1807">
        <f t="array" ref="M195">M194+M192</f>
        <v/>
      </c>
      <c r="N195" s="1806">
        <f t="array" ref="N195">N194+N192</f>
        <v/>
      </c>
      <c r="O195" s="1806">
        <f t="array" ref="O195">O194+O192</f>
        <v/>
      </c>
      <c r="P195" s="1806">
        <f t="array" ref="P195">P194+P192</f>
        <v/>
      </c>
      <c r="Q195" s="1806">
        <f t="array" ref="Q195">Q194+Q192</f>
        <v/>
      </c>
      <c r="R195" s="1807">
        <f t="array" ref="R195">R194+R192</f>
        <v/>
      </c>
      <c r="S195" s="1806">
        <f t="array" ref="S195">S194+S192</f>
        <v/>
      </c>
      <c r="T195" s="1806">
        <f t="array" ref="T195">T194+T192</f>
        <v/>
      </c>
      <c r="U195" s="1806">
        <f t="array" ref="U195">U194+U192</f>
        <v/>
      </c>
      <c r="V195" s="1806">
        <f t="array" ref="V195">V194+V192</f>
        <v/>
      </c>
      <c r="W195" s="1807">
        <f t="array" ref="W195">W194+W192</f>
        <v/>
      </c>
      <c r="X195" s="1807">
        <f t="array" ref="X195">X194+X192</f>
        <v/>
      </c>
      <c r="Y195" s="1807">
        <f t="array" ref="Y195">Y194+Y192</f>
        <v/>
      </c>
      <c r="Z195" s="1807">
        <f t="array" ref="Z195">Z194+Z192</f>
        <v/>
      </c>
      <c r="AA195" s="1807">
        <f t="array" ref="AA195">AA194+AA192</f>
        <v/>
      </c>
      <c r="AB195" s="1807">
        <f t="array" ref="AB195">AB194+AB192</f>
        <v/>
      </c>
      <c r="AC195" s="1807">
        <f t="array" ref="AC195">AC194+AC192</f>
        <v/>
      </c>
      <c r="AD195" s="1807">
        <f t="array" ref="AD195">AD194+AD192</f>
        <v/>
      </c>
      <c r="AE195" s="1807">
        <f t="array" ref="AE195">AE194+AE192</f>
        <v/>
      </c>
      <c r="AF195" s="1807">
        <f t="array" ref="AF195">AF194+AF192</f>
        <v/>
      </c>
      <c r="AG195" s="1807">
        <f t="array" ref="AG195">AG194+AG192</f>
        <v/>
      </c>
      <c r="AH195" s="1807">
        <f t="array" ref="AH195">AH194+AH192</f>
        <v/>
      </c>
      <c r="AI195" s="1807">
        <f t="array" ref="AI195">AI194+AI192</f>
        <v/>
      </c>
      <c r="AJ195" s="1807">
        <f t="array" ref="AJ195">AJ194+AJ192</f>
        <v/>
      </c>
      <c r="AK195" s="1807">
        <f t="array" ref="AK195">AK194+AK192</f>
        <v/>
      </c>
      <c r="AL195" s="1807">
        <f t="array" ref="AL195">AL194+AL192</f>
        <v/>
      </c>
      <c r="AM195" s="1807">
        <f t="array" ref="AM195">AM194+AM192</f>
        <v/>
      </c>
      <c r="AN195" s="1807">
        <f t="array" ref="AN195">AN194+AN192</f>
        <v/>
      </c>
      <c r="AO195" s="1807">
        <f t="array" ref="AO195">AO194+AO192</f>
        <v/>
      </c>
      <c r="AP195" s="1807">
        <f t="array" ref="AP195">AP194+AP192</f>
        <v/>
      </c>
      <c r="AQ195" s="1807">
        <f t="array" ref="AQ195">AQ194+AQ192</f>
        <v/>
      </c>
      <c r="AR195" s="1807">
        <f t="array" ref="AR195">AR194+AR192</f>
        <v/>
      </c>
      <c r="AS195" s="1807">
        <f t="array" ref="AS195">AS194+AS192</f>
        <v/>
      </c>
      <c r="AT195" s="1807">
        <f t="array" ref="AT195">AT194+AT192</f>
        <v/>
      </c>
      <c r="AU195" s="1807">
        <f t="array" ref="AU195">AU194+AU192</f>
        <v/>
      </c>
      <c r="AV195" s="1807">
        <f t="array" ref="AV195">AV194+AV192</f>
        <v/>
      </c>
      <c r="AW195" s="1808">
        <f t="array" ref="AW195">AW194+AW192</f>
        <v/>
      </c>
      <c r="AX195" s="1809">
        <f t="array" ref="AX195">AX194+AX192</f>
        <v/>
      </c>
      <c r="AY195" s="1809">
        <f t="array" ref="AY195">AY194+AY192</f>
        <v/>
      </c>
      <c r="AZ195" s="1809">
        <f t="array" ref="AZ195">AZ194+AZ192</f>
        <v/>
      </c>
      <c r="BA195" s="1810">
        <f t="array" ref="BA195">BA194+BA192</f>
        <v/>
      </c>
      <c r="BB195" s="1808">
        <f t="array" ref="BB195">BB194+BB192</f>
        <v/>
      </c>
      <c r="BC195" s="1809">
        <f t="array" ref="BC195">BC194+BC192</f>
        <v/>
      </c>
      <c r="BD195" s="1809">
        <f t="array" ref="BD195">BD194+BD192</f>
        <v/>
      </c>
      <c r="BE195" s="1809">
        <f t="array" ref="BE195">BE194+BE192</f>
        <v/>
      </c>
      <c r="BF195" s="1810">
        <f t="array" ref="BF195">BF194+BF192</f>
        <v/>
      </c>
      <c r="BG195" s="1807">
        <f t="array" ref="BG195">BG194+BG192</f>
        <v/>
      </c>
      <c r="BH195" s="1807">
        <f t="array" ref="BH195">BH194+BH192</f>
        <v/>
      </c>
      <c r="BI195" s="1807">
        <f t="array" ref="BI195">BI194+BI192</f>
        <v/>
      </c>
      <c r="BJ195" s="1807">
        <f t="array" ref="BJ195">BJ194+BJ192</f>
        <v/>
      </c>
      <c r="BK195" s="1807">
        <f t="array" ref="BK195">BK194+BK192</f>
        <v/>
      </c>
      <c r="BL195" s="1807">
        <f t="array" ref="BL195">BL194+BL192</f>
        <v/>
      </c>
      <c r="BM195" s="1807">
        <f t="array" ref="BM195">BM194+BM192</f>
        <v/>
      </c>
      <c r="BN195" s="1807">
        <f t="array" ref="BN195">BN194+BN192</f>
        <v/>
      </c>
      <c r="BO195" s="1807">
        <f t="array" ref="BO195">BO194+BO192</f>
        <v/>
      </c>
      <c r="BP195" s="1807">
        <f t="array" ref="BP195">BP194+BP192</f>
        <v/>
      </c>
      <c r="BQ195" s="1807">
        <f t="array" ref="BQ195">BQ194+BQ192</f>
        <v/>
      </c>
      <c r="BR195" s="1807">
        <f t="array" ref="BR195">BR194+BR192</f>
        <v/>
      </c>
      <c r="BS195" s="1807">
        <f t="array" ref="BS195">BS194+BS192</f>
        <v/>
      </c>
      <c r="BT195" s="1807">
        <f t="array" ref="BT195">BT194+BT192</f>
        <v/>
      </c>
      <c r="BU195" s="1807">
        <f t="array" ref="BU195">BU194+BU192</f>
        <v/>
      </c>
      <c r="BV195" s="1807">
        <f t="array" ref="BV195">BV194+BV192</f>
        <v/>
      </c>
      <c r="BW195" s="1807">
        <f t="array" ref="BW195">BW194+BW192</f>
        <v/>
      </c>
      <c r="BX195" s="1807">
        <f t="array" ref="BX195">BX194+BX192</f>
        <v/>
      </c>
      <c r="BY195" s="1807">
        <f t="array" ref="BY195">BY194+BY192</f>
        <v/>
      </c>
      <c r="BZ195" s="1807">
        <f t="array" ref="BZ195">BZ194+BZ192</f>
        <v/>
      </c>
      <c r="CA195" s="256" t="n"/>
      <c r="CB195" s="456" t="n"/>
      <c r="CC195" s="701" t="n"/>
      <c r="CD195" s="701" t="n"/>
      <c r="CE195" s="701" t="n"/>
      <c r="CF195" s="701" t="n"/>
      <c r="CG195" s="701" t="n"/>
      <c r="CH195" s="701" t="n"/>
      <c r="CI195" s="701" t="n"/>
      <c r="CJ195" s="701" t="n"/>
      <c r="CK195" s="701" t="n"/>
      <c r="CL195" s="701" t="n"/>
      <c r="CM195" s="701" t="n"/>
      <c r="CN195" s="701" t="n"/>
      <c r="CO195" s="701" t="n"/>
      <c r="CP195" s="701" t="n"/>
      <c r="CQ195" s="701" t="n"/>
      <c r="CR195" s="701" t="n"/>
      <c r="CS195" s="701" t="n"/>
      <c r="CT195" s="701" t="n"/>
      <c r="CU195" s="701" t="n"/>
      <c r="CV195" s="701" t="n"/>
      <c r="CW195" s="30" t="n"/>
    </row>
    <row r="196" hidden="1" ht="12.75" customHeight="1" s="1676">
      <c r="A196" s="31" t="n"/>
      <c r="B196" s="257" t="inlineStr">
        <is>
          <t>Text_35</t>
        </is>
      </c>
      <c r="C196" s="66" t="n"/>
      <c r="D196" s="1703" t="n"/>
      <c r="E196" s="1703" t="n"/>
      <c r="F196" s="1703" t="n"/>
      <c r="G196" s="1703" t="n"/>
      <c r="H196" s="1708" t="n"/>
      <c r="I196" s="1811">
        <f t="array" ref="I196">I195-I$212</f>
        <v/>
      </c>
      <c r="J196" s="1811">
        <f t="array" ref="J196">J195-J$212</f>
        <v/>
      </c>
      <c r="K196" s="1811">
        <f t="array" ref="K196">K195-K$212</f>
        <v/>
      </c>
      <c r="L196" s="1811">
        <f t="array" ref="L196">L195-L$212</f>
        <v/>
      </c>
      <c r="M196" s="1811">
        <f t="array" ref="M196">M195-M$212</f>
        <v/>
      </c>
      <c r="N196" s="1811">
        <f t="array" ref="N196">N195-N$212</f>
        <v/>
      </c>
      <c r="O196" s="1811">
        <f t="array" ref="O196">O195-O$212</f>
        <v/>
      </c>
      <c r="P196" s="1811">
        <f t="array" ref="P196">P195-P$212</f>
        <v/>
      </c>
      <c r="Q196" s="1811">
        <f t="array" ref="Q196">Q195-Q$212</f>
        <v/>
      </c>
      <c r="R196" s="1811">
        <f t="array" ref="R196">R195-R$212</f>
        <v/>
      </c>
      <c r="S196" s="1811">
        <f t="array" ref="S196">S195-S$212</f>
        <v/>
      </c>
      <c r="T196" s="1811">
        <f t="array" ref="T196">T195-T$212</f>
        <v/>
      </c>
      <c r="U196" s="1811">
        <f t="array" ref="U196">U195-U$212</f>
        <v/>
      </c>
      <c r="V196" s="1811">
        <f t="array" ref="V196">V195-V$212</f>
        <v/>
      </c>
      <c r="W196" s="1811">
        <f t="array" ref="W196">W195-W$212</f>
        <v/>
      </c>
      <c r="X196" s="1811">
        <f t="array" ref="X196">X195-X$212</f>
        <v/>
      </c>
      <c r="Y196" s="1811">
        <f t="array" ref="Y196">Y195-Y$212</f>
        <v/>
      </c>
      <c r="Z196" s="1811">
        <f t="array" ref="Z196">Z195-Z$212</f>
        <v/>
      </c>
      <c r="AA196" s="1811">
        <f t="array" ref="AA196">AA195-AA$212</f>
        <v/>
      </c>
      <c r="AB196" s="1811">
        <f t="array" ref="AB196">AB195-AB$212</f>
        <v/>
      </c>
      <c r="AC196" s="1811">
        <f t="array" ref="AC196">AC195-AC$212</f>
        <v/>
      </c>
      <c r="AD196" s="1811">
        <f t="array" ref="AD196">AD195-AD$212</f>
        <v/>
      </c>
      <c r="AE196" s="1811">
        <f t="array" ref="AE196">AE195-AE$212</f>
        <v/>
      </c>
      <c r="AF196" s="1811">
        <f t="array" ref="AF196">AF195-AF$212</f>
        <v/>
      </c>
      <c r="AG196" s="1811">
        <f t="array" ref="AG196">AG195-AG$212</f>
        <v/>
      </c>
      <c r="AH196" s="1811">
        <f t="array" ref="AH196">AH195-AH$212</f>
        <v/>
      </c>
      <c r="AI196" s="1811">
        <f t="array" ref="AI196">AI195-AI$212</f>
        <v/>
      </c>
      <c r="AJ196" s="1811">
        <f t="array" ref="AJ196">AJ195-AJ$212</f>
        <v/>
      </c>
      <c r="AK196" s="1811">
        <f t="array" ref="AK196">AK195-AK$212</f>
        <v/>
      </c>
      <c r="AL196" s="1811">
        <f t="array" ref="AL196">AL195-AL$212</f>
        <v/>
      </c>
      <c r="AM196" s="1811">
        <f t="array" ref="AM196">AM195-AM$212</f>
        <v/>
      </c>
      <c r="AN196" s="1811">
        <f t="array" ref="AN196">AN195-AN$212</f>
        <v/>
      </c>
      <c r="AO196" s="1811">
        <f t="array" ref="AO196">AO195-AO$212</f>
        <v/>
      </c>
      <c r="AP196" s="1811">
        <f t="array" ref="AP196">AP195-AP$212</f>
        <v/>
      </c>
      <c r="AQ196" s="1811">
        <f t="array" ref="AQ196">AQ195-AQ$212</f>
        <v/>
      </c>
      <c r="AR196" s="1811">
        <f t="array" ref="AR196">AR195-AR$212</f>
        <v/>
      </c>
      <c r="AS196" s="1811">
        <f t="array" ref="AS196">AS195-AS$212</f>
        <v/>
      </c>
      <c r="AT196" s="1811">
        <f t="array" ref="AT196">AT195-AT$212</f>
        <v/>
      </c>
      <c r="AU196" s="1811">
        <f t="array" ref="AU196">AU195-AU$212</f>
        <v/>
      </c>
      <c r="AV196" s="1811">
        <f t="array" ref="AV196">AV195-AV$212</f>
        <v/>
      </c>
      <c r="AW196" s="1812">
        <f t="array" ref="AW196">AW195-AW$212</f>
        <v/>
      </c>
      <c r="AX196" s="1813">
        <f t="array" ref="AX196">AX195-AX$212</f>
        <v/>
      </c>
      <c r="AY196" s="1813">
        <f t="array" ref="AY196">AY195-AY$212</f>
        <v/>
      </c>
      <c r="AZ196" s="1813">
        <f t="array" ref="AZ196">AZ195-AZ$212</f>
        <v/>
      </c>
      <c r="BA196" s="1813">
        <f t="array" ref="BA196">BA195-BA$212</f>
        <v/>
      </c>
      <c r="BB196" s="1813">
        <f t="array" ref="BB196">BB195-BB$212</f>
        <v/>
      </c>
      <c r="BC196" s="1813">
        <f t="array" ref="BC196">BC195-BC$212</f>
        <v/>
      </c>
      <c r="BD196" s="1813" t="n"/>
      <c r="BE196" s="1813" t="n"/>
      <c r="BF196" s="1814" t="n"/>
      <c r="BG196" s="1811">
        <f t="array" ref="BG196">BG195-BG$212</f>
        <v/>
      </c>
      <c r="BH196" s="1811" t="n"/>
      <c r="BI196" s="1811" t="n"/>
      <c r="BJ196" s="1811" t="n"/>
      <c r="BK196" s="1811" t="n"/>
      <c r="BL196" s="1811">
        <f t="array" ref="BL196">BL195-BL$212</f>
        <v/>
      </c>
      <c r="BM196" s="1811" t="n"/>
      <c r="BN196" s="1811" t="n"/>
      <c r="BO196" s="1811" t="n"/>
      <c r="BP196" s="1811" t="n"/>
      <c r="BQ196" s="1811">
        <f t="array" ref="BQ196">BQ195-BQ$212</f>
        <v/>
      </c>
      <c r="BR196" s="1811" t="n"/>
      <c r="BS196" s="1811" t="n"/>
      <c r="BT196" s="1811" t="n"/>
      <c r="BU196" s="1811" t="n"/>
      <c r="BV196" s="1811">
        <f t="array" ref="BV196">BV195-BV$212</f>
        <v/>
      </c>
      <c r="BW196" s="1811" t="n"/>
      <c r="BX196" s="1811" t="n"/>
      <c r="BY196" s="1811" t="n"/>
      <c r="BZ196" s="1811" t="n"/>
      <c r="CA196" s="1709" t="n"/>
      <c r="CB196" s="174" t="n"/>
      <c r="CC196" s="701" t="n"/>
      <c r="CD196" s="701" t="n"/>
      <c r="CE196" s="701" t="n"/>
      <c r="CF196" s="701" t="n"/>
      <c r="CG196" s="701" t="n"/>
      <c r="CH196" s="701" t="n"/>
      <c r="CI196" s="701" t="n"/>
      <c r="CJ196" s="701" t="n"/>
      <c r="CK196" s="701" t="n"/>
      <c r="CL196" s="701" t="n"/>
      <c r="CM196" s="701" t="n"/>
      <c r="CN196" s="701" t="n"/>
      <c r="CO196" s="701" t="n"/>
      <c r="CP196" s="701" t="n"/>
      <c r="CQ196" s="701" t="n"/>
      <c r="CR196" s="701" t="n"/>
      <c r="CS196" s="701" t="n"/>
      <c r="CT196" s="701" t="n"/>
      <c r="CU196" s="701" t="n"/>
      <c r="CV196" s="701" t="n"/>
      <c r="CW196" s="30" t="n"/>
    </row>
    <row r="197" ht="12.75" customHeight="1" s="1676">
      <c r="A197" s="31" t="n"/>
      <c r="B197" s="293" t="inlineStr">
        <is>
          <t>Text_24</t>
        </is>
      </c>
      <c r="C197" s="33" t="n"/>
      <c r="D197" s="1735" t="n"/>
      <c r="E197" s="1735" t="n"/>
      <c r="F197" s="1735" t="n"/>
      <c r="G197" s="1735" t="n"/>
      <c r="H197" s="1736" t="n"/>
      <c r="I197" s="1923" t="n"/>
      <c r="J197" s="1923" t="n"/>
      <c r="K197" s="1923" t="n"/>
      <c r="L197" s="1923" t="n"/>
      <c r="M197" s="1924" t="n"/>
      <c r="N197" s="1924">
        <f t="array" ref="N197">N195/I195-1</f>
        <v/>
      </c>
      <c r="O197" s="1924">
        <f t="array" ref="O197">O195/J195-1</f>
        <v/>
      </c>
      <c r="P197" s="1924">
        <f t="array" ref="P197">P195/K195-1</f>
        <v/>
      </c>
      <c r="Q197" s="1924">
        <f t="array" ref="Q197">Q195/L195-1</f>
        <v/>
      </c>
      <c r="R197" s="1924">
        <f t="array" ref="R197">R195/M195-1</f>
        <v/>
      </c>
      <c r="S197" s="1924">
        <f t="array" ref="S197">S195/N195-1</f>
        <v/>
      </c>
      <c r="T197" s="1924">
        <f t="array" ref="T197">T195/O195-1</f>
        <v/>
      </c>
      <c r="U197" s="1924">
        <f t="array" ref="U197">U195/P195-1</f>
        <v/>
      </c>
      <c r="V197" s="1924">
        <f t="array" ref="V197">V195/Q195-1</f>
        <v/>
      </c>
      <c r="W197" s="1924">
        <f t="array" ref="W197">W195/R195-1</f>
        <v/>
      </c>
      <c r="X197" s="1924">
        <f t="array" ref="X197">X195/S195-1</f>
        <v/>
      </c>
      <c r="Y197" s="1924">
        <f t="array" ref="Y197">Y195/T195-1</f>
        <v/>
      </c>
      <c r="Z197" s="1924">
        <f t="array" ref="Z197">Z195/U195-1</f>
        <v/>
      </c>
      <c r="AA197" s="1924">
        <f t="array" ref="AA197">AA195/V195-1</f>
        <v/>
      </c>
      <c r="AB197" s="1924">
        <f t="array" ref="AB197">AB195/W195-1</f>
        <v/>
      </c>
      <c r="AC197" s="1924">
        <f t="array" ref="AC197">AC195/X195-1</f>
        <v/>
      </c>
      <c r="AD197" s="1924">
        <f t="array" ref="AD197">AD195/Y195-1</f>
        <v/>
      </c>
      <c r="AE197" s="1924">
        <f t="array" ref="AE197">AE195/Z195-1</f>
        <v/>
      </c>
      <c r="AF197" s="1924">
        <f t="array" ref="AF197">AF195/AA195-1</f>
        <v/>
      </c>
      <c r="AG197" s="1924">
        <f t="array" ref="AG197">AG195/AB195-1</f>
        <v/>
      </c>
      <c r="AH197" s="1924">
        <f t="array" ref="AH197">AH195/AC195-1</f>
        <v/>
      </c>
      <c r="AI197" s="1924">
        <f t="array" ref="AI197">AI195/AD195-1</f>
        <v/>
      </c>
      <c r="AJ197" s="1924">
        <f t="array" ref="AJ197">AJ195/AE195-1</f>
        <v/>
      </c>
      <c r="AK197" s="1924">
        <f t="array" ref="AK197">AK195/AF195-1</f>
        <v/>
      </c>
      <c r="AL197" s="1924">
        <f t="array" ref="AL197">AL195/AG195-1</f>
        <v/>
      </c>
      <c r="AM197" s="1924">
        <f t="array" ref="AM197">AM195/AH195-1</f>
        <v/>
      </c>
      <c r="AN197" s="1924">
        <f t="array" ref="AN197">AN195/AI195-1</f>
        <v/>
      </c>
      <c r="AO197" s="1924">
        <f t="array" ref="AO197">AO195/AJ195-1</f>
        <v/>
      </c>
      <c r="AP197" s="1924">
        <f t="array" ref="AP197">AP195/AK195-1</f>
        <v/>
      </c>
      <c r="AQ197" s="1924">
        <f t="array" ref="AQ197">AQ195/AL195-1</f>
        <v/>
      </c>
      <c r="AR197" s="1924">
        <f t="array" ref="AR197">AR195/AM195-1</f>
        <v/>
      </c>
      <c r="AS197" s="1924">
        <f t="array" ref="AS197">AS195/AN195-1</f>
        <v/>
      </c>
      <c r="AT197" s="1924">
        <f t="array" ref="AT197">AT195/AO195-1</f>
        <v/>
      </c>
      <c r="AU197" s="1924">
        <f t="array" ref="AU197">AU195/AP195-1</f>
        <v/>
      </c>
      <c r="AV197" s="1924">
        <f t="array" ref="AV197">AV195/AQ195-1</f>
        <v/>
      </c>
      <c r="AW197" s="1925">
        <f t="array" ref="AW197">AW195/AR195-1</f>
        <v/>
      </c>
      <c r="AX197" s="1926">
        <f t="array" ref="AX197">AX195/AS195-1</f>
        <v/>
      </c>
      <c r="AY197" s="1926">
        <f t="array" ref="AY197">AY195/AT195-1</f>
        <v/>
      </c>
      <c r="AZ197" s="1926">
        <f t="array" ref="AZ197">AZ195/AU195-1</f>
        <v/>
      </c>
      <c r="BA197" s="1927">
        <f t="array" ref="BA197">BA195/AV195-1</f>
        <v/>
      </c>
      <c r="BB197" s="1925">
        <f t="array" ref="BB197">BB195/AW195-1</f>
        <v/>
      </c>
      <c r="BC197" s="1926">
        <f t="array" ref="BC197">BC195/AX195-1</f>
        <v/>
      </c>
      <c r="BD197" s="1926">
        <f t="array" ref="BD197">BD195/AY195-1</f>
        <v/>
      </c>
      <c r="BE197" s="1926">
        <f t="array" ref="BE197">BE195/AZ195-1</f>
        <v/>
      </c>
      <c r="BF197" s="1927">
        <f t="array" ref="BF197">BF195/BA195-1</f>
        <v/>
      </c>
      <c r="BG197" s="1924">
        <f t="array" ref="BG197">BG195/BB195-1</f>
        <v/>
      </c>
      <c r="BH197" s="1924">
        <f t="array" ref="BH197">BH195/BC195-1</f>
        <v/>
      </c>
      <c r="BI197" s="1924">
        <f t="array" ref="BI197">BI195/BD195-1</f>
        <v/>
      </c>
      <c r="BJ197" s="1924">
        <f t="array" ref="BJ197">BJ195/BE195-1</f>
        <v/>
      </c>
      <c r="BK197" s="1924">
        <f t="array" ref="BK197">BK195/BF195-1</f>
        <v/>
      </c>
      <c r="BL197" s="1924">
        <f t="array" ref="BL197">BL195/BG195-1</f>
        <v/>
      </c>
      <c r="BM197" s="1924">
        <f t="array" ref="BM197">BM195/BH195-1</f>
        <v/>
      </c>
      <c r="BN197" s="1924">
        <f t="array" ref="BN197">BN195/BI195-1</f>
        <v/>
      </c>
      <c r="BO197" s="1924">
        <f t="array" ref="BO197">BO195/BJ195-1</f>
        <v/>
      </c>
      <c r="BP197" s="1924">
        <f t="array" ref="BP197">BP195/BK195-1</f>
        <v/>
      </c>
      <c r="BQ197" s="1924">
        <f t="array" ref="BQ197">BQ195/BL195-1</f>
        <v/>
      </c>
      <c r="BR197" s="1924">
        <f t="array" ref="BR197">BR195/BM195-1</f>
        <v/>
      </c>
      <c r="BS197" s="1924">
        <f t="array" ref="BS197">BS195/BN195-1</f>
        <v/>
      </c>
      <c r="BT197" s="1924">
        <f t="array" ref="BT197">BT195/BO195-1</f>
        <v/>
      </c>
      <c r="BU197" s="1924">
        <f t="array" ref="BU197">BU195/BP195-1</f>
        <v/>
      </c>
      <c r="BV197" s="1924">
        <f t="array" ref="BV197">BV195/BQ195-1</f>
        <v/>
      </c>
      <c r="BW197" s="1924">
        <f t="array" ref="BW197">BW195/BR195-1</f>
        <v/>
      </c>
      <c r="BX197" s="1924">
        <f t="array" ref="BX197">BX195/BS195-1</f>
        <v/>
      </c>
      <c r="BY197" s="1924">
        <f t="array" ref="BY197">BY195/BT195-1</f>
        <v/>
      </c>
      <c r="BZ197" s="1924">
        <f t="array" ref="BZ197">BZ195/BU195-1</f>
        <v/>
      </c>
      <c r="CA197" s="1743" t="n"/>
      <c r="CB197" s="98" t="n"/>
      <c r="CC197" s="701" t="n"/>
      <c r="CD197" s="701" t="n"/>
      <c r="CE197" s="701" t="n"/>
      <c r="CF197" s="701" t="n"/>
      <c r="CG197" s="701" t="n"/>
      <c r="CH197" s="701" t="n"/>
      <c r="CI197" s="701" t="n"/>
      <c r="CJ197" s="701" t="n"/>
      <c r="CK197" s="701" t="n"/>
      <c r="CL197" s="701" t="n"/>
      <c r="CM197" s="701" t="n"/>
      <c r="CN197" s="701" t="n"/>
      <c r="CO197" s="701" t="n"/>
      <c r="CP197" s="701" t="n"/>
      <c r="CQ197" s="701" t="n"/>
      <c r="CR197" s="701" t="n"/>
      <c r="CS197" s="701" t="n"/>
      <c r="CT197" s="701" t="n"/>
      <c r="CU197" s="701" t="n"/>
      <c r="CV197" s="701" t="n"/>
      <c r="CW197" s="30" t="n"/>
    </row>
    <row r="198" ht="14.25" customHeight="1" s="1676">
      <c r="A198" s="31" t="n"/>
      <c r="B198" s="167" t="inlineStr">
        <is>
          <t>Text_8</t>
        </is>
      </c>
      <c r="C198" s="699" t="n"/>
      <c r="D198" s="1884" t="n"/>
      <c r="E198" s="1884" t="n"/>
      <c r="F198" s="1884" t="n"/>
      <c r="G198" s="1884" t="n"/>
      <c r="H198" s="1886" t="n"/>
      <c r="I198" s="1886" t="n"/>
      <c r="J198" s="1886" t="n"/>
      <c r="K198" s="1886" t="n"/>
      <c r="L198" s="1886" t="n"/>
      <c r="M198" s="1886" t="n"/>
      <c r="N198" s="1886" t="n"/>
      <c r="O198" s="1886" t="n"/>
      <c r="P198" s="1886" t="n"/>
      <c r="Q198" s="1886" t="n"/>
      <c r="R198" s="1886" t="n"/>
      <c r="S198" s="1886" t="n"/>
      <c r="T198" s="1886" t="n"/>
      <c r="U198" s="1886" t="n"/>
      <c r="V198" s="1886" t="n"/>
      <c r="W198" s="1886" t="n"/>
      <c r="X198" s="1886" t="n"/>
      <c r="Y198" s="1886" t="n"/>
      <c r="Z198" s="1886" t="n"/>
      <c r="AA198" s="1886" t="n"/>
      <c r="AB198" s="1886" t="n"/>
      <c r="AC198" s="1751" t="n"/>
      <c r="AD198" s="1751" t="n"/>
      <c r="AE198" s="1751" t="n"/>
      <c r="AF198" s="1751" t="n"/>
      <c r="AG198" s="1751" t="n"/>
      <c r="AH198" s="1751" t="n"/>
      <c r="AI198" s="1751" t="n"/>
      <c r="AJ198" s="1751" t="n"/>
      <c r="AK198" s="1751" t="n"/>
      <c r="AL198" s="1751" t="n"/>
      <c r="AM198" s="1751" t="n"/>
      <c r="AN198" s="1751" t="n"/>
      <c r="AO198" s="1751" t="n"/>
      <c r="AP198" s="1751" t="n"/>
      <c r="AQ198" s="1751" t="n"/>
      <c r="AR198" s="1751" t="n"/>
      <c r="AS198" s="1751" t="n"/>
      <c r="AT198" s="1751" t="n"/>
      <c r="AU198" s="1935" t="n"/>
      <c r="AV198" s="1935" t="n"/>
      <c r="AW198" s="1904" t="n"/>
      <c r="AX198" s="1905" t="n"/>
      <c r="AY198" s="1905" t="n"/>
      <c r="AZ198" s="1905" t="n"/>
      <c r="BA198" s="1936" t="n"/>
      <c r="BB198" s="1884" t="n"/>
      <c r="BC198" s="1884" t="n"/>
      <c r="BD198" s="1884" t="n"/>
      <c r="BE198" s="1904" t="n"/>
      <c r="BF198" s="1936" t="n">
        <v>0.0743761933159998</v>
      </c>
      <c r="BG198" s="1884" t="n"/>
      <c r="BH198" s="1884" t="n"/>
      <c r="BI198" s="1884" t="n"/>
      <c r="BJ198" s="1884" t="n"/>
      <c r="BK198" s="1935" t="n">
        <v>0.0619972146539434</v>
      </c>
      <c r="BL198" s="1884" t="n"/>
      <c r="BM198" s="1884" t="n"/>
      <c r="BN198" s="1884" t="n"/>
      <c r="BO198" s="1884" t="n"/>
      <c r="BP198" s="1935" t="n">
        <v>0.0475339082675375</v>
      </c>
      <c r="BQ198" s="1884" t="n"/>
      <c r="BR198" s="1884" t="n"/>
      <c r="BS198" s="1884" t="n"/>
      <c r="BT198" s="1884" t="n"/>
      <c r="BU198" s="1935" t="n">
        <v>0.0517217546395268</v>
      </c>
      <c r="BV198" s="1884" t="n"/>
      <c r="BW198" s="1884" t="n"/>
      <c r="BX198" s="1884" t="n"/>
      <c r="BY198" s="1884" t="n"/>
      <c r="BZ198" s="1935" t="n">
        <v>0.0468305794430587</v>
      </c>
      <c r="CA198" s="110" t="n"/>
      <c r="CB198" s="401" t="n"/>
      <c r="CC198" s="701" t="n"/>
      <c r="CD198" s="701" t="n"/>
      <c r="CE198" s="701" t="n"/>
      <c r="CF198" s="701" t="n"/>
      <c r="CG198" s="701" t="n"/>
      <c r="CH198" s="701" t="n"/>
      <c r="CI198" s="701" t="n"/>
      <c r="CJ198" s="701" t="n"/>
      <c r="CK198" s="701" t="n"/>
      <c r="CL198" s="701" t="n"/>
      <c r="CM198" s="701" t="n"/>
      <c r="CN198" s="701" t="n"/>
      <c r="CO198" s="701" t="n"/>
      <c r="CP198" s="701" t="n"/>
      <c r="CQ198" s="701" t="n"/>
      <c r="CR198" s="701" t="n"/>
      <c r="CS198" s="701" t="n"/>
      <c r="CT198" s="701" t="n"/>
      <c r="CU198" s="701" t="n"/>
      <c r="CV198" s="701" t="n"/>
      <c r="CW198" s="30" t="n"/>
    </row>
    <row r="199" ht="14.25" customHeight="1" s="1676">
      <c r="A199" s="31" t="n"/>
      <c r="B199" s="167" t="inlineStr">
        <is>
          <t>Text_163</t>
        </is>
      </c>
      <c r="C199" s="699" t="n"/>
      <c r="D199" s="1884" t="n"/>
      <c r="E199" s="1884" t="n"/>
      <c r="F199" s="1884" t="n"/>
      <c r="G199" s="1884" t="n"/>
      <c r="H199" s="1886" t="n"/>
      <c r="I199" s="1886" t="n"/>
      <c r="J199" s="1886" t="n"/>
      <c r="K199" s="1886" t="n"/>
      <c r="L199" s="1886" t="n"/>
      <c r="M199" s="1886" t="n"/>
      <c r="N199" s="1886" t="n"/>
      <c r="O199" s="1886" t="n"/>
      <c r="P199" s="1886" t="n"/>
      <c r="Q199" s="1886" t="n"/>
      <c r="R199" s="1886" t="n"/>
      <c r="S199" s="1886" t="n"/>
      <c r="T199" s="1886" t="n"/>
      <c r="U199" s="1886" t="n"/>
      <c r="V199" s="1886" t="n"/>
      <c r="W199" s="1886" t="n"/>
      <c r="X199" s="1886" t="n"/>
      <c r="Y199" s="1886" t="n"/>
      <c r="Z199" s="1886" t="n"/>
      <c r="AA199" s="1886" t="n"/>
      <c r="AB199" s="1886" t="n"/>
      <c r="AC199" s="1751" t="n"/>
      <c r="AD199" s="1751" t="n"/>
      <c r="AE199" s="1751" t="n"/>
      <c r="AF199" s="1751" t="n"/>
      <c r="AG199" s="1751" t="n"/>
      <c r="AH199" s="1751" t="n"/>
      <c r="AI199" s="1751" t="n"/>
      <c r="AJ199" s="1751" t="n"/>
      <c r="AK199" s="1751" t="n"/>
      <c r="AL199" s="1751" t="n"/>
      <c r="AM199" s="1751" t="n"/>
      <c r="AN199" s="1751" t="n"/>
      <c r="AO199" s="1751" t="n"/>
      <c r="AP199" s="1751" t="n"/>
      <c r="AQ199" s="1751" t="n"/>
      <c r="AR199" s="1751" t="n"/>
      <c r="AS199" s="1751" t="n"/>
      <c r="AT199" s="1751" t="n"/>
      <c r="AU199" s="1935" t="n"/>
      <c r="AV199" s="1935" t="n"/>
      <c r="AW199" s="1749" t="n"/>
      <c r="AX199" s="1750" t="n"/>
      <c r="AY199" s="1750" t="n"/>
      <c r="AZ199" s="1750" t="n"/>
      <c r="BA199" s="1936" t="n"/>
      <c r="BB199" s="1749" t="n"/>
      <c r="BC199" s="1750" t="n"/>
      <c r="BD199" s="1750" t="n"/>
      <c r="BE199" s="1750" t="n"/>
      <c r="BF199" s="1936" t="n">
        <v>0.0936283140203866</v>
      </c>
      <c r="BG199" s="1751" t="n"/>
      <c r="BH199" s="1751" t="n"/>
      <c r="BI199" s="1751" t="n"/>
      <c r="BJ199" s="1751" t="n"/>
      <c r="BK199" s="1935" t="n">
        <v>0.08788332262979449</v>
      </c>
      <c r="BL199" s="1751" t="n"/>
      <c r="BM199" s="1751" t="n"/>
      <c r="BN199" s="1751" t="n"/>
      <c r="BO199" s="1751" t="n"/>
      <c r="BP199" s="1935" t="n">
        <v>0.0798788606976498</v>
      </c>
      <c r="BQ199" s="1751" t="n"/>
      <c r="BR199" s="1751" t="n"/>
      <c r="BS199" s="1751" t="n"/>
      <c r="BT199" s="1751" t="n"/>
      <c r="BU199" s="1935" t="n">
        <v>0.0828843457899498</v>
      </c>
      <c r="BV199" s="1751" t="n"/>
      <c r="BW199" s="1751" t="n"/>
      <c r="BX199" s="1751" t="n"/>
      <c r="BY199" s="1751" t="n"/>
      <c r="BZ199" s="1935" t="n">
        <v>0.0819551506838027</v>
      </c>
      <c r="CA199" s="1686" t="n"/>
      <c r="CB199" s="401" t="n"/>
      <c r="CC199" s="701" t="n"/>
      <c r="CD199" s="701" t="n"/>
      <c r="CE199" s="701" t="n"/>
      <c r="CF199" s="701" t="n"/>
      <c r="CG199" s="701" t="n"/>
      <c r="CH199" s="701" t="n"/>
      <c r="CI199" s="701" t="n"/>
      <c r="CJ199" s="701" t="n"/>
      <c r="CK199" s="701" t="n"/>
      <c r="CL199" s="701" t="n"/>
      <c r="CM199" s="701" t="n"/>
      <c r="CN199" s="701" t="n"/>
      <c r="CO199" s="701" t="n"/>
      <c r="CP199" s="701" t="n"/>
      <c r="CQ199" s="701" t="n"/>
      <c r="CR199" s="701" t="n"/>
      <c r="CS199" s="701" t="n"/>
      <c r="CT199" s="701" t="n"/>
      <c r="CU199" s="701" t="n"/>
      <c r="CV199" s="701" t="n"/>
      <c r="CW199" s="30" t="n"/>
    </row>
    <row r="200" ht="14.25" customHeight="1" s="1676">
      <c r="A200" s="31" t="n"/>
      <c r="B200" s="167" t="inlineStr">
        <is>
          <t>Text_164</t>
        </is>
      </c>
      <c r="C200" s="699" t="n"/>
      <c r="D200" s="1884" t="n"/>
      <c r="E200" s="1884" t="n"/>
      <c r="F200" s="1884" t="n"/>
      <c r="G200" s="1884" t="n"/>
      <c r="H200" s="1886" t="n"/>
      <c r="I200" s="1886" t="n"/>
      <c r="J200" s="1886" t="n"/>
      <c r="K200" s="1886" t="n"/>
      <c r="L200" s="1886" t="n"/>
      <c r="M200" s="1886" t="n"/>
      <c r="N200" s="1886" t="n"/>
      <c r="O200" s="1886" t="n"/>
      <c r="P200" s="1886" t="n"/>
      <c r="Q200" s="1886" t="n"/>
      <c r="R200" s="1886" t="n"/>
      <c r="S200" s="1886" t="n"/>
      <c r="T200" s="1886" t="n"/>
      <c r="U200" s="1886" t="n"/>
      <c r="V200" s="1886" t="n"/>
      <c r="W200" s="1886" t="n"/>
      <c r="X200" s="1886" t="n"/>
      <c r="Y200" s="1886" t="n"/>
      <c r="Z200" s="1886" t="n"/>
      <c r="AA200" s="1886" t="n"/>
      <c r="AB200" s="1886" t="n"/>
      <c r="AC200" s="1751" t="n"/>
      <c r="AD200" s="1751" t="n"/>
      <c r="AE200" s="1751" t="n"/>
      <c r="AF200" s="1751" t="n"/>
      <c r="AG200" s="1751" t="n"/>
      <c r="AH200" s="1751" t="n"/>
      <c r="AI200" s="1751" t="n"/>
      <c r="AJ200" s="1751" t="n"/>
      <c r="AK200" s="1751" t="n"/>
      <c r="AL200" s="1751" t="n"/>
      <c r="AM200" s="1751" t="n"/>
      <c r="AN200" s="1751" t="n"/>
      <c r="AO200" s="1751" t="n"/>
      <c r="AP200" s="1751" t="n"/>
      <c r="AQ200" s="1751" t="n"/>
      <c r="AR200" s="1751" t="n"/>
      <c r="AS200" s="1751" t="n"/>
      <c r="AT200" s="1751" t="n"/>
      <c r="AU200" s="1935" t="n"/>
      <c r="AV200" s="1935" t="n"/>
      <c r="AW200" s="1749" t="n"/>
      <c r="AX200" s="1750" t="n"/>
      <c r="AY200" s="1750" t="n"/>
      <c r="AZ200" s="1750" t="n"/>
      <c r="BA200" s="1936" t="n"/>
      <c r="BB200" s="1749" t="n"/>
      <c r="BC200" s="1750" t="n"/>
      <c r="BD200" s="1750" t="n"/>
      <c r="BE200" s="1750" t="n"/>
      <c r="BF200" s="1936" t="n">
        <v>0.039711481100676</v>
      </c>
      <c r="BG200" s="1751" t="n"/>
      <c r="BH200" s="1751" t="n"/>
      <c r="BI200" s="1751" t="n"/>
      <c r="BJ200" s="1751" t="n"/>
      <c r="BK200" s="1935" t="n">
        <v>0.0290945066651267</v>
      </c>
      <c r="BL200" s="1751" t="n"/>
      <c r="BM200" s="1751" t="n"/>
      <c r="BN200" s="1751" t="n"/>
      <c r="BO200" s="1751" t="n"/>
      <c r="BP200" s="1935" t="n">
        <v>0.0213256653337539</v>
      </c>
      <c r="BQ200" s="1751" t="n"/>
      <c r="BR200" s="1751" t="n"/>
      <c r="BS200" s="1751" t="n"/>
      <c r="BT200" s="1751" t="n"/>
      <c r="BU200" s="1935" t="n">
        <v>0.0198031501392959</v>
      </c>
      <c r="BV200" s="1751" t="n"/>
      <c r="BW200" s="1751" t="n"/>
      <c r="BX200" s="1751" t="n"/>
      <c r="BY200" s="1751" t="n"/>
      <c r="BZ200" s="1935" t="n">
        <v>0.0198703653982125</v>
      </c>
      <c r="CA200" s="1686" t="n"/>
      <c r="CB200" s="401" t="n"/>
      <c r="CC200" s="701" t="n"/>
      <c r="CD200" s="701" t="n"/>
      <c r="CE200" s="701" t="n"/>
      <c r="CF200" s="701" t="n"/>
      <c r="CG200" s="701" t="n"/>
      <c r="CH200" s="701" t="n"/>
      <c r="CI200" s="701" t="n"/>
      <c r="CJ200" s="701" t="n"/>
      <c r="CK200" s="701" t="n"/>
      <c r="CL200" s="701" t="n"/>
      <c r="CM200" s="701" t="n"/>
      <c r="CN200" s="701" t="n"/>
      <c r="CO200" s="701" t="n"/>
      <c r="CP200" s="701" t="n"/>
      <c r="CQ200" s="701" t="n"/>
      <c r="CR200" s="701" t="n"/>
      <c r="CS200" s="701" t="n"/>
      <c r="CT200" s="701" t="n"/>
      <c r="CU200" s="701" t="n"/>
      <c r="CV200" s="701" t="n"/>
      <c r="CW200" s="30" t="n"/>
    </row>
    <row r="201" ht="12.75" customHeight="1" s="1676">
      <c r="A201" s="74" t="n"/>
      <c r="B201" s="1758" t="n"/>
      <c r="C201" s="701" t="n"/>
      <c r="D201" s="1758" t="n"/>
      <c r="E201" s="1758" t="n"/>
      <c r="F201" s="1758" t="n"/>
      <c r="G201" s="1758" t="n"/>
      <c r="H201" s="1758" t="n"/>
      <c r="I201" s="1758" t="n"/>
      <c r="J201" s="1758" t="n"/>
      <c r="K201" s="1758" t="n"/>
      <c r="L201" s="1758" t="n"/>
      <c r="M201" s="1758" t="n"/>
      <c r="N201" s="1758" t="n"/>
      <c r="O201" s="1758" t="n"/>
      <c r="P201" s="1758" t="n"/>
      <c r="Q201" s="1758" t="n"/>
      <c r="R201" s="1758" t="n"/>
      <c r="S201" s="1758" t="n"/>
      <c r="T201" s="1758" t="n"/>
      <c r="U201" s="1758" t="n"/>
      <c r="V201" s="1758" t="n"/>
      <c r="W201" s="1758" t="n"/>
      <c r="X201" s="1758" t="n"/>
      <c r="Y201" s="1758" t="n"/>
      <c r="Z201" s="1758" t="n"/>
      <c r="AA201" s="1758" t="n"/>
      <c r="AB201" s="1758" t="n"/>
      <c r="AC201" s="1758" t="n"/>
      <c r="AD201" s="1758" t="n"/>
      <c r="AE201" s="1758" t="n"/>
      <c r="AF201" s="1758" t="n"/>
      <c r="AG201" s="1758" t="n"/>
      <c r="AH201" s="1758" t="n"/>
      <c r="AI201" s="1758" t="n"/>
      <c r="AJ201" s="1758" t="n"/>
      <c r="AK201" s="1758" t="n"/>
      <c r="AL201" s="1758" t="n"/>
      <c r="AM201" s="1758" t="n"/>
      <c r="AN201" s="1758" t="n"/>
      <c r="AO201" s="1758" t="n"/>
      <c r="AP201" s="1758" t="n"/>
      <c r="AQ201" s="1758" t="n"/>
      <c r="AR201" s="1758" t="n"/>
      <c r="AS201" s="1758" t="n"/>
      <c r="AT201" s="1758" t="n"/>
      <c r="AU201" s="1758" t="n"/>
      <c r="AV201" s="1758" t="n"/>
      <c r="AW201" s="1902" t="n"/>
      <c r="AX201" s="1758" t="n"/>
      <c r="AY201" s="1758" t="n"/>
      <c r="AZ201" s="1758" t="n"/>
      <c r="BA201" s="1758" t="n"/>
      <c r="BB201" s="1758" t="n"/>
      <c r="BC201" s="1758" t="n"/>
      <c r="BD201" s="1758" t="n"/>
      <c r="BE201" s="1758" t="n"/>
      <c r="BF201" s="1758" t="n"/>
      <c r="BG201" s="1758" t="n"/>
      <c r="BH201" s="1758" t="n"/>
      <c r="BI201" s="1758" t="n"/>
      <c r="BJ201" s="1758" t="n"/>
      <c r="BK201" s="1758" t="n"/>
      <c r="BL201" s="1758" t="n"/>
      <c r="BM201" s="1758" t="n"/>
      <c r="BN201" s="1758" t="n"/>
      <c r="BO201" s="1758" t="n"/>
      <c r="BP201" s="1758" t="n"/>
      <c r="BQ201" s="1758" t="n"/>
      <c r="BR201" s="1758" t="n"/>
      <c r="BS201" s="1758" t="n"/>
      <c r="BT201" s="1758" t="n"/>
      <c r="BU201" s="1758" t="n"/>
      <c r="BV201" s="1758" t="n"/>
      <c r="BW201" s="1758" t="n"/>
      <c r="BX201" s="1758" t="n"/>
      <c r="BY201" s="1758" t="n"/>
      <c r="BZ201" s="1758" t="n"/>
      <c r="CA201" s="1758" t="n"/>
      <c r="CB201" s="701" t="n"/>
      <c r="CC201" s="701" t="n"/>
      <c r="CD201" s="701" t="n"/>
      <c r="CE201" s="701" t="n"/>
      <c r="CF201" s="701" t="n"/>
      <c r="CG201" s="701" t="n"/>
      <c r="CH201" s="701" t="n"/>
      <c r="CI201" s="701" t="n"/>
      <c r="CJ201" s="701" t="n"/>
      <c r="CK201" s="701" t="n"/>
      <c r="CL201" s="701" t="n"/>
      <c r="CM201" s="701" t="n"/>
      <c r="CN201" s="701" t="n"/>
      <c r="CO201" s="701" t="n"/>
      <c r="CP201" s="701" t="n"/>
      <c r="CQ201" s="701" t="n"/>
      <c r="CR201" s="701" t="n"/>
      <c r="CS201" s="701" t="n"/>
      <c r="CT201" s="701" t="n"/>
      <c r="CU201" s="701" t="n"/>
      <c r="CV201" s="701" t="n"/>
      <c r="CW201" s="30" t="n"/>
    </row>
    <row r="202" ht="12.75" customHeight="1" s="1676">
      <c r="A202" s="31" t="n"/>
      <c r="B202" s="183" t="inlineStr">
        <is>
          <t>Text_165</t>
        </is>
      </c>
      <c r="C202" s="699" t="n"/>
      <c r="D202" s="1713" t="n"/>
      <c r="E202" s="1713" t="n"/>
      <c r="F202" s="1713" t="n"/>
      <c r="G202" s="1713" t="n"/>
      <c r="H202" s="1714" t="n"/>
      <c r="I202" s="1761" t="n">
        <v>1292.65575379667</v>
      </c>
      <c r="J202" s="1761" t="n">
        <v>1909.69597314974</v>
      </c>
      <c r="K202" s="1761" t="n">
        <v>1863.96937796827</v>
      </c>
      <c r="L202" s="1761" t="n">
        <v>1483.63666167855</v>
      </c>
      <c r="M202" s="1761" t="n">
        <v>1295.35533309246</v>
      </c>
      <c r="N202" s="1761" t="n">
        <v>1921.65155795694</v>
      </c>
      <c r="O202" s="1761" t="n">
        <v>2139.92519005461</v>
      </c>
      <c r="P202" s="1761" t="n">
        <v>1901.86120525582</v>
      </c>
      <c r="Q202" s="1761" t="n">
        <v>2517.30557267592</v>
      </c>
      <c r="R202" s="1761" t="n">
        <v>1642.0805963898</v>
      </c>
      <c r="S202" s="1761" t="n">
        <v>2037.56832223427</v>
      </c>
      <c r="T202" s="1761" t="n">
        <v>2652.62830071853</v>
      </c>
      <c r="U202" s="1761" t="n">
        <v>2204.07492715064</v>
      </c>
      <c r="V202" s="1761" t="n">
        <v>2205.06292432302</v>
      </c>
      <c r="W202" s="1761" t="n">
        <v>2022.89291090187</v>
      </c>
      <c r="X202" s="1761" t="n">
        <v>1856.65701043536</v>
      </c>
      <c r="Y202" s="1761" t="n">
        <v>2599.98448433212</v>
      </c>
      <c r="Z202" s="1761" t="n">
        <v>2088.46564948922</v>
      </c>
      <c r="AA202" s="1761" t="n">
        <v>2501.53143247544</v>
      </c>
      <c r="AB202" s="1761" t="n">
        <v>1927.47419733867</v>
      </c>
      <c r="AC202" s="1761" t="n">
        <v>1841.30311374887</v>
      </c>
      <c r="AD202" s="1761" t="n">
        <v>1681.77902062838</v>
      </c>
      <c r="AE202" s="1761" t="n">
        <v>2439.53347934581</v>
      </c>
      <c r="AF202" s="1761" t="n">
        <v>2017.98444485264</v>
      </c>
      <c r="AG202" s="1761" t="n">
        <v>2440.43322886337</v>
      </c>
      <c r="AH202" s="1761" t="n">
        <v>2176.42471788857</v>
      </c>
      <c r="AI202" s="1761" t="n">
        <v>3051.30284389633</v>
      </c>
      <c r="AJ202" s="1761" t="n">
        <v>3330.74088593156</v>
      </c>
      <c r="AK202" s="1761" t="n">
        <v>5381.53706308473</v>
      </c>
      <c r="AL202" s="1761" t="n">
        <v>5208.89569583731</v>
      </c>
      <c r="AM202" s="1761" t="n">
        <v>6927.30461161013</v>
      </c>
      <c r="AN202" s="1761" t="n">
        <v>9501.57598191041</v>
      </c>
      <c r="AO202" s="1761" t="n">
        <v>11651.5212417795</v>
      </c>
      <c r="AP202" s="1761" t="n">
        <v>13771.8993666351</v>
      </c>
      <c r="AQ202" s="1761" t="n">
        <v>11176.2481385664</v>
      </c>
      <c r="AR202" s="1761" t="n">
        <v>11097.5929400222</v>
      </c>
      <c r="AS202" s="1761" t="n">
        <v>14650.9728046435</v>
      </c>
      <c r="AT202" s="1761" t="n">
        <v>12497.121902151</v>
      </c>
      <c r="AU202" s="1761" t="n">
        <v>12774.5823451792</v>
      </c>
      <c r="AV202" s="1761" t="n">
        <v>11335.5941017093</v>
      </c>
      <c r="AW202" s="1762" t="n">
        <v>9189.11754009679</v>
      </c>
      <c r="AX202" s="1763">
        <f t="array" ref="AX202">AW202-200</f>
        <v/>
      </c>
      <c r="AY202" s="1763">
        <f t="array" ref="AY202">AX202-750</f>
        <v/>
      </c>
      <c r="AZ202" s="1763">
        <f t="array" ref="AZ202">AY202-70</f>
        <v/>
      </c>
      <c r="BA202" s="1764">
        <f t="array" ref="BA202">AZ202</f>
        <v/>
      </c>
      <c r="BB202" s="1762" t="n">
        <v>8534.746141485441</v>
      </c>
      <c r="BC202" s="1763" t="n">
        <v>9818.42669010912</v>
      </c>
      <c r="BD202" s="1724" t="n"/>
      <c r="BE202" s="1724" t="n"/>
      <c r="BF202" s="1764" t="n"/>
      <c r="BG202" s="1713" t="n"/>
      <c r="BH202" s="1713" t="n"/>
      <c r="BI202" s="1713" t="n"/>
      <c r="BJ202" s="1713" t="n"/>
      <c r="BK202" s="1761" t="n"/>
      <c r="BL202" s="1713" t="n"/>
      <c r="BM202" s="1713" t="n"/>
      <c r="BN202" s="1713" t="n"/>
      <c r="BO202" s="1713" t="n"/>
      <c r="BP202" s="1761" t="n"/>
      <c r="BQ202" s="1713" t="n"/>
      <c r="BR202" s="1713" t="n"/>
      <c r="BS202" s="1713" t="n"/>
      <c r="BT202" s="1713" t="n"/>
      <c r="BU202" s="1761" t="n"/>
      <c r="BV202" s="1713" t="n"/>
      <c r="BW202" s="1713" t="n"/>
      <c r="BX202" s="1713" t="n"/>
      <c r="BY202" s="1713" t="n"/>
      <c r="BZ202" s="1761" t="n"/>
      <c r="CA202" s="126" t="inlineStr">
        <is>
          <t>Text_166</t>
        </is>
      </c>
      <c r="CB202" s="456" t="n"/>
      <c r="CC202" s="701" t="n"/>
      <c r="CD202" s="701" t="n"/>
      <c r="CE202" s="701" t="n"/>
      <c r="CF202" s="701" t="n"/>
      <c r="CG202" s="701" t="n"/>
      <c r="CH202" s="701" t="n"/>
      <c r="CI202" s="701" t="n"/>
      <c r="CJ202" s="701" t="n"/>
      <c r="CK202" s="701" t="n"/>
      <c r="CL202" s="701" t="n"/>
      <c r="CM202" s="701" t="n"/>
      <c r="CN202" s="701" t="n"/>
      <c r="CO202" s="701" t="n"/>
      <c r="CP202" s="701" t="n"/>
      <c r="CQ202" s="701" t="n"/>
      <c r="CR202" s="701" t="n"/>
      <c r="CS202" s="701" t="n"/>
      <c r="CT202" s="701" t="n"/>
      <c r="CU202" s="701" t="n"/>
      <c r="CV202" s="701" t="n"/>
      <c r="CW202" s="30" t="n"/>
    </row>
    <row r="203" ht="12.75" customHeight="1" s="1676">
      <c r="A203" s="31" t="n"/>
      <c r="B203" s="103" t="inlineStr">
        <is>
          <t>Text_24</t>
        </is>
      </c>
      <c r="C203" s="699" t="n"/>
      <c r="D203" s="1713" t="n"/>
      <c r="E203" s="1713" t="n"/>
      <c r="F203" s="1713" t="n"/>
      <c r="G203" s="1713" t="n"/>
      <c r="H203" s="1714" t="n"/>
      <c r="I203" s="1719" t="n"/>
      <c r="J203" s="1719" t="n"/>
      <c r="K203" s="1719" t="n"/>
      <c r="L203" s="1719" t="n"/>
      <c r="M203" s="1720" t="n"/>
      <c r="N203" s="1720">
        <f t="array" ref="N203">N202/I202-1</f>
        <v/>
      </c>
      <c r="O203" s="1720">
        <f t="array" ref="O203">O202/J202-1</f>
        <v/>
      </c>
      <c r="P203" s="1720">
        <f t="array" ref="P203">P202/K202-1</f>
        <v/>
      </c>
      <c r="Q203" s="1720">
        <f t="array" ref="Q203">Q202/L202-1</f>
        <v/>
      </c>
      <c r="R203" s="1720">
        <f t="array" ref="R203">R202/M202-1</f>
        <v/>
      </c>
      <c r="S203" s="1720">
        <f t="array" ref="S203">S202/N202-1</f>
        <v/>
      </c>
      <c r="T203" s="1720">
        <f t="array" ref="T203">T202/O202-1</f>
        <v/>
      </c>
      <c r="U203" s="1720">
        <f t="array" ref="U203">U202/P202-1</f>
        <v/>
      </c>
      <c r="V203" s="1720">
        <f t="array" ref="V203">V202/Q202-1</f>
        <v/>
      </c>
      <c r="W203" s="1720">
        <f t="array" ref="W203">W202/R202-1</f>
        <v/>
      </c>
      <c r="X203" s="1720">
        <f t="array" ref="X203">X202/S202-1</f>
        <v/>
      </c>
      <c r="Y203" s="1720">
        <f t="array" ref="Y203">Y202/T202-1</f>
        <v/>
      </c>
      <c r="Z203" s="1720">
        <f t="array" ref="Z203">Z202/U202-1</f>
        <v/>
      </c>
      <c r="AA203" s="1720">
        <f t="array" ref="AA203">AA202/V202-1</f>
        <v/>
      </c>
      <c r="AB203" s="1720">
        <f t="array" ref="AB203">AB202/W202-1</f>
        <v/>
      </c>
      <c r="AC203" s="1720">
        <f t="array" ref="AC203">AC202/X202-1</f>
        <v/>
      </c>
      <c r="AD203" s="1720">
        <f t="array" ref="AD203">AD202/Y202-1</f>
        <v/>
      </c>
      <c r="AE203" s="1720">
        <f t="array" ref="AE203">AE202/Z202-1</f>
        <v/>
      </c>
      <c r="AF203" s="1720">
        <f t="array" ref="AF203">AF202/AA202-1</f>
        <v/>
      </c>
      <c r="AG203" s="1720">
        <f t="array" ref="AG203">AG202/AB202-1</f>
        <v/>
      </c>
      <c r="AH203" s="1720">
        <f t="array" ref="AH203">AH202/AC202-1</f>
        <v/>
      </c>
      <c r="AI203" s="1720">
        <f t="array" ref="AI203">AI202/AD202-1</f>
        <v/>
      </c>
      <c r="AJ203" s="1720">
        <f t="array" ref="AJ203">AJ202/AE202-1</f>
        <v/>
      </c>
      <c r="AK203" s="1720">
        <f t="array" ref="AK203">AK202/AF202-1</f>
        <v/>
      </c>
      <c r="AL203" s="1720">
        <f t="array" ref="AL203">AL202/AG202-1</f>
        <v/>
      </c>
      <c r="AM203" s="1720">
        <f t="array" ref="AM203">AM202/AH202-1</f>
        <v/>
      </c>
      <c r="AN203" s="1720">
        <f t="array" ref="AN203">AN202/AI202-1</f>
        <v/>
      </c>
      <c r="AO203" s="1720">
        <f t="array" ref="AO203">AO202/AJ202-1</f>
        <v/>
      </c>
      <c r="AP203" s="1720">
        <f t="array" ref="AP203">AP202/AK202-1</f>
        <v/>
      </c>
      <c r="AQ203" s="1720">
        <f t="array" ref="AQ203">AQ202/AL202-1</f>
        <v/>
      </c>
      <c r="AR203" s="1720">
        <f t="array" ref="AR203">AR202/AM202-1</f>
        <v/>
      </c>
      <c r="AS203" s="1720">
        <f t="array" ref="AS203">AS202/AN202-1</f>
        <v/>
      </c>
      <c r="AT203" s="1720">
        <f t="array" ref="AT203">AT202/AO202-1</f>
        <v/>
      </c>
      <c r="AU203" s="1720">
        <f t="array" ref="AU203">AU202/AP202-1</f>
        <v/>
      </c>
      <c r="AV203" s="1720">
        <f t="array" ref="AV203">AV202/AQ202-1</f>
        <v/>
      </c>
      <c r="AW203" s="1721">
        <f t="array" ref="AW203">AW202/AR202-1</f>
        <v/>
      </c>
      <c r="AX203" s="1722">
        <f t="array" ref="AX203">AX202/AS202-1</f>
        <v/>
      </c>
      <c r="AY203" s="1722">
        <f t="array" ref="AY203">AY202/AT202-1</f>
        <v/>
      </c>
      <c r="AZ203" s="1722">
        <f t="array" ref="AZ203">AZ202/AU202-1</f>
        <v/>
      </c>
      <c r="BA203" s="1723">
        <f t="array" ref="BA203">BA202/AV202-1</f>
        <v/>
      </c>
      <c r="BB203" s="1721">
        <f t="array" ref="BB203">BB202/AW202-1</f>
        <v/>
      </c>
      <c r="BC203" s="1722">
        <f t="array" ref="BC203">BC202/AX202-1</f>
        <v/>
      </c>
      <c r="BD203" s="1724" t="n"/>
      <c r="BE203" s="1724" t="n"/>
      <c r="BF203" s="1723" t="n"/>
      <c r="BG203" s="1713" t="n"/>
      <c r="BH203" s="1713" t="n"/>
      <c r="BI203" s="1713" t="n"/>
      <c r="BJ203" s="1713" t="n"/>
      <c r="BK203" s="1720" t="n"/>
      <c r="BL203" s="1713" t="n"/>
      <c r="BM203" s="1713" t="n"/>
      <c r="BN203" s="1713" t="n"/>
      <c r="BO203" s="1713" t="n"/>
      <c r="BP203" s="1720" t="n"/>
      <c r="BQ203" s="1713" t="n"/>
      <c r="BR203" s="1713" t="n"/>
      <c r="BS203" s="1713" t="n"/>
      <c r="BT203" s="1713" t="n"/>
      <c r="BU203" s="1720" t="n"/>
      <c r="BV203" s="1713" t="n"/>
      <c r="BW203" s="1713" t="n"/>
      <c r="BX203" s="1713" t="n"/>
      <c r="BY203" s="1713" t="n"/>
      <c r="BZ203" s="1720" t="n"/>
      <c r="CA203" s="126" t="inlineStr">
        <is>
          <t>Text_167</t>
        </is>
      </c>
      <c r="CB203" s="98" t="n"/>
      <c r="CC203" s="701" t="n"/>
      <c r="CD203" s="701" t="n"/>
      <c r="CE203" s="701" t="n"/>
      <c r="CF203" s="701" t="n"/>
      <c r="CG203" s="701" t="n"/>
      <c r="CH203" s="701" t="n"/>
      <c r="CI203" s="701" t="n"/>
      <c r="CJ203" s="701" t="n"/>
      <c r="CK203" s="701" t="n"/>
      <c r="CL203" s="701" t="n"/>
      <c r="CM203" s="701" t="n"/>
      <c r="CN203" s="701" t="n"/>
      <c r="CO203" s="701" t="n"/>
      <c r="CP203" s="701" t="n"/>
      <c r="CQ203" s="701" t="n"/>
      <c r="CR203" s="701" t="n"/>
      <c r="CS203" s="701" t="n"/>
      <c r="CT203" s="701" t="n"/>
      <c r="CU203" s="701" t="n"/>
      <c r="CV203" s="701" t="n"/>
      <c r="CW203" s="30" t="n"/>
    </row>
    <row r="204" ht="12.75" customHeight="1" s="1676">
      <c r="A204" s="31" t="n"/>
      <c r="B204" s="103" t="inlineStr">
        <is>
          <t>Text_168</t>
        </is>
      </c>
      <c r="C204" s="699" t="n"/>
      <c r="D204" s="1713" t="n"/>
      <c r="E204" s="1713" t="n"/>
      <c r="F204" s="1713" t="n"/>
      <c r="G204" s="1713" t="n"/>
      <c r="H204" s="1714" t="n"/>
      <c r="I204" s="1715">
        <f t="array" ref="I204">I202-H202+I192</f>
        <v/>
      </c>
      <c r="J204" s="1715">
        <f t="array" ref="J204">J202-I202+J192</f>
        <v/>
      </c>
      <c r="K204" s="1715">
        <f t="array" ref="K204">K202-J202+K192</f>
        <v/>
      </c>
      <c r="L204" s="1715">
        <f t="array" ref="L204">L202-K202+L192</f>
        <v/>
      </c>
      <c r="M204" s="1715">
        <f t="array" ref="M204">M202-H202+M192</f>
        <v/>
      </c>
      <c r="N204" s="1715">
        <f t="array" ref="N204">N202-M202+N192</f>
        <v/>
      </c>
      <c r="O204" s="1715">
        <f t="array" ref="O204">O202-N202+O192</f>
        <v/>
      </c>
      <c r="P204" s="1715">
        <f t="array" ref="P204">P202-O202+P192</f>
        <v/>
      </c>
      <c r="Q204" s="1715">
        <f t="array" ref="Q204">Q202-P202+Q192</f>
        <v/>
      </c>
      <c r="R204" s="1715">
        <f t="array" ref="R204">R202-M202+R192</f>
        <v/>
      </c>
      <c r="S204" s="1715">
        <f t="array" ref="S204">S202-R202+S192</f>
        <v/>
      </c>
      <c r="T204" s="1715">
        <f t="array" ref="T204">T202-S202+T192</f>
        <v/>
      </c>
      <c r="U204" s="1715">
        <f t="array" ref="U204">U202-T202+U192</f>
        <v/>
      </c>
      <c r="V204" s="1715">
        <f t="array" ref="V204">V202-U202+V192</f>
        <v/>
      </c>
      <c r="W204" s="1715">
        <f t="array" ref="W204">W202-R202+W192</f>
        <v/>
      </c>
      <c r="X204" s="1715">
        <f t="array" ref="X204">X202-W202+X192</f>
        <v/>
      </c>
      <c r="Y204" s="1715">
        <f t="array" ref="Y204">Y202-X202+Y192</f>
        <v/>
      </c>
      <c r="Z204" s="1715">
        <f t="array" ref="Z204">Z202-Y202+Z192</f>
        <v/>
      </c>
      <c r="AA204" s="1715">
        <f t="array" ref="AA204">AA202-Z202+AA192</f>
        <v/>
      </c>
      <c r="AB204" s="1715">
        <f t="array" ref="AB204">AB202-W202+AB192</f>
        <v/>
      </c>
      <c r="AC204" s="1715">
        <f t="array" ref="AC204">AC202-AB202+AC192</f>
        <v/>
      </c>
      <c r="AD204" s="1715">
        <f t="array" ref="AD204">AD202-AC202+AD192</f>
        <v/>
      </c>
      <c r="AE204" s="1715">
        <f t="array" ref="AE204">AE202-AD202+AE192</f>
        <v/>
      </c>
      <c r="AF204" s="1715">
        <f t="array" ref="AF204">AF202-AE202+AF192</f>
        <v/>
      </c>
      <c r="AG204" s="1715">
        <f t="array" ref="AG204">AG202-AB202+AG192</f>
        <v/>
      </c>
      <c r="AH204" s="1715">
        <f t="array" ref="AH204">AH202-AG202+AH192</f>
        <v/>
      </c>
      <c r="AI204" s="1715">
        <f t="array" ref="AI204">AI202-AH202+AI192</f>
        <v/>
      </c>
      <c r="AJ204" s="1715">
        <f t="array" ref="AJ204">AJ202-AI202+AJ192</f>
        <v/>
      </c>
      <c r="AK204" s="1715">
        <f t="array" ref="AK204">AK202-AJ202+AK192</f>
        <v/>
      </c>
      <c r="AL204" s="1715">
        <f t="array" ref="AL204">AL202-AG202+AL192</f>
        <v/>
      </c>
      <c r="AM204" s="1715">
        <f t="array" ref="AM204">AM202-AL202+AM192</f>
        <v/>
      </c>
      <c r="AN204" s="1715">
        <f t="array" ref="AN204">AN202-AM202+AN192</f>
        <v/>
      </c>
      <c r="AO204" s="1715">
        <f t="array" ref="AO204">AO202-AN202+AO192</f>
        <v/>
      </c>
      <c r="AP204" s="1715">
        <f t="array" ref="AP204">AP202-AO202+AP192</f>
        <v/>
      </c>
      <c r="AQ204" s="1715">
        <f t="array" ref="AQ204">AQ202-AL202+AQ192</f>
        <v/>
      </c>
      <c r="AR204" s="1715">
        <f t="array" ref="AR204">AR202-AQ202+AR192</f>
        <v/>
      </c>
      <c r="AS204" s="1715">
        <f t="array" ref="AS204">AS202-AR202+AS192</f>
        <v/>
      </c>
      <c r="AT204" s="1715">
        <f t="array" ref="AT204">AT202-AS202+AT192</f>
        <v/>
      </c>
      <c r="AU204" s="1715">
        <f t="array" ref="AU204">AU202-AT202+AU192</f>
        <v/>
      </c>
      <c r="AV204" s="1715">
        <f t="array" ref="AV204">AV202-AQ202+AV192</f>
        <v/>
      </c>
      <c r="AW204" s="1716">
        <f t="array" ref="AW204">AW202-AV202+AW192</f>
        <v/>
      </c>
      <c r="AX204" s="1717">
        <f t="array" ref="AX204">AX202-AW202+AX192</f>
        <v/>
      </c>
      <c r="AY204" s="1717">
        <f t="array" ref="AY204">AY202-AX202+AY192</f>
        <v/>
      </c>
      <c r="AZ204" s="1717">
        <f t="array" ref="AZ204">AZ202-AY202+AZ192</f>
        <v/>
      </c>
      <c r="BA204" s="1718">
        <f t="array" ref="BA204">BA202-AV202+BA192</f>
        <v/>
      </c>
      <c r="BB204" s="1716">
        <f t="array" ref="BB204">BB202-BA202+BB192</f>
        <v/>
      </c>
      <c r="BC204" s="1717">
        <f t="array" ref="BC204">BC202-BB202+BC192</f>
        <v/>
      </c>
      <c r="BD204" s="1724" t="n"/>
      <c r="BE204" s="1724" t="n"/>
      <c r="BF204" s="1718" t="n"/>
      <c r="BG204" s="1713" t="n"/>
      <c r="BH204" s="1713" t="n"/>
      <c r="BI204" s="1713" t="n"/>
      <c r="BJ204" s="1713" t="n"/>
      <c r="BK204" s="1715" t="n"/>
      <c r="BL204" s="1713" t="n"/>
      <c r="BM204" s="1713" t="n"/>
      <c r="BN204" s="1713" t="n"/>
      <c r="BO204" s="1713" t="n"/>
      <c r="BP204" s="1715" t="n"/>
      <c r="BQ204" s="1713" t="n"/>
      <c r="BR204" s="1713" t="n"/>
      <c r="BS204" s="1713" t="n"/>
      <c r="BT204" s="1713" t="n"/>
      <c r="BU204" s="1715" t="n"/>
      <c r="BV204" s="1713" t="n"/>
      <c r="BW204" s="1713" t="n"/>
      <c r="BX204" s="1713" t="n"/>
      <c r="BY204" s="1713" t="n"/>
      <c r="BZ204" s="1715" t="n"/>
      <c r="CA204" s="1937" t="n"/>
      <c r="CB204" s="98" t="n"/>
      <c r="CC204" s="701" t="n"/>
      <c r="CD204" s="701" t="n"/>
      <c r="CE204" s="701" t="n"/>
      <c r="CF204" s="701" t="n"/>
      <c r="CG204" s="701" t="n"/>
      <c r="CH204" s="701" t="n"/>
      <c r="CI204" s="701" t="n"/>
      <c r="CJ204" s="701" t="n"/>
      <c r="CK204" s="701" t="n"/>
      <c r="CL204" s="701" t="n"/>
      <c r="CM204" s="701" t="n"/>
      <c r="CN204" s="701" t="n"/>
      <c r="CO204" s="701" t="n"/>
      <c r="CP204" s="701" t="n"/>
      <c r="CQ204" s="701" t="n"/>
      <c r="CR204" s="701" t="n"/>
      <c r="CS204" s="701" t="n"/>
      <c r="CT204" s="701" t="n"/>
      <c r="CU204" s="701" t="n"/>
      <c r="CV204" s="701" t="n"/>
      <c r="CW204" s="30" t="n"/>
    </row>
    <row r="205" ht="12.75" customHeight="1" s="1676">
      <c r="A205" s="31" t="n"/>
      <c r="B205" s="103" t="inlineStr">
        <is>
          <t>Text_24</t>
        </is>
      </c>
      <c r="C205" s="699" t="n"/>
      <c r="D205" s="1713" t="n"/>
      <c r="E205" s="1713" t="n"/>
      <c r="F205" s="1713" t="n"/>
      <c r="G205" s="1713" t="n"/>
      <c r="H205" s="1714" t="n"/>
      <c r="I205" s="1719" t="n"/>
      <c r="J205" s="1719" t="n"/>
      <c r="K205" s="1719" t="n"/>
      <c r="L205" s="1719" t="n"/>
      <c r="M205" s="1720" t="n"/>
      <c r="N205" s="1720">
        <f t="array" ref="N205">N204/I204-1</f>
        <v/>
      </c>
      <c r="O205" s="1720">
        <f t="array" ref="O205">O204/J204-1</f>
        <v/>
      </c>
      <c r="P205" s="1720">
        <f t="array" ref="P205">P204/K204-1</f>
        <v/>
      </c>
      <c r="Q205" s="1720">
        <f t="array" ref="Q205">Q204/L204-1</f>
        <v/>
      </c>
      <c r="R205" s="1720">
        <f t="array" ref="R205">R204/M204-1</f>
        <v/>
      </c>
      <c r="S205" s="1720">
        <f t="array" ref="S205">S204/N204-1</f>
        <v/>
      </c>
      <c r="T205" s="1720">
        <f t="array" ref="T205">T204/O204-1</f>
        <v/>
      </c>
      <c r="U205" s="1720">
        <f t="array" ref="U205">U204/P204-1</f>
        <v/>
      </c>
      <c r="V205" s="1720">
        <f t="array" ref="V205">V204/Q204-1</f>
        <v/>
      </c>
      <c r="W205" s="1720">
        <f t="array" ref="W205">W204/R204-1</f>
        <v/>
      </c>
      <c r="X205" s="1720">
        <f t="array" ref="X205">X204/S204-1</f>
        <v/>
      </c>
      <c r="Y205" s="1720">
        <f t="array" ref="Y205">Y204/T204-1</f>
        <v/>
      </c>
      <c r="Z205" s="1720">
        <f t="array" ref="Z205">Z204/U204-1</f>
        <v/>
      </c>
      <c r="AA205" s="1720">
        <f t="array" ref="AA205">AA204/V204-1</f>
        <v/>
      </c>
      <c r="AB205" s="1720">
        <f t="array" ref="AB205">AB204/W204-1</f>
        <v/>
      </c>
      <c r="AC205" s="1720">
        <f t="array" ref="AC205">AC204/X204-1</f>
        <v/>
      </c>
      <c r="AD205" s="1720">
        <f t="array" ref="AD205">AD204/Y204-1</f>
        <v/>
      </c>
      <c r="AE205" s="1720">
        <f t="array" ref="AE205">AE204/Z204-1</f>
        <v/>
      </c>
      <c r="AF205" s="1720">
        <f t="array" ref="AF205">AF204/AA204-1</f>
        <v/>
      </c>
      <c r="AG205" s="1720">
        <f t="array" ref="AG205">AG204/AB204-1</f>
        <v/>
      </c>
      <c r="AH205" s="1720">
        <f t="array" ref="AH205">AH204/AC204-1</f>
        <v/>
      </c>
      <c r="AI205" s="1720">
        <f t="array" ref="AI205">AI204/AD204-1</f>
        <v/>
      </c>
      <c r="AJ205" s="1720">
        <f t="array" ref="AJ205">AJ204/AE204-1</f>
        <v/>
      </c>
      <c r="AK205" s="1720">
        <f t="array" ref="AK205">AK204/AF204-1</f>
        <v/>
      </c>
      <c r="AL205" s="1720">
        <f t="array" ref="AL205">AL204/AG204-1</f>
        <v/>
      </c>
      <c r="AM205" s="1720">
        <f t="array" ref="AM205">AM204/AH204-1</f>
        <v/>
      </c>
      <c r="AN205" s="1720">
        <f t="array" ref="AN205">AN204/AI204-1</f>
        <v/>
      </c>
      <c r="AO205" s="1720">
        <f t="array" ref="AO205">AO204/AJ204-1</f>
        <v/>
      </c>
      <c r="AP205" s="1720">
        <f t="array" ref="AP205">AP204/AK204-1</f>
        <v/>
      </c>
      <c r="AQ205" s="1720">
        <f t="array" ref="AQ205">AQ204/AL204-1</f>
        <v/>
      </c>
      <c r="AR205" s="1799">
        <f t="array" ref="AR205">AR204/AM204-1</f>
        <v/>
      </c>
      <c r="AS205" s="1799">
        <f t="array" ref="AS205">AS204/AN204-1</f>
        <v/>
      </c>
      <c r="AT205" s="1799">
        <f t="array" ref="AT205">AT204/AO204-1</f>
        <v/>
      </c>
      <c r="AU205" s="1799">
        <f t="array" ref="AU205">AU204/AP204-1</f>
        <v/>
      </c>
      <c r="AV205" s="1799">
        <f t="array" ref="AV205">AV204/AQ204-1</f>
        <v/>
      </c>
      <c r="AW205" s="1767">
        <f t="array" ref="AW205">AW204/AR204-1</f>
        <v/>
      </c>
      <c r="AX205" s="1766">
        <f t="array" ref="AX205">AX204/AS204-1</f>
        <v/>
      </c>
      <c r="AY205" s="1766">
        <f t="array" ref="AY205">AY204/AT204-1</f>
        <v/>
      </c>
      <c r="AZ205" s="1766">
        <f t="array" ref="AZ205">AZ204/AU204-1</f>
        <v/>
      </c>
      <c r="BA205" s="1723">
        <f t="array" ref="BA205">BA204/AV204-1</f>
        <v/>
      </c>
      <c r="BB205" s="1767">
        <f t="array" ref="BB205">BB204/AW204-1</f>
        <v/>
      </c>
      <c r="BC205" s="1766">
        <f t="array" ref="BC205">BC204/AX204-1</f>
        <v/>
      </c>
      <c r="BD205" s="1724" t="n"/>
      <c r="BE205" s="1724" t="n"/>
      <c r="BF205" s="1723" t="n"/>
      <c r="BG205" s="1713" t="n"/>
      <c r="BH205" s="165" t="n"/>
      <c r="BI205" s="1713" t="n"/>
      <c r="BJ205" s="1713" t="n"/>
      <c r="BK205" s="1720" t="n"/>
      <c r="BL205" s="1713" t="n"/>
      <c r="BM205" s="1713" t="n"/>
      <c r="BN205" s="1713" t="n"/>
      <c r="BO205" s="1713" t="n"/>
      <c r="BP205" s="1720" t="n"/>
      <c r="BQ205" s="1713" t="n"/>
      <c r="BR205" s="1713" t="n"/>
      <c r="BS205" s="1713" t="n"/>
      <c r="BT205" s="1713" t="n"/>
      <c r="BU205" s="1720" t="n"/>
      <c r="BV205" s="1713" t="n"/>
      <c r="BW205" s="1713" t="n"/>
      <c r="BX205" s="1713" t="n"/>
      <c r="BY205" s="1713" t="n"/>
      <c r="BZ205" s="1720" t="n"/>
      <c r="CA205" s="1938">
        <f t="array" ref="CA205">3000*4</f>
        <v/>
      </c>
      <c r="CB205" s="98" t="n"/>
      <c r="CC205" s="701" t="n"/>
      <c r="CD205" s="701" t="n"/>
      <c r="CE205" s="701" t="n"/>
      <c r="CF205" s="701" t="n"/>
      <c r="CG205" s="701" t="n"/>
      <c r="CH205" s="701" t="n"/>
      <c r="CI205" s="701" t="n"/>
      <c r="CJ205" s="701" t="n"/>
      <c r="CK205" s="701" t="n"/>
      <c r="CL205" s="701" t="n"/>
      <c r="CM205" s="701" t="n"/>
      <c r="CN205" s="701" t="n"/>
      <c r="CO205" s="701" t="n"/>
      <c r="CP205" s="701" t="n"/>
      <c r="CQ205" s="701" t="n"/>
      <c r="CR205" s="701" t="n"/>
      <c r="CS205" s="701" t="n"/>
      <c r="CT205" s="701" t="n"/>
      <c r="CU205" s="701" t="n"/>
      <c r="CV205" s="701" t="n"/>
      <c r="CW205" s="30" t="n"/>
    </row>
    <row r="206" ht="12.75" customHeight="1" s="1676">
      <c r="A206" s="31" t="n"/>
      <c r="B206" s="156" t="inlineStr">
        <is>
          <t>Text_169</t>
        </is>
      </c>
      <c r="C206" s="699" t="n"/>
      <c r="D206" s="1713" t="n"/>
      <c r="E206" s="1713" t="n"/>
      <c r="F206" s="1713" t="n"/>
      <c r="G206" s="1713" t="n"/>
      <c r="H206" s="1714" t="n"/>
      <c r="I206" s="1719" t="n"/>
      <c r="J206" s="1719" t="n"/>
      <c r="K206" s="1719" t="n"/>
      <c r="L206" s="1719" t="n"/>
      <c r="M206" s="1939">
        <f t="array" ref="M206">M204/M212</f>
        <v/>
      </c>
      <c r="N206" s="1939">
        <f t="array" ref="N206">N204/N212</f>
        <v/>
      </c>
      <c r="O206" s="1939">
        <f t="array" ref="O206">O204/O212</f>
        <v/>
      </c>
      <c r="P206" s="1939">
        <f t="array" ref="P206">P204/P212</f>
        <v/>
      </c>
      <c r="Q206" s="1939">
        <f t="array" ref="Q206">Q204/Q212</f>
        <v/>
      </c>
      <c r="R206" s="1939">
        <f t="array" ref="R206">R204/R212</f>
        <v/>
      </c>
      <c r="S206" s="1939">
        <f t="array" ref="S206">S204/S212</f>
        <v/>
      </c>
      <c r="T206" s="1939">
        <f t="array" ref="T206">T204/T212</f>
        <v/>
      </c>
      <c r="U206" s="1939">
        <f t="array" ref="U206">U204/U212</f>
        <v/>
      </c>
      <c r="V206" s="1939">
        <f t="array" ref="V206">V204/V212</f>
        <v/>
      </c>
      <c r="W206" s="1939">
        <f t="array" ref="W206">W204/W212</f>
        <v/>
      </c>
      <c r="X206" s="1939">
        <f t="array" ref="X206">X204/X212</f>
        <v/>
      </c>
      <c r="Y206" s="1939">
        <f t="array" ref="Y206">Y204/Y212</f>
        <v/>
      </c>
      <c r="Z206" s="1939">
        <f t="array" ref="Z206">Z204/Z212</f>
        <v/>
      </c>
      <c r="AA206" s="1939">
        <f t="array" ref="AA206">AA204/AA212</f>
        <v/>
      </c>
      <c r="AB206" s="1939">
        <f t="array" ref="AB206">AB204/AB212</f>
        <v/>
      </c>
      <c r="AC206" s="1939">
        <f t="array" ref="AC206">AC204/AC212</f>
        <v/>
      </c>
      <c r="AD206" s="1939">
        <f t="array" ref="AD206">AD204/AD212</f>
        <v/>
      </c>
      <c r="AE206" s="1939">
        <f t="array" ref="AE206">AE204/AE212</f>
        <v/>
      </c>
      <c r="AF206" s="1939">
        <f t="array" ref="AF206">AF204/AF212</f>
        <v/>
      </c>
      <c r="AG206" s="1939">
        <f t="array" ref="AG206">AG204/AG212</f>
        <v/>
      </c>
      <c r="AH206" s="1939">
        <f t="array" ref="AH206">AH204/AH212</f>
        <v/>
      </c>
      <c r="AI206" s="1939">
        <f t="array" ref="AI206">AI204/AI212</f>
        <v/>
      </c>
      <c r="AJ206" s="1939">
        <f t="array" ref="AJ206">AJ204/AJ212</f>
        <v/>
      </c>
      <c r="AK206" s="1939">
        <f t="array" ref="AK206">AK204/AK212</f>
        <v/>
      </c>
      <c r="AL206" s="1939">
        <f t="array" ref="AL206">AL204/AL212</f>
        <v/>
      </c>
      <c r="AM206" s="1939">
        <f t="array" ref="AM206">AM204/AM212</f>
        <v/>
      </c>
      <c r="AN206" s="1939">
        <f t="array" ref="AN206">AN204/AN212</f>
        <v/>
      </c>
      <c r="AO206" s="1939">
        <f t="array" ref="AO206">AO204/AO212</f>
        <v/>
      </c>
      <c r="AP206" s="1939">
        <f t="array" ref="AP206">AP204/AP212</f>
        <v/>
      </c>
      <c r="AQ206" s="1939">
        <f t="array" ref="AQ206">AQ204/AQ212</f>
        <v/>
      </c>
      <c r="AR206" s="1940">
        <f t="array" ref="AR206">AR204/AR212</f>
        <v/>
      </c>
      <c r="AS206" s="1940">
        <f t="array" ref="AS206">AS204/AS212</f>
        <v/>
      </c>
      <c r="AT206" s="1940">
        <f t="array" ref="AT206">AT204/AT212</f>
        <v/>
      </c>
      <c r="AU206" s="1940">
        <f t="array" ref="AU206">AU204/AU212</f>
        <v/>
      </c>
      <c r="AV206" s="1940">
        <f t="array" ref="AV206">AV204/AV212</f>
        <v/>
      </c>
      <c r="AW206" s="1941">
        <f t="array" ref="AW206">AW204/AW212</f>
        <v/>
      </c>
      <c r="AX206" s="1942">
        <f t="array" ref="AX206">AX204/AX212</f>
        <v/>
      </c>
      <c r="AY206" s="1942">
        <f t="array" ref="AY206">AY204/AY212</f>
        <v/>
      </c>
      <c r="AZ206" s="1942">
        <f t="array" ref="AZ206">AZ204/AZ212</f>
        <v/>
      </c>
      <c r="BA206" s="1943">
        <f t="array" ref="BA206">BA204/BA212</f>
        <v/>
      </c>
      <c r="BB206" s="1941">
        <f t="array" ref="BB206">BB204/BB212</f>
        <v/>
      </c>
      <c r="BC206" s="1942">
        <f t="array" ref="BC206">BC204/BC212</f>
        <v/>
      </c>
      <c r="BD206" s="1724" t="n"/>
      <c r="BE206" s="1724" t="n"/>
      <c r="BF206" s="1750" t="n"/>
      <c r="BG206" s="1724" t="n"/>
      <c r="BH206" s="1724" t="n"/>
      <c r="BI206" s="1750" t="n"/>
      <c r="BJ206" s="1724" t="n"/>
      <c r="BK206" s="1750" t="n"/>
      <c r="BL206" s="1724" t="n"/>
      <c r="BM206" s="1724" t="n"/>
      <c r="BN206" s="1724" t="n"/>
      <c r="BO206" s="1724" t="n"/>
      <c r="BP206" s="1750" t="n"/>
      <c r="BQ206" s="1724" t="n"/>
      <c r="BR206" s="1724" t="n"/>
      <c r="BS206" s="1724" t="n"/>
      <c r="BT206" s="1724" t="n"/>
      <c r="BU206" s="1750" t="n"/>
      <c r="BV206" s="1724" t="n"/>
      <c r="BW206" s="1724" t="n"/>
      <c r="BX206" s="1724" t="n"/>
      <c r="BY206" s="1724" t="n"/>
      <c r="BZ206" s="1750" t="n"/>
      <c r="CA206" s="479">
        <f t="array" ref="CA206">500/CA205</f>
        <v/>
      </c>
      <c r="CB206" s="480" t="n"/>
      <c r="CC206" s="701" t="n"/>
      <c r="CD206" s="701" t="n"/>
      <c r="CE206" s="701" t="n"/>
      <c r="CF206" s="701" t="n"/>
      <c r="CG206" s="701" t="n"/>
      <c r="CH206" s="701" t="n"/>
      <c r="CI206" s="701" t="n"/>
      <c r="CJ206" s="701" t="n"/>
      <c r="CK206" s="701" t="n"/>
      <c r="CL206" s="701" t="n"/>
      <c r="CM206" s="701" t="n"/>
      <c r="CN206" s="701" t="n"/>
      <c r="CO206" s="701" t="n"/>
      <c r="CP206" s="701" t="n"/>
      <c r="CQ206" s="701" t="n"/>
      <c r="CR206" s="701" t="n"/>
      <c r="CS206" s="701" t="n"/>
      <c r="CT206" s="701" t="n"/>
      <c r="CU206" s="701" t="n"/>
      <c r="CV206" s="701" t="n"/>
      <c r="CW206" s="30" t="n"/>
    </row>
    <row r="207" ht="12.75" customHeight="1" s="1676">
      <c r="A207" s="74" t="n"/>
      <c r="B207" s="481" t="n"/>
      <c r="C207" s="701" t="n"/>
      <c r="D207" s="1758" t="n"/>
      <c r="E207" s="1758" t="n"/>
      <c r="F207" s="1758" t="n"/>
      <c r="G207" s="1758" t="n"/>
      <c r="H207" s="1758" t="n"/>
      <c r="I207" s="1758" t="n"/>
      <c r="J207" s="1758" t="n"/>
      <c r="K207" s="1758" t="n"/>
      <c r="L207" s="1758" t="n"/>
      <c r="M207" s="1758" t="n"/>
      <c r="N207" s="1758" t="n"/>
      <c r="O207" s="1758" t="n"/>
      <c r="P207" s="1758" t="n"/>
      <c r="Q207" s="1758" t="n"/>
      <c r="R207" s="1758" t="n"/>
      <c r="S207" s="1758" t="n"/>
      <c r="T207" s="1758" t="n"/>
      <c r="U207" s="1758" t="n"/>
      <c r="V207" s="1758" t="n"/>
      <c r="W207" s="1758" t="n"/>
      <c r="X207" s="1758" t="n"/>
      <c r="Y207" s="1758" t="n"/>
      <c r="Z207" s="1758" t="n"/>
      <c r="AA207" s="1758" t="n"/>
      <c r="AB207" s="1758" t="n"/>
      <c r="AC207" s="1758" t="n"/>
      <c r="AD207" s="1758" t="n"/>
      <c r="AE207" s="1758" t="n"/>
      <c r="AF207" s="1758" t="n"/>
      <c r="AG207" s="1758" t="n"/>
      <c r="AH207" s="1758" t="n"/>
      <c r="AI207" s="1758" t="n"/>
      <c r="AJ207" s="1758" t="n"/>
      <c r="AK207" s="1758" t="n"/>
      <c r="AL207" s="1758" t="n"/>
      <c r="AM207" s="1758" t="n"/>
      <c r="AN207" s="1758" t="n"/>
      <c r="AO207" s="1758" t="n"/>
      <c r="AP207" s="1758" t="n"/>
      <c r="AQ207" s="1758" t="n"/>
      <c r="AR207" s="1758" t="n"/>
      <c r="AS207" s="1758" t="n"/>
      <c r="AT207" s="1758" t="n"/>
      <c r="AU207" s="1758" t="n"/>
      <c r="AV207" s="1758" t="n"/>
      <c r="AW207" s="1758" t="n"/>
      <c r="AX207" s="482" t="n"/>
      <c r="AY207" s="1918" t="n"/>
      <c r="AZ207" s="1944" t="n"/>
      <c r="BA207" s="1758" t="n"/>
      <c r="BB207" s="1758" t="n"/>
      <c r="BC207" s="1758" t="n"/>
      <c r="BD207" s="1758" t="n"/>
      <c r="BE207" s="1758" t="n"/>
      <c r="BF207" s="1758" t="n"/>
      <c r="BG207" s="1758" t="n"/>
      <c r="BH207" s="1902" t="n"/>
      <c r="BI207" s="1758" t="n"/>
      <c r="BJ207" s="1758" t="n"/>
      <c r="BK207" s="1758" t="n"/>
      <c r="BL207" s="1758" t="n"/>
      <c r="BM207" s="1758" t="n"/>
      <c r="BN207" s="1758" t="n"/>
      <c r="BO207" s="1758" t="n"/>
      <c r="BP207" s="1758" t="n"/>
      <c r="BQ207" s="1758" t="n"/>
      <c r="BR207" s="1758" t="n"/>
      <c r="BS207" s="1758" t="n"/>
      <c r="BT207" s="1758" t="n"/>
      <c r="BU207" s="1758" t="n"/>
      <c r="BV207" s="1758" t="n"/>
      <c r="BW207" s="1758" t="n"/>
      <c r="BX207" s="1758" t="n"/>
      <c r="BY207" s="1758" t="n"/>
      <c r="BZ207" s="1758" t="n"/>
      <c r="CA207" s="1758" t="n"/>
      <c r="CB207" s="701" t="n"/>
      <c r="CC207" s="701" t="n"/>
      <c r="CD207" s="701" t="n"/>
      <c r="CE207" s="701" t="n"/>
      <c r="CF207" s="701" t="n"/>
      <c r="CG207" s="701" t="n"/>
      <c r="CH207" s="701" t="n"/>
      <c r="CI207" s="701" t="n"/>
      <c r="CJ207" s="701" t="n"/>
      <c r="CK207" s="701" t="n"/>
      <c r="CL207" s="701" t="n"/>
      <c r="CM207" s="701" t="n"/>
      <c r="CN207" s="701" t="n"/>
      <c r="CO207" s="701" t="n"/>
      <c r="CP207" s="701" t="n"/>
      <c r="CQ207" s="701" t="n"/>
      <c r="CR207" s="701" t="n"/>
      <c r="CS207" s="701" t="n"/>
      <c r="CT207" s="701" t="n"/>
      <c r="CU207" s="701" t="n"/>
      <c r="CV207" s="701" t="n"/>
      <c r="CW207" s="30" t="n"/>
    </row>
    <row r="208" ht="12.75" customHeight="1" s="1676">
      <c r="A208" s="31" t="n"/>
      <c r="B208" s="484" t="inlineStr">
        <is>
          <t>Text_170</t>
        </is>
      </c>
      <c r="C208" s="805" t="n"/>
      <c r="D208" s="1945" t="n"/>
      <c r="E208" s="1945" t="n"/>
      <c r="F208" s="1945" t="n"/>
      <c r="G208" s="1945" t="n"/>
      <c r="H208" s="1945" t="n"/>
      <c r="I208" s="1945" t="n"/>
      <c r="J208" s="1945" t="n"/>
      <c r="K208" s="1945" t="n"/>
      <c r="L208" s="1945" t="n"/>
      <c r="M208" s="1945" t="n"/>
      <c r="N208" s="1945" t="n"/>
      <c r="O208" s="1945" t="n"/>
      <c r="P208" s="1945" t="n"/>
      <c r="Q208" s="1945" t="n"/>
      <c r="R208" s="1945" t="n"/>
      <c r="S208" s="1945" t="n"/>
      <c r="T208" s="1945" t="n"/>
      <c r="U208" s="1945" t="n"/>
      <c r="V208" s="1945" t="n"/>
      <c r="W208" s="1945" t="n"/>
      <c r="X208" s="1945" t="n"/>
      <c r="Y208" s="1945" t="n"/>
      <c r="Z208" s="1945" t="n"/>
      <c r="AA208" s="1945" t="n"/>
      <c r="AB208" s="1945" t="n"/>
      <c r="AC208" s="1945" t="n"/>
      <c r="AD208" s="1945" t="n"/>
      <c r="AE208" s="1945" t="n"/>
      <c r="AF208" s="1945" t="n"/>
      <c r="AG208" s="1945" t="n"/>
      <c r="AH208" s="1945" t="n"/>
      <c r="AI208" s="1945" t="n"/>
      <c r="AJ208" s="1945" t="n"/>
      <c r="AK208" s="1945" t="n"/>
      <c r="AL208" s="1945" t="n"/>
      <c r="AM208" s="1760" t="n"/>
      <c r="AN208" s="1760" t="n"/>
      <c r="AO208" s="1760" t="n"/>
      <c r="AP208" s="1760" t="n"/>
      <c r="AQ208" s="1945" t="n"/>
      <c r="AR208" s="1760" t="n"/>
      <c r="AS208" s="1760" t="n"/>
      <c r="AT208" s="1760" t="n"/>
      <c r="AU208" s="1760" t="n"/>
      <c r="AV208" s="1945" t="n"/>
      <c r="AW208" s="1945" t="n"/>
      <c r="AX208" s="1945" t="n"/>
      <c r="AY208" s="1946" t="n"/>
      <c r="AZ208" s="1945" t="n"/>
      <c r="BA208" s="1945" t="n"/>
      <c r="BB208" s="1945" t="n"/>
      <c r="BC208" s="1945" t="n"/>
      <c r="BD208" s="1945" t="n"/>
      <c r="BE208" s="1945" t="n"/>
      <c r="BF208" s="1945" t="n"/>
      <c r="BG208" s="1945" t="n"/>
      <c r="BH208" s="1945" t="n"/>
      <c r="BI208" s="1945" t="n"/>
      <c r="BJ208" s="1945" t="n"/>
      <c r="BK208" s="1945" t="n"/>
      <c r="BL208" s="1945" t="n"/>
      <c r="BM208" s="1945" t="n"/>
      <c r="BN208" s="1945" t="n"/>
      <c r="BO208" s="1945" t="n"/>
      <c r="BP208" s="1945" t="n"/>
      <c r="BQ208" s="1945" t="n"/>
      <c r="BR208" s="1945" t="n"/>
      <c r="BS208" s="1945" t="n"/>
      <c r="BT208" s="1945" t="n"/>
      <c r="BU208" s="1945" t="n"/>
      <c r="BV208" s="1945" t="n"/>
      <c r="BW208" s="1945" t="n"/>
      <c r="BX208" s="1945" t="n"/>
      <c r="BY208" s="1945" t="n"/>
      <c r="BZ208" s="1945" t="n"/>
      <c r="CA208" s="1945" t="n"/>
      <c r="CB208" s="456" t="n"/>
      <c r="CC208" s="701" t="n"/>
      <c r="CD208" s="701" t="n"/>
      <c r="CE208" s="701" t="n"/>
      <c r="CF208" s="701" t="n"/>
      <c r="CG208" s="701" t="n"/>
      <c r="CH208" s="701" t="n"/>
      <c r="CI208" s="701" t="n"/>
      <c r="CJ208" s="701" t="n"/>
      <c r="CK208" s="701" t="n"/>
      <c r="CL208" s="701" t="n"/>
      <c r="CM208" s="701" t="n"/>
      <c r="CN208" s="701" t="n"/>
      <c r="CO208" s="701" t="n"/>
      <c r="CP208" s="701" t="n"/>
      <c r="CQ208" s="701" t="n"/>
      <c r="CR208" s="701" t="n"/>
      <c r="CS208" s="701" t="n"/>
      <c r="CT208" s="701" t="n"/>
      <c r="CU208" s="701" t="n"/>
      <c r="CV208" s="701" t="n"/>
      <c r="CW208" s="30" t="n"/>
    </row>
    <row r="209" ht="12.75" customHeight="1" s="1676">
      <c r="A209" s="31" t="n"/>
      <c r="B209" s="487" t="inlineStr">
        <is>
          <t>Text_171</t>
        </is>
      </c>
      <c r="C209" s="33" t="n"/>
      <c r="D209" s="33" t="n"/>
      <c r="E209" s="33" t="n"/>
      <c r="F209" s="33" t="n"/>
      <c r="G209" s="33" t="n"/>
      <c r="H209" s="33" t="n"/>
      <c r="I209" s="33" t="n"/>
      <c r="J209" s="33" t="n"/>
      <c r="K209" s="33" t="n"/>
      <c r="L209" s="33" t="n"/>
      <c r="M209" s="33" t="n"/>
      <c r="N209" s="33" t="n"/>
      <c r="O209" s="33" t="n"/>
      <c r="P209" s="33" t="n"/>
      <c r="Q209" s="33" t="n"/>
      <c r="R209" s="33" t="n"/>
      <c r="S209" s="33" t="n"/>
      <c r="T209" s="33" t="n"/>
      <c r="U209" s="33" t="n"/>
      <c r="V209" s="33" t="n"/>
      <c r="W209" s="33" t="n"/>
      <c r="X209" s="33" t="n"/>
      <c r="Y209" s="33" t="n"/>
      <c r="Z209" s="33" t="n"/>
      <c r="AA209" s="33" t="n"/>
      <c r="AB209" s="33" t="n"/>
      <c r="AC209" s="33" t="n"/>
      <c r="AD209" s="33" t="n"/>
      <c r="AE209" s="1947" t="n"/>
      <c r="AF209" s="1947" t="n"/>
      <c r="AG209" s="33" t="n"/>
      <c r="AH209" s="33" t="n"/>
      <c r="AI209" s="33" t="n"/>
      <c r="AJ209" s="1947" t="n"/>
      <c r="AK209" s="1947" t="n"/>
      <c r="AL209" s="33" t="n"/>
      <c r="AM209" s="1882" t="n"/>
      <c r="AN209" s="1882" t="n"/>
      <c r="AO209" s="1882" t="n"/>
      <c r="AP209" s="1917" t="n"/>
      <c r="AQ209" s="33" t="n"/>
      <c r="AR209" s="699" t="n"/>
      <c r="AS209" s="699" t="n"/>
      <c r="AT209" s="699" t="n"/>
      <c r="AU209" s="699" t="n"/>
      <c r="AV209" s="33" t="n"/>
      <c r="AW209" s="489" t="n"/>
      <c r="AX209" s="1948" t="n"/>
      <c r="AY209" s="1948" t="n"/>
      <c r="AZ209" s="1949">
        <f t="array" ref="AZ209">2500</f>
        <v/>
      </c>
      <c r="BA209" s="492" t="n"/>
      <c r="BB209" s="1950" t="n">
        <v>2673.33648438941</v>
      </c>
      <c r="BC209" s="1949" t="n">
        <v>2596.6191775064</v>
      </c>
      <c r="BD209" s="1949" t="n">
        <v>2989.91345608972</v>
      </c>
      <c r="BE209" s="1949" t="n">
        <v>2479.52777521465</v>
      </c>
      <c r="BF209" s="1951" t="n">
        <v>0</v>
      </c>
      <c r="BG209" s="1952" t="n">
        <v>3112.824722148</v>
      </c>
      <c r="BH209" s="1952" t="n">
        <v>2750.92760353711</v>
      </c>
      <c r="BI209" s="1953" t="n"/>
      <c r="BJ209" s="1953" t="n"/>
      <c r="BK209" s="1952" t="n">
        <v>0</v>
      </c>
      <c r="BL209" s="1954" t="n"/>
      <c r="BM209" s="1954" t="n"/>
      <c r="BN209" s="1954" t="n"/>
      <c r="BO209" s="1954" t="n"/>
      <c r="BP209" s="1952" t="n">
        <v>0</v>
      </c>
      <c r="BQ209" s="1954" t="n"/>
      <c r="BR209" s="1954" t="n"/>
      <c r="BS209" s="1954" t="n"/>
      <c r="BT209" s="1954" t="n"/>
      <c r="BU209" s="1952" t="n"/>
      <c r="BV209" s="1954" t="n"/>
      <c r="BW209" s="1954" t="n"/>
      <c r="BX209" s="1954" t="n"/>
      <c r="BY209" s="1954" t="n"/>
      <c r="BZ209" s="1952" t="n"/>
      <c r="CA209" s="498" t="inlineStr">
        <is>
          <t>Text_172</t>
        </is>
      </c>
      <c r="CB209" s="1912">
        <f t="array" ref="CB209">(BZ212/BA212)^(1/5)-1</f>
        <v/>
      </c>
      <c r="CC209" s="701" t="n"/>
      <c r="CD209" s="701" t="n"/>
      <c r="CE209" s="701" t="n"/>
      <c r="CF209" s="701" t="n"/>
      <c r="CG209" s="701" t="n"/>
      <c r="CH209" s="701" t="n"/>
      <c r="CI209" s="701" t="n"/>
      <c r="CJ209" s="701" t="n"/>
      <c r="CK209" s="701" t="n"/>
      <c r="CL209" s="701" t="n"/>
      <c r="CM209" s="701" t="n"/>
      <c r="CN209" s="701" t="n"/>
      <c r="CO209" s="701" t="n"/>
      <c r="CP209" s="701" t="n"/>
      <c r="CQ209" s="701" t="n"/>
      <c r="CR209" s="701" t="n"/>
      <c r="CS209" s="701" t="n"/>
      <c r="CT209" s="701" t="n"/>
      <c r="CU209" s="701" t="n"/>
      <c r="CV209" s="701" t="n"/>
      <c r="CW209" s="30" t="n"/>
    </row>
    <row r="210" ht="12.75" customHeight="1" s="1676">
      <c r="A210" s="31" t="n"/>
      <c r="B210" s="103" t="inlineStr">
        <is>
          <t>Text_49</t>
        </is>
      </c>
      <c r="C210" s="699" t="n"/>
      <c r="D210" s="1713" t="n"/>
      <c r="E210" s="1713" t="n"/>
      <c r="F210" s="1713" t="n"/>
      <c r="G210" s="1713" t="n"/>
      <c r="H210" s="1714" t="n"/>
      <c r="I210" s="1715" t="n"/>
      <c r="J210" s="1715" t="n"/>
      <c r="K210" s="1715" t="n"/>
      <c r="L210" s="1715" t="n"/>
      <c r="M210" s="1761" t="n"/>
      <c r="N210" s="1761" t="n"/>
      <c r="O210" s="1761" t="n"/>
      <c r="P210" s="1761" t="n"/>
      <c r="Q210" s="1761" t="n"/>
      <c r="R210" s="1761" t="n"/>
      <c r="S210" s="1761" t="n"/>
      <c r="T210" s="1761" t="n"/>
      <c r="U210" s="1761" t="n"/>
      <c r="V210" s="1761" t="n"/>
      <c r="W210" s="1761" t="n"/>
      <c r="X210" s="1761" t="n"/>
      <c r="Y210" s="1761" t="n"/>
      <c r="Z210" s="1761" t="n"/>
      <c r="AA210" s="1761" t="n"/>
      <c r="AB210" s="1761" t="n"/>
      <c r="AC210" s="1761" t="n"/>
      <c r="AD210" s="1761" t="n"/>
      <c r="AE210" s="1761" t="n"/>
      <c r="AF210" s="1761" t="n"/>
      <c r="AG210" s="1761" t="n"/>
      <c r="AH210" s="1761" t="n"/>
      <c r="AI210" s="1761" t="n"/>
      <c r="AJ210" s="1761" t="n"/>
      <c r="AK210" s="1761" t="n"/>
      <c r="AL210" s="1761" t="n"/>
      <c r="AM210" s="1790" t="n"/>
      <c r="AN210" s="1790" t="n"/>
      <c r="AO210" s="1790" t="n"/>
      <c r="AP210" s="1790" t="n"/>
      <c r="AQ210" s="1761" t="n"/>
      <c r="AR210" s="1790" t="n"/>
      <c r="AS210" s="1790" t="n"/>
      <c r="AT210" s="1790" t="n"/>
      <c r="AU210" s="1790" t="n"/>
      <c r="AV210" s="1761" t="n"/>
      <c r="AW210" s="1791" t="n"/>
      <c r="AX210" s="1792" t="n"/>
      <c r="AY210" s="1792" t="n"/>
      <c r="AZ210" s="1792" t="n"/>
      <c r="BA210" s="1718" t="n"/>
      <c r="BB210" s="1791">
        <f t="array" ref="BB210">BB209/AZ209-1</f>
        <v/>
      </c>
      <c r="BC210" s="1792">
        <f t="array" ref="BC210">BC209/BB212-1</f>
        <v/>
      </c>
      <c r="BD210" s="1792">
        <f t="array" ref="BD210">BD209/BC209-1</f>
        <v/>
      </c>
      <c r="BE210" s="1792">
        <f t="array" ref="BE210">BE209/BD209-1</f>
        <v/>
      </c>
      <c r="BF210" s="1795" t="n"/>
      <c r="BG210" s="1790">
        <f t="array" ref="BG210">BG209/BE209-1</f>
        <v/>
      </c>
      <c r="BH210" s="1790">
        <f t="array" ref="BH210">BH209/BG209-1</f>
        <v/>
      </c>
      <c r="BI210" s="699" t="n"/>
      <c r="BJ210" s="699" t="n"/>
      <c r="BK210" s="1797" t="n"/>
      <c r="BL210" s="1790" t="n"/>
      <c r="BM210" s="1790" t="n"/>
      <c r="BN210" s="1790" t="n"/>
      <c r="BO210" s="1790" t="n"/>
      <c r="BP210" s="1797" t="n"/>
      <c r="BQ210" s="1790">
        <f t="array" ref="BQ210">BQ209/BO209-1</f>
        <v/>
      </c>
      <c r="BR210" s="1790">
        <f t="array" ref="BR210">BR209/BQ209-1</f>
        <v/>
      </c>
      <c r="BS210" s="1790">
        <f t="array" ref="BS210">BS209/BR209-1</f>
        <v/>
      </c>
      <c r="BT210" s="1790">
        <f t="array" ref="BT210">BT209/BS209-1</f>
        <v/>
      </c>
      <c r="BU210" s="1797" t="n"/>
      <c r="BV210" s="1790">
        <f t="array" ref="BV210">BV209/BT209-1</f>
        <v/>
      </c>
      <c r="BW210" s="1790">
        <f t="array" ref="BW210">BW209/BV209-1</f>
        <v/>
      </c>
      <c r="BX210" s="1790">
        <f t="array" ref="BX210">BX209/BW209-1</f>
        <v/>
      </c>
      <c r="BY210" s="1790">
        <f t="array" ref="BY210">BY209/BX209-1</f>
        <v/>
      </c>
      <c r="BZ210" s="1797" t="n"/>
      <c r="CA210" s="1955" t="n"/>
      <c r="CB210" s="1785" t="n"/>
      <c r="CC210" s="456" t="n"/>
      <c r="CD210" s="701" t="n"/>
      <c r="CE210" s="701" t="n"/>
      <c r="CF210" s="701" t="n"/>
      <c r="CG210" s="701" t="n"/>
      <c r="CH210" s="701" t="n"/>
      <c r="CI210" s="701" t="n"/>
      <c r="CJ210" s="701" t="n"/>
      <c r="CK210" s="701" t="n"/>
      <c r="CL210" s="701" t="n"/>
      <c r="CM210" s="701" t="n"/>
      <c r="CN210" s="701" t="n"/>
      <c r="CO210" s="701" t="n"/>
      <c r="CP210" s="701" t="n"/>
      <c r="CQ210" s="701" t="n"/>
      <c r="CR210" s="701" t="n"/>
      <c r="CS210" s="701" t="n"/>
      <c r="CT210" s="701" t="n"/>
      <c r="CU210" s="701" t="n"/>
      <c r="CV210" s="701" t="n"/>
      <c r="CW210" s="30" t="n"/>
    </row>
    <row r="211" ht="12.75" customHeight="1" s="1676">
      <c r="A211" s="31" t="n"/>
      <c r="B211" s="277" t="inlineStr">
        <is>
          <t>Text_15</t>
        </is>
      </c>
      <c r="C211" s="805" t="n"/>
      <c r="D211" s="805" t="n"/>
      <c r="E211" s="805" t="n"/>
      <c r="F211" s="805" t="n"/>
      <c r="G211" s="805" t="n"/>
      <c r="H211" s="805" t="n"/>
      <c r="I211" s="805" t="n"/>
      <c r="J211" s="805" t="n"/>
      <c r="K211" s="805" t="n"/>
      <c r="L211" s="805" t="n"/>
      <c r="M211" s="805" t="n"/>
      <c r="N211" s="805" t="n"/>
      <c r="O211" s="805" t="n"/>
      <c r="P211" s="805" t="n"/>
      <c r="Q211" s="805" t="n"/>
      <c r="R211" s="805" t="n"/>
      <c r="S211" s="805" t="n"/>
      <c r="T211" s="805" t="n"/>
      <c r="U211" s="805" t="n"/>
      <c r="V211" s="805" t="n"/>
      <c r="W211" s="805" t="n"/>
      <c r="X211" s="805" t="n"/>
      <c r="Y211" s="805" t="n"/>
      <c r="Z211" s="805" t="n"/>
      <c r="AA211" s="805" t="n"/>
      <c r="AB211" s="805" t="n"/>
      <c r="AC211" s="805" t="n"/>
      <c r="AD211" s="805" t="n"/>
      <c r="AE211" s="1727" t="n"/>
      <c r="AF211" s="805" t="n"/>
      <c r="AG211" s="805" t="n"/>
      <c r="AH211" s="805" t="n"/>
      <c r="AI211" s="805" t="n"/>
      <c r="AJ211" s="1956" t="n"/>
      <c r="AK211" s="805" t="n"/>
      <c r="AL211" s="805" t="n"/>
      <c r="AM211" s="1956" t="n"/>
      <c r="AN211" s="1956" t="n"/>
      <c r="AO211" s="1956" t="n"/>
      <c r="AP211" s="805" t="n"/>
      <c r="AQ211" s="1956" t="n"/>
      <c r="AR211" s="805" t="n"/>
      <c r="AS211" s="805" t="n"/>
      <c r="AT211" s="805" t="n"/>
      <c r="AU211" s="805" t="n"/>
      <c r="AV211" s="805" t="n"/>
      <c r="AW211" s="501" t="n"/>
      <c r="AX211" s="1957" t="n"/>
      <c r="AY211" s="1957" t="n"/>
      <c r="AZ211" s="1957" t="n"/>
      <c r="BA211" s="503" t="n"/>
      <c r="BB211" s="1958">
        <f t="array" ref="BB211">BB209/AW212-1</f>
        <v/>
      </c>
      <c r="BC211" s="1957">
        <f t="array" ref="BC211">BC209/AX212-1</f>
        <v/>
      </c>
      <c r="BD211" s="1957">
        <f t="array" ref="BD211">BD209/AY212-1</f>
        <v/>
      </c>
      <c r="BE211" s="1957">
        <f t="array" ref="BE211">BE209/AZ212-1</f>
        <v/>
      </c>
      <c r="BF211" s="1959">
        <f t="array" ref="BF211">BF209/BA212-1</f>
        <v/>
      </c>
      <c r="BG211" s="1956">
        <f t="array" ref="BG211">BG209/BB212-1</f>
        <v/>
      </c>
      <c r="BH211" s="1956">
        <f t="array" ref="BH211">BH209/BC212-1</f>
        <v/>
      </c>
      <c r="BI211" s="805" t="n"/>
      <c r="BJ211" s="805" t="n"/>
      <c r="BK211" s="1956">
        <f t="array" ref="BK211">BK209/BF209-1</f>
        <v/>
      </c>
      <c r="BL211" s="805" t="n"/>
      <c r="BM211" s="805" t="n"/>
      <c r="BN211" s="805" t="n"/>
      <c r="BO211" s="805" t="n"/>
      <c r="BP211" s="1956">
        <f t="array" ref="BP211">BP209/BK209-1</f>
        <v/>
      </c>
      <c r="BQ211" s="805" t="n"/>
      <c r="BR211" s="805" t="n"/>
      <c r="BS211" s="805" t="n"/>
      <c r="BT211" s="805" t="n"/>
      <c r="BU211" s="1956" t="n"/>
      <c r="BV211" s="805" t="n"/>
      <c r="BW211" s="805" t="n"/>
      <c r="BX211" s="805" t="n"/>
      <c r="BY211" s="805" t="n"/>
      <c r="BZ211" s="1956" t="n"/>
      <c r="CA211" s="506" t="inlineStr">
        <is>
          <t>Text_173</t>
        </is>
      </c>
      <c r="CB211" s="314" t="inlineStr">
        <is>
          <t>Text_174</t>
        </is>
      </c>
      <c r="CC211" s="1960">
        <f t="array" ref="CC211">(0.5*BK212)+(0.5*BP212)</f>
        <v/>
      </c>
      <c r="CD211" s="701" t="n"/>
      <c r="CE211" s="701" t="n"/>
      <c r="CF211" s="701" t="n"/>
      <c r="CG211" s="701" t="n"/>
      <c r="CH211" s="701" t="n"/>
      <c r="CI211" s="701" t="n"/>
      <c r="CJ211" s="701" t="n"/>
      <c r="CK211" s="701" t="n"/>
      <c r="CL211" s="701" t="n"/>
      <c r="CM211" s="701" t="n"/>
      <c r="CN211" s="701" t="n"/>
      <c r="CO211" s="701" t="n"/>
      <c r="CP211" s="701" t="n"/>
      <c r="CQ211" s="701" t="n"/>
      <c r="CR211" s="701" t="n"/>
      <c r="CS211" s="701" t="n"/>
      <c r="CT211" s="701" t="n"/>
      <c r="CU211" s="701" t="n"/>
      <c r="CV211" s="701" t="n"/>
      <c r="CW211" s="30" t="n"/>
    </row>
    <row r="212" ht="15" customHeight="1" s="1676">
      <c r="A212" s="31" t="n"/>
      <c r="B212" s="14" t="inlineStr">
        <is>
          <t>Text_175</t>
        </is>
      </c>
      <c r="C212" s="66" t="n"/>
      <c r="D212" s="1704" t="n"/>
      <c r="E212" s="1704" t="n"/>
      <c r="F212" s="1704" t="n"/>
      <c r="G212" s="1704" t="n"/>
      <c r="H212" s="1961" t="n"/>
      <c r="I212" s="1961" t="n">
        <v>719.133828267954</v>
      </c>
      <c r="J212" s="1961" t="n">
        <v>656.36921180627</v>
      </c>
      <c r="K212" s="1961" t="n">
        <v>699.671942588318</v>
      </c>
      <c r="L212" s="1961" t="n">
        <v>739.609305315147</v>
      </c>
      <c r="M212" s="1961" t="n">
        <v>2474.08129179786</v>
      </c>
      <c r="N212" s="1961" t="n">
        <v>718.39212618739</v>
      </c>
      <c r="O212" s="1961" t="n">
        <v>869.84846603237</v>
      </c>
      <c r="P212" s="1961" t="n">
        <v>950.368870822541</v>
      </c>
      <c r="Q212" s="1961" t="n">
        <v>860.424881807101</v>
      </c>
      <c r="R212" s="1961" t="n">
        <v>3751.42987738671</v>
      </c>
      <c r="S212" s="1961" t="n">
        <v>1109.24813359564</v>
      </c>
      <c r="T212" s="1961" t="n">
        <v>1085.05590067356</v>
      </c>
      <c r="U212" s="1961" t="n">
        <v>833.22018744613</v>
      </c>
      <c r="V212" s="1961" t="n">
        <v>1061.66094223747</v>
      </c>
      <c r="W212" s="1961" t="n">
        <v>3398.78950246033</v>
      </c>
      <c r="X212" s="1961" t="n">
        <v>980.455253616747</v>
      </c>
      <c r="Y212" s="1961" t="n">
        <v>1337.90298594988</v>
      </c>
      <c r="Z212" s="1961" t="n">
        <v>940.393570670721</v>
      </c>
      <c r="AA212" s="1961" t="n">
        <v>1257.87532535542</v>
      </c>
      <c r="AB212" s="1961" t="n">
        <v>4784.8408828596</v>
      </c>
      <c r="AC212" s="1961" t="n">
        <v>1527.88072955065</v>
      </c>
      <c r="AD212" s="1961" t="n">
        <v>1545.46775369415</v>
      </c>
      <c r="AE212" s="1961" t="n">
        <v>1144.73653398976</v>
      </c>
      <c r="AF212" s="1961" t="n">
        <v>1358.27465611351</v>
      </c>
      <c r="AG212" s="1961" t="n">
        <v>5847.56052449137</v>
      </c>
      <c r="AH212" s="1961" t="n">
        <v>1284.97326116569</v>
      </c>
      <c r="AI212" s="1961" t="n">
        <v>1552.23179277012</v>
      </c>
      <c r="AJ212" s="1961" t="n">
        <v>1466.97474846157</v>
      </c>
      <c r="AK212" s="1961" t="n">
        <v>1600.89704699823</v>
      </c>
      <c r="AL212" s="1961" t="n">
        <v>6633.46982657895</v>
      </c>
      <c r="AM212" s="1961" t="n">
        <v>1777.69365258943</v>
      </c>
      <c r="AN212" s="1961" t="n">
        <v>2416.18945033824</v>
      </c>
      <c r="AO212" s="1961" t="n">
        <v>2462.12557108208</v>
      </c>
      <c r="AP212" s="1961" t="n">
        <v>2785.73126702233</v>
      </c>
      <c r="AQ212" s="1961" t="n">
        <v>8107.01065296185</v>
      </c>
      <c r="AR212" s="1961" t="n">
        <v>2362.05662667543</v>
      </c>
      <c r="AS212" s="1961" t="n">
        <v>2511.91704775676</v>
      </c>
      <c r="AT212" s="1961" t="n">
        <v>2565.36052659274</v>
      </c>
      <c r="AU212" s="1961" t="n">
        <v>2549.64844922047</v>
      </c>
      <c r="AV212" s="1961" t="n">
        <v>8529.456777965621</v>
      </c>
      <c r="AW212" s="1962" t="n">
        <v>2815.18862436292</v>
      </c>
      <c r="AX212" s="1963" t="n">
        <v>2041.0761369238</v>
      </c>
      <c r="AY212" s="1963" t="n">
        <v>2398.81093237341</v>
      </c>
      <c r="AZ212" s="1963" t="n">
        <v>2783.5434293727</v>
      </c>
      <c r="BA212" s="1733">
        <f t="array" ref="BA212">BA195</f>
        <v/>
      </c>
      <c r="BB212" s="1962" t="n">
        <v>3263.71769987455</v>
      </c>
      <c r="BC212" s="1963" t="n">
        <v>3340.49819606859</v>
      </c>
      <c r="BD212" s="1964">
        <f t="array" ref="BD212">BD195</f>
        <v/>
      </c>
      <c r="BE212" s="1964">
        <f t="array" ref="BE212">BE195</f>
        <v/>
      </c>
      <c r="BF212" s="1733">
        <f t="array" ref="BF212">BF195</f>
        <v/>
      </c>
      <c r="BG212" s="1734">
        <f t="array" ref="BG212">BG195</f>
        <v/>
      </c>
      <c r="BH212" s="1734">
        <f t="array" ref="BH212">BH195</f>
        <v/>
      </c>
      <c r="BI212" s="1734">
        <f t="array" ref="BI212">BI195</f>
        <v/>
      </c>
      <c r="BJ212" s="1734">
        <f t="array" ref="BJ212">BJ195</f>
        <v/>
      </c>
      <c r="BK212" s="1734">
        <f t="array" ref="BK212">BK195</f>
        <v/>
      </c>
      <c r="BL212" s="1734">
        <f t="array" ref="BL212">BL195</f>
        <v/>
      </c>
      <c r="BM212" s="1734">
        <f t="array" ref="BM212">BM195</f>
        <v/>
      </c>
      <c r="BN212" s="1734">
        <f t="array" ref="BN212">BN195</f>
        <v/>
      </c>
      <c r="BO212" s="1734">
        <f t="array" ref="BO212">BO195</f>
        <v/>
      </c>
      <c r="BP212" s="1734">
        <f t="array" ref="BP212">BP195</f>
        <v/>
      </c>
      <c r="BQ212" s="1734">
        <f t="array" ref="BQ212">BQ195</f>
        <v/>
      </c>
      <c r="BR212" s="1734">
        <f t="array" ref="BR212">BR195</f>
        <v/>
      </c>
      <c r="BS212" s="1734">
        <f t="array" ref="BS212">BS195</f>
        <v/>
      </c>
      <c r="BT212" s="1734">
        <f t="array" ref="BT212">BT195</f>
        <v/>
      </c>
      <c r="BU212" s="1734">
        <f t="array" ref="BU212">BU195</f>
        <v/>
      </c>
      <c r="BV212" s="1734">
        <f t="array" ref="BV212">BV195</f>
        <v/>
      </c>
      <c r="BW212" s="1734">
        <f t="array" ref="BW212">BW195</f>
        <v/>
      </c>
      <c r="BX212" s="1734">
        <f t="array" ref="BX212">BX195</f>
        <v/>
      </c>
      <c r="BY212" s="1734">
        <f t="array" ref="BY212">BY195</f>
        <v/>
      </c>
      <c r="BZ212" s="1734">
        <f t="array" ref="BZ212">BZ195</f>
        <v/>
      </c>
      <c r="CA212" s="1965">
        <f t="array" ref="CA212">(BU212/AV212)^(1/5)-1</f>
        <v/>
      </c>
      <c r="CB212" s="314" t="inlineStr">
        <is>
          <t>Text_176</t>
        </is>
      </c>
      <c r="CC212" s="701" t="n"/>
      <c r="CD212" s="701" t="n"/>
      <c r="CE212" s="701" t="n"/>
      <c r="CF212" s="701" t="n"/>
      <c r="CG212" s="701" t="n"/>
      <c r="CH212" s="701" t="n"/>
      <c r="CI212" s="701" t="n"/>
      <c r="CJ212" s="701" t="n"/>
      <c r="CK212" s="701" t="n"/>
      <c r="CL212" s="701" t="n"/>
      <c r="CM212" s="701" t="n"/>
      <c r="CN212" s="701" t="n"/>
      <c r="CO212" s="701" t="n"/>
      <c r="CP212" s="701" t="n"/>
      <c r="CQ212" s="701" t="n"/>
      <c r="CR212" s="701" t="n"/>
      <c r="CS212" s="701" t="n"/>
      <c r="CT212" s="701" t="n"/>
      <c r="CU212" s="701" t="n"/>
      <c r="CV212" s="701" t="n"/>
      <c r="CW212" s="30" t="n"/>
    </row>
    <row r="213" ht="12.75" customHeight="1" s="1676">
      <c r="A213" s="31" t="n"/>
      <c r="B213" s="293" t="inlineStr">
        <is>
          <t>Text_49</t>
        </is>
      </c>
      <c r="C213" s="33" t="n"/>
      <c r="D213" s="1735" t="n"/>
      <c r="E213" s="1735" t="n"/>
      <c r="F213" s="1735" t="n"/>
      <c r="G213" s="1735" t="n"/>
      <c r="H213" s="1736" t="n"/>
      <c r="I213" s="1770" t="n"/>
      <c r="J213" s="1770" t="n"/>
      <c r="K213" s="1770" t="n"/>
      <c r="L213" s="1770" t="n"/>
      <c r="M213" s="1769" t="n"/>
      <c r="N213" s="1769" t="n"/>
      <c r="O213" s="1769" t="n"/>
      <c r="P213" s="1769" t="n"/>
      <c r="Q213" s="1769" t="n"/>
      <c r="R213" s="1769" t="n"/>
      <c r="S213" s="1769" t="n"/>
      <c r="T213" s="1769" t="n"/>
      <c r="U213" s="1769" t="n"/>
      <c r="V213" s="1769" t="n"/>
      <c r="W213" s="1769" t="n"/>
      <c r="X213" s="1769" t="n"/>
      <c r="Y213" s="1769" t="n"/>
      <c r="Z213" s="1769" t="n"/>
      <c r="AA213" s="1769" t="n"/>
      <c r="AB213" s="1769" t="n"/>
      <c r="AC213" s="1769" t="n"/>
      <c r="AD213" s="1769" t="n"/>
      <c r="AE213" s="1769" t="n"/>
      <c r="AF213" s="1769" t="n"/>
      <c r="AG213" s="1769" t="n"/>
      <c r="AH213" s="1769" t="n"/>
      <c r="AI213" s="1769" t="n"/>
      <c r="AJ213" s="1769" t="n"/>
      <c r="AK213" s="1769" t="n"/>
      <c r="AL213" s="1769" t="n"/>
      <c r="AM213" s="1953">
        <f t="array" ref="AM213">AM212/AK212-1</f>
        <v/>
      </c>
      <c r="AN213" s="1953">
        <f t="array" ref="AN213">AN212/AM212-1</f>
        <v/>
      </c>
      <c r="AO213" s="1953">
        <f t="array" ref="AO213">AO212/AN212-1</f>
        <v/>
      </c>
      <c r="AP213" s="1953">
        <f t="array" ref="AP213">AP212/AO212-1</f>
        <v/>
      </c>
      <c r="AQ213" s="1769" t="n"/>
      <c r="AR213" s="1953">
        <f t="array" ref="AR213">AR212/AP212-1</f>
        <v/>
      </c>
      <c r="AS213" s="1953">
        <f t="array" ref="AS213">AS212/AR212-1</f>
        <v/>
      </c>
      <c r="AT213" s="1966">
        <f t="array" ref="AT213">AT212/AS212-1</f>
        <v/>
      </c>
      <c r="AU213" s="1966">
        <f t="array" ref="AU213">AU212/AT212-1</f>
        <v/>
      </c>
      <c r="AV213" s="1967" t="n"/>
      <c r="AW213" s="1968">
        <f t="array" ref="AW213">AW212/AU212-1</f>
        <v/>
      </c>
      <c r="AX213" s="1969">
        <f t="array" ref="AX213">AX212/AW212-1</f>
        <v/>
      </c>
      <c r="AY213" s="1969">
        <f t="array" ref="AY213">AY212/AX212-1</f>
        <v/>
      </c>
      <c r="AZ213" s="1969">
        <f t="array" ref="AZ213">AZ212/AY212-1</f>
        <v/>
      </c>
      <c r="BA213" s="1773" t="n"/>
      <c r="BB213" s="1968">
        <f t="array" ref="BB213">BB212/AZ212-1</f>
        <v/>
      </c>
      <c r="BC213" s="1969">
        <f t="array" ref="BC213">BC212/BB212-1</f>
        <v/>
      </c>
      <c r="BD213" s="1969">
        <f t="array" ref="BD213">BD212/BC212-1</f>
        <v/>
      </c>
      <c r="BE213" s="1969">
        <f t="array" ref="BE213">BE212/BD212-1</f>
        <v/>
      </c>
      <c r="BF213" s="1970" t="n"/>
      <c r="BG213" s="1966">
        <f t="array" ref="BG213">BG212/BE212-1</f>
        <v/>
      </c>
      <c r="BH213" s="1966">
        <f t="array" ref="BH213">BH212/BG212-1</f>
        <v/>
      </c>
      <c r="BI213" s="1966">
        <f t="array" ref="BI213">BI212/BH212-1</f>
        <v/>
      </c>
      <c r="BJ213" s="1966">
        <f t="array" ref="BJ213">BJ212/BI212-1</f>
        <v/>
      </c>
      <c r="BK213" s="1971" t="n"/>
      <c r="BL213" s="1953">
        <f t="array" ref="BL213">BL212/BJ212-1</f>
        <v/>
      </c>
      <c r="BM213" s="1953">
        <f t="array" ref="BM213">BM212/BL212-1</f>
        <v/>
      </c>
      <c r="BN213" s="1953">
        <f t="array" ref="BN213">BN212/BM212-1</f>
        <v/>
      </c>
      <c r="BO213" s="1953">
        <f t="array" ref="BO213">BO212/BN212-1</f>
        <v/>
      </c>
      <c r="BP213" s="1971" t="n"/>
      <c r="BQ213" s="1953">
        <f t="array" ref="BQ213">BQ212/BO212-1</f>
        <v/>
      </c>
      <c r="BR213" s="1953">
        <f t="array" ref="BR213">BR212/BQ212-1</f>
        <v/>
      </c>
      <c r="BS213" s="1953">
        <f t="array" ref="BS213">BS212/BR212-1</f>
        <v/>
      </c>
      <c r="BT213" s="1953">
        <f t="array" ref="BT213">BT212/BS212-1</f>
        <v/>
      </c>
      <c r="BU213" s="1971" t="n"/>
      <c r="BV213" s="1953">
        <f t="array" ref="BV213">BV212/BT212-1</f>
        <v/>
      </c>
      <c r="BW213" s="1953">
        <f t="array" ref="BW213">BW212/BV212-1</f>
        <v/>
      </c>
      <c r="BX213" s="1953">
        <f t="array" ref="BX213">BX212/BW212-1</f>
        <v/>
      </c>
      <c r="BY213" s="1953">
        <f t="array" ref="BY213">BY212/BX212-1</f>
        <v/>
      </c>
      <c r="BZ213" s="1971" t="n"/>
      <c r="CA213" s="1955">
        <f t="array" ref="CA213">(BF209/AB212)^(1/5)-1</f>
        <v/>
      </c>
      <c r="CB213" s="1785" t="n"/>
      <c r="CC213" s="1749">
        <f t="array" ref="CC213">(BD212+BE212+BG212+BH212)/(AY212+AZ212+BB212+BC212)-1</f>
        <v/>
      </c>
      <c r="CD213" s="701" t="n"/>
      <c r="CE213" s="701" t="n"/>
      <c r="CF213" s="701" t="n"/>
      <c r="CG213" s="701" t="n"/>
      <c r="CH213" s="701" t="n"/>
      <c r="CI213" s="701" t="n"/>
      <c r="CJ213" s="701" t="n"/>
      <c r="CK213" s="701" t="n"/>
      <c r="CL213" s="701" t="n"/>
      <c r="CM213" s="701" t="n"/>
      <c r="CN213" s="701" t="n"/>
      <c r="CO213" s="701" t="n"/>
      <c r="CP213" s="701" t="n"/>
      <c r="CQ213" s="701" t="n"/>
      <c r="CR213" s="701" t="n"/>
      <c r="CS213" s="701" t="n"/>
      <c r="CT213" s="701" t="n"/>
      <c r="CU213" s="701" t="n"/>
      <c r="CV213" s="701" t="n"/>
      <c r="CW213" s="30" t="n"/>
    </row>
    <row r="214" ht="12.75" customHeight="1" s="1676">
      <c r="A214" s="31" t="n"/>
      <c r="B214" s="156" t="inlineStr">
        <is>
          <t>Text_24</t>
        </is>
      </c>
      <c r="C214" s="699" t="n"/>
      <c r="D214" s="1713" t="n"/>
      <c r="E214" s="1713" t="n"/>
      <c r="F214" s="1713" t="n"/>
      <c r="G214" s="1713" t="n"/>
      <c r="H214" s="1714" t="n"/>
      <c r="I214" s="1719" t="n"/>
      <c r="J214" s="1719" t="n"/>
      <c r="K214" s="1719" t="n"/>
      <c r="L214" s="1719" t="n"/>
      <c r="M214" s="1751" t="n"/>
      <c r="N214" s="1751">
        <f t="array" ref="N214">N212/I212-1</f>
        <v/>
      </c>
      <c r="O214" s="1751">
        <f t="array" ref="O214">O212/J212-1</f>
        <v/>
      </c>
      <c r="P214" s="1751">
        <f t="array" ref="P214">P212/K212-1</f>
        <v/>
      </c>
      <c r="Q214" s="1751">
        <f t="array" ref="Q214">Q212/L212-1</f>
        <v/>
      </c>
      <c r="R214" s="1751">
        <f t="array" ref="R214">R212/M212-1</f>
        <v/>
      </c>
      <c r="S214" s="1751">
        <f t="array" ref="S214">S212/N212-1</f>
        <v/>
      </c>
      <c r="T214" s="1751">
        <f t="array" ref="T214">T212/O212-1</f>
        <v/>
      </c>
      <c r="U214" s="1751">
        <f t="array" ref="U214">U212/P212-1</f>
        <v/>
      </c>
      <c r="V214" s="1751">
        <f t="array" ref="V214">V212/Q212-1</f>
        <v/>
      </c>
      <c r="W214" s="1751">
        <f t="array" ref="W214">W212/R212-1</f>
        <v/>
      </c>
      <c r="X214" s="1751">
        <f t="array" ref="X214">X212/S212-1</f>
        <v/>
      </c>
      <c r="Y214" s="1751">
        <f t="array" ref="Y214">Y212/T212-1</f>
        <v/>
      </c>
      <c r="Z214" s="1751">
        <f t="array" ref="Z214">Z212/U212-1</f>
        <v/>
      </c>
      <c r="AA214" s="1751">
        <f t="array" ref="AA214">AA212/V212-1</f>
        <v/>
      </c>
      <c r="AB214" s="1751">
        <f t="array" ref="AB214">AB212/W212-1</f>
        <v/>
      </c>
      <c r="AC214" s="1751">
        <f t="array" ref="AC214">AC212/X212-1</f>
        <v/>
      </c>
      <c r="AD214" s="1751">
        <f t="array" ref="AD214">AD212/Y212-1</f>
        <v/>
      </c>
      <c r="AE214" s="1751">
        <f t="array" ref="AE214">AE212/Z212-1</f>
        <v/>
      </c>
      <c r="AF214" s="1751">
        <f t="array" ref="AF214">AF212/AA212-1</f>
        <v/>
      </c>
      <c r="AG214" s="1751">
        <f t="array" ref="AG214">AG212/AB212-1</f>
        <v/>
      </c>
      <c r="AH214" s="1751">
        <f t="array" ref="AH214">AH212/AC212-1</f>
        <v/>
      </c>
      <c r="AI214" s="1751">
        <f t="array" ref="AI214">AI212/AD212-1</f>
        <v/>
      </c>
      <c r="AJ214" s="1751">
        <f t="array" ref="AJ214">AJ212/AE212-1</f>
        <v/>
      </c>
      <c r="AK214" s="1751">
        <f t="array" ref="AK214">AK212/AF212-1</f>
        <v/>
      </c>
      <c r="AL214" s="1751">
        <f t="array" ref="AL214">AL212/AG212-1</f>
        <v/>
      </c>
      <c r="AM214" s="1751">
        <f t="array" ref="AM214">AM212/AH212-1</f>
        <v/>
      </c>
      <c r="AN214" s="1751">
        <f t="array" ref="AN214">AN212/AI212-1</f>
        <v/>
      </c>
      <c r="AO214" s="1751">
        <f t="array" ref="AO214">AO212/AJ212-1</f>
        <v/>
      </c>
      <c r="AP214" s="1751">
        <f t="array" ref="AP214">AP212/AK212-1</f>
        <v/>
      </c>
      <c r="AQ214" s="1751">
        <f t="array" ref="AQ214">AQ212/AL212-1</f>
        <v/>
      </c>
      <c r="AR214" s="1751">
        <f t="array" ref="AR214">AR212/AM212-1</f>
        <v/>
      </c>
      <c r="AS214" s="1751">
        <f t="array" ref="AS214">AS212/AN212-1</f>
        <v/>
      </c>
      <c r="AT214" s="1751">
        <f t="array" ref="AT214">AT212/AO212-1</f>
        <v/>
      </c>
      <c r="AU214" s="1751">
        <f t="array" ref="AU214">AU212/AP212-1</f>
        <v/>
      </c>
      <c r="AV214" s="1751">
        <f t="array" ref="AV214">AV212/AQ212-1</f>
        <v/>
      </c>
      <c r="AW214" s="1749">
        <f t="array" ref="AW214">AW212/AR212-1</f>
        <v/>
      </c>
      <c r="AX214" s="1750">
        <f t="array" ref="AX214">AX212/AS212-1</f>
        <v/>
      </c>
      <c r="AY214" s="1750">
        <f t="array" ref="AY214">AY212/AT212-1</f>
        <v/>
      </c>
      <c r="AZ214" s="1972">
        <f t="array" ref="AZ214">AZ212/AU212-1</f>
        <v/>
      </c>
      <c r="BA214" s="1784">
        <f t="array" ref="BA214">BA212/AV212-1</f>
        <v/>
      </c>
      <c r="BB214" s="1749">
        <f t="array" ref="BB214">BB212/AW212-1</f>
        <v/>
      </c>
      <c r="BC214" s="1750">
        <f t="array" ref="BC214">BC212/AX212-1</f>
        <v/>
      </c>
      <c r="BD214" s="1750">
        <f t="array" ref="BD214">BD212/AY212-1</f>
        <v/>
      </c>
      <c r="BE214" s="1750">
        <f t="array" ref="BE214">BE212/AZ212-1</f>
        <v/>
      </c>
      <c r="BF214" s="1784">
        <f t="array" ref="BF214">BF212/BA212-1</f>
        <v/>
      </c>
      <c r="BG214" s="1713" t="n"/>
      <c r="BH214" s="1713" t="n"/>
      <c r="BI214" s="1973" t="n"/>
      <c r="BJ214" s="1713" t="n"/>
      <c r="BK214" s="1751">
        <f t="array" ref="BK214">BK212/BF212-1</f>
        <v/>
      </c>
      <c r="BL214" s="1713" t="n"/>
      <c r="BM214" s="1713" t="n"/>
      <c r="BN214" s="1713" t="n"/>
      <c r="BO214" s="1713" t="n"/>
      <c r="BP214" s="1751">
        <f t="array" ref="BP214">BP212/BK212-1</f>
        <v/>
      </c>
      <c r="BQ214" s="1713" t="n"/>
      <c r="BR214" s="1713" t="n"/>
      <c r="BS214" s="1713" t="n"/>
      <c r="BT214" s="1713" t="n"/>
      <c r="BU214" s="1751">
        <f t="array" ref="BU214">BU212/BP212-1</f>
        <v/>
      </c>
      <c r="BV214" s="1713" t="n"/>
      <c r="BW214" s="1713" t="n"/>
      <c r="BX214" s="1713" t="n"/>
      <c r="BY214" s="1713" t="n"/>
      <c r="BZ214" s="1751">
        <f t="array" ref="BZ214">BZ212/BU212-1</f>
        <v/>
      </c>
      <c r="CA214" s="1725" t="n"/>
      <c r="CB214" s="98" t="n"/>
      <c r="CC214" s="701" t="n"/>
      <c r="CD214" s="701" t="n"/>
      <c r="CE214" s="701" t="n"/>
      <c r="CF214" s="701" t="n"/>
      <c r="CG214" s="701" t="n"/>
      <c r="CH214" s="701" t="n"/>
      <c r="CI214" s="701" t="n"/>
      <c r="CJ214" s="701" t="n"/>
      <c r="CK214" s="701" t="n"/>
      <c r="CL214" s="701" t="n"/>
      <c r="CM214" s="701" t="n"/>
      <c r="CN214" s="701" t="n"/>
      <c r="CO214" s="701" t="n"/>
      <c r="CP214" s="701" t="n"/>
      <c r="CQ214" s="701" t="n"/>
      <c r="CR214" s="701" t="n"/>
      <c r="CS214" s="701" t="n"/>
      <c r="CT214" s="701" t="n"/>
      <c r="CU214" s="701" t="n"/>
      <c r="CV214" s="701" t="n"/>
      <c r="CW214" s="30" t="n"/>
    </row>
    <row r="215" ht="12.75" customHeight="1" s="1676">
      <c r="A215" s="31" t="n"/>
      <c r="B215" s="388" t="inlineStr">
        <is>
          <t>Text_145</t>
        </is>
      </c>
      <c r="C215" s="699" t="n"/>
      <c r="D215" s="699" t="n"/>
      <c r="E215" s="699" t="n"/>
      <c r="F215" s="699" t="n"/>
      <c r="G215" s="699" t="n"/>
      <c r="H215" s="699" t="n"/>
      <c r="I215" s="699" t="n"/>
      <c r="J215" s="699" t="n"/>
      <c r="K215" s="699" t="n"/>
      <c r="L215" s="699" t="n"/>
      <c r="M215" s="699" t="n"/>
      <c r="N215" s="699" t="n"/>
      <c r="O215" s="699" t="n"/>
      <c r="P215" s="699" t="n"/>
      <c r="Q215" s="699" t="n"/>
      <c r="R215" s="699" t="n"/>
      <c r="S215" s="699" t="n"/>
      <c r="T215" s="699" t="n"/>
      <c r="U215" s="699" t="n"/>
      <c r="V215" s="699" t="n"/>
      <c r="W215" s="699" t="n"/>
      <c r="X215" s="699" t="n"/>
      <c r="Y215" s="699" t="n"/>
      <c r="Z215" s="699" t="n"/>
      <c r="AA215" s="699" t="n"/>
      <c r="AB215" s="699" t="n"/>
      <c r="AC215" s="699" t="n"/>
      <c r="AD215" s="699" t="n"/>
      <c r="AE215" s="699" t="n"/>
      <c r="AF215" s="699" t="n"/>
      <c r="AG215" s="1920" t="n"/>
      <c r="AH215" s="699" t="n"/>
      <c r="AI215" s="699" t="n"/>
      <c r="AJ215" s="1920" t="n"/>
      <c r="AK215" s="699" t="n"/>
      <c r="AL215" s="699" t="n"/>
      <c r="AM215" s="699" t="n"/>
      <c r="AN215" s="699" t="n"/>
      <c r="AO215" s="1920" t="n"/>
      <c r="AP215" s="699" t="n"/>
      <c r="AQ215" s="699" t="n"/>
      <c r="AR215" s="699" t="n"/>
      <c r="AS215" s="699" t="n"/>
      <c r="AT215" s="1920" t="n"/>
      <c r="AU215" s="699" t="n"/>
      <c r="AV215" s="699" t="n"/>
      <c r="AW215" s="456" t="n"/>
      <c r="AX215" s="1918" t="n"/>
      <c r="AY215" s="1918" t="n"/>
      <c r="AZ215" s="1918">
        <f t="array" ref="AZ215">AZ212/AZ209-1</f>
        <v/>
      </c>
      <c r="BA215" s="1919" t="n"/>
      <c r="BB215" s="1974">
        <f t="array" ref="BB215">BB212/BB209-1</f>
        <v/>
      </c>
      <c r="BC215" s="1918">
        <f t="array" ref="BC215">BC212/BC209-1</f>
        <v/>
      </c>
      <c r="BD215" s="1918">
        <f t="array" ref="BD215">BD212/BD209-1</f>
        <v/>
      </c>
      <c r="BE215" s="1918">
        <f t="array" ref="BE215">BE212/BE209-1</f>
        <v/>
      </c>
      <c r="BF215" s="1919">
        <f t="array" ref="BF215">BF212/BF209-1</f>
        <v/>
      </c>
      <c r="BG215" s="1920">
        <f t="array" ref="BG215">BG212/BG209-1</f>
        <v/>
      </c>
      <c r="BH215" s="1920">
        <f t="array" ref="BH215">BH212/BH209-1</f>
        <v/>
      </c>
      <c r="BI215" s="165" t="n"/>
      <c r="BJ215" s="699" t="n"/>
      <c r="BK215" s="1920">
        <f t="array" ref="BK215">BK212/BK209-1</f>
        <v/>
      </c>
      <c r="BL215" s="699" t="n"/>
      <c r="BM215" s="699" t="n"/>
      <c r="BN215" s="699" t="n"/>
      <c r="BO215" s="699" t="n"/>
      <c r="BP215" s="1920">
        <f t="array" ref="BP215">BP212/BP209-1</f>
        <v/>
      </c>
      <c r="BQ215" s="699" t="n"/>
      <c r="BR215" s="699" t="n"/>
      <c r="BS215" s="699" t="n"/>
      <c r="BT215" s="699" t="n"/>
      <c r="BU215" s="1920" t="n"/>
      <c r="BV215" s="699" t="n"/>
      <c r="BW215" s="699" t="n"/>
      <c r="BX215" s="699" t="n"/>
      <c r="BY215" s="699" t="n"/>
      <c r="BZ215" s="1920" t="n"/>
      <c r="CA215" s="699" t="n"/>
      <c r="CB215" s="319" t="n"/>
      <c r="CC215" s="701" t="n"/>
      <c r="CD215" s="701" t="n"/>
      <c r="CE215" s="701" t="n"/>
      <c r="CF215" s="701" t="n"/>
      <c r="CG215" s="701" t="n"/>
      <c r="CH215" s="701" t="n"/>
      <c r="CI215" s="701" t="n"/>
      <c r="CJ215" s="701" t="n"/>
      <c r="CK215" s="701" t="n"/>
      <c r="CL215" s="701" t="n"/>
      <c r="CM215" s="701" t="n"/>
      <c r="CN215" s="701" t="n"/>
      <c r="CO215" s="701" t="n"/>
      <c r="CP215" s="701" t="n"/>
      <c r="CQ215" s="701" t="n"/>
      <c r="CR215" s="701" t="n"/>
      <c r="CS215" s="701" t="n"/>
      <c r="CT215" s="701" t="n"/>
      <c r="CU215" s="701" t="n"/>
      <c r="CV215" s="701" t="n"/>
      <c r="CW215" s="30" t="n"/>
    </row>
    <row r="216" ht="12.75" customHeight="1" s="1676">
      <c r="A216" s="31" t="n"/>
      <c r="B216" s="522" t="inlineStr">
        <is>
          <t>Text_177</t>
        </is>
      </c>
      <c r="C216" s="699" t="n"/>
      <c r="D216" s="1797" t="n"/>
      <c r="E216" s="1797" t="n"/>
      <c r="F216" s="1797" t="n"/>
      <c r="G216" s="1797" t="n"/>
      <c r="H216" s="1797" t="n"/>
      <c r="I216" s="1797">
        <f t="array" ref="I216">I217-I212</f>
        <v/>
      </c>
      <c r="J216" s="1797">
        <f t="array" ref="J216">J217-J212</f>
        <v/>
      </c>
      <c r="K216" s="1797">
        <f t="array" ref="K216">K217-K212</f>
        <v/>
      </c>
      <c r="L216" s="1797">
        <f t="array" ref="L216">L217-L212</f>
        <v/>
      </c>
      <c r="M216" s="1797" t="n">
        <v>-1294.5216504139</v>
      </c>
      <c r="N216" s="1797" t="n">
        <v>-259.141833608044</v>
      </c>
      <c r="O216" s="1797" t="n">
        <v>-357.661812323041</v>
      </c>
      <c r="P216" s="1797" t="n">
        <v>-284.902513912108</v>
      </c>
      <c r="Q216" s="1797" t="n">
        <v>-402.047190240298</v>
      </c>
      <c r="R216" s="1797" t="n">
        <v>-1308.65744215216</v>
      </c>
      <c r="S216" s="1797" t="n">
        <v>-396.127843324238</v>
      </c>
      <c r="T216" s="1797" t="n">
        <v>-339.208588823827</v>
      </c>
      <c r="U216" s="1797" t="n">
        <v>-388.675711645042</v>
      </c>
      <c r="V216" s="1797" t="n">
        <v>-381.152306089045</v>
      </c>
      <c r="W216" s="1797" t="n">
        <v>-1575.63874584634</v>
      </c>
      <c r="X216" s="1797" t="n">
        <v>-316.821585309077</v>
      </c>
      <c r="Y216" s="1797" t="n">
        <v>-335.666792537907</v>
      </c>
      <c r="Z216" s="1797" t="n">
        <v>-394.848396502153</v>
      </c>
      <c r="AA216" s="1797" t="n">
        <v>-446.576563489966</v>
      </c>
      <c r="AB216" s="1797" t="n">
        <v>-2003.42054400661</v>
      </c>
      <c r="AC216" s="1797" t="n">
        <v>-491.992639512519</v>
      </c>
      <c r="AD216" s="1797" t="n">
        <v>-704.919390760129</v>
      </c>
      <c r="AE216" s="1797" t="n">
        <v>-516.7577664343449</v>
      </c>
      <c r="AF216" s="1745" t="n">
        <v>-505.870795075282</v>
      </c>
      <c r="AG216" s="1797" t="n">
        <v>-2542.89722785379</v>
      </c>
      <c r="AH216" s="1797" t="n">
        <v>-619.889416172241</v>
      </c>
      <c r="AI216" s="1797" t="n">
        <v>-629.7751545521051</v>
      </c>
      <c r="AJ216" s="1797" t="n">
        <v>-683.425848825747</v>
      </c>
      <c r="AK216" s="1745" t="n">
        <v>-796.413956669628</v>
      </c>
      <c r="AL216" s="1797" t="n">
        <v>-2330.02592567739</v>
      </c>
      <c r="AM216" s="1797" t="n">
        <v>-925.8779668636309</v>
      </c>
      <c r="AN216" s="1797" t="n">
        <v>-1031.71419474395</v>
      </c>
      <c r="AO216" s="1797" t="n">
        <v>-900.596570174807</v>
      </c>
      <c r="AP216" s="1745" t="n">
        <v>-821.954057023555</v>
      </c>
      <c r="AQ216" s="1797" t="n">
        <v>-3670.0944252912</v>
      </c>
      <c r="AR216" s="1797" t="n">
        <v>-825.7047556291139</v>
      </c>
      <c r="AS216" s="1797" t="n">
        <v>-944.943023115449</v>
      </c>
      <c r="AT216" s="1797" t="n">
        <v>-861.414390745677</v>
      </c>
      <c r="AU216" s="1745" t="n">
        <v>-901.262869313993</v>
      </c>
      <c r="AV216" s="1797" t="n">
        <v>-4621.7404199937</v>
      </c>
      <c r="AW216" s="1975">
        <f t="array" ref="AW216">-946.891+46.078</f>
        <v/>
      </c>
      <c r="AX216" s="1854">
        <f t="array" ref="AX216">-976.746+46.545</f>
        <v/>
      </c>
      <c r="AY216" s="1854">
        <f t="array" ref="AY216">-993.885+44.839+0.805</f>
        <v/>
      </c>
      <c r="AZ216" s="1854">
        <f t="array" ref="AZ216">-1010.551+48.177</f>
        <v/>
      </c>
      <c r="BA216" s="1748">
        <f t="array" ref="BA216">AZ216+AY216+AX216+AW216</f>
        <v/>
      </c>
      <c r="BB216" s="1975">
        <f t="array" ref="BB216">-1147.431+44.991</f>
        <v/>
      </c>
      <c r="BC216" s="1854">
        <f t="array" ref="BC216">-1221.461+43.777</f>
        <v/>
      </c>
      <c r="BD216" s="701" t="n"/>
      <c r="BE216" s="701" t="n"/>
      <c r="BF216" s="1748">
        <f t="array" ref="BF216">BF217-BF212</f>
        <v/>
      </c>
      <c r="BG216" s="699" t="n"/>
      <c r="BH216" s="699" t="n"/>
      <c r="BI216" s="699" t="n"/>
      <c r="BJ216" s="699" t="n"/>
      <c r="BK216" s="1745">
        <f t="array" ref="BK216">BK217-BK212</f>
        <v/>
      </c>
      <c r="BL216" s="699" t="n"/>
      <c r="BM216" s="699" t="n"/>
      <c r="BN216" s="699" t="n"/>
      <c r="BO216" s="699" t="n"/>
      <c r="BP216" s="1745">
        <f t="array" ref="BP216">BP217-BP212</f>
        <v/>
      </c>
      <c r="BQ216" s="699" t="n"/>
      <c r="BR216" s="699" t="n"/>
      <c r="BS216" s="699" t="n"/>
      <c r="BT216" s="699" t="n"/>
      <c r="BU216" s="1745">
        <f t="array" ref="BU216">BU217-BU212</f>
        <v/>
      </c>
      <c r="BV216" s="699" t="n"/>
      <c r="BW216" s="699" t="n"/>
      <c r="BX216" s="699" t="n"/>
      <c r="BY216" s="699" t="n"/>
      <c r="BZ216" s="1745">
        <f t="array" ref="BZ216">BZ217-BZ212</f>
        <v/>
      </c>
      <c r="CA216" s="524" t="n"/>
      <c r="CB216" s="319" t="n"/>
      <c r="CC216" s="701" t="n"/>
      <c r="CD216" s="701" t="n"/>
      <c r="CE216" s="701" t="n"/>
      <c r="CF216" s="701" t="n"/>
      <c r="CG216" s="701" t="n"/>
      <c r="CH216" s="701" t="n"/>
      <c r="CI216" s="701" t="n"/>
      <c r="CJ216" s="701" t="n"/>
      <c r="CK216" s="701" t="n"/>
      <c r="CL216" s="701" t="n"/>
      <c r="CM216" s="701" t="n"/>
      <c r="CN216" s="701" t="n"/>
      <c r="CO216" s="701" t="n"/>
      <c r="CP216" s="701" t="n"/>
      <c r="CQ216" s="701" t="n"/>
      <c r="CR216" s="701" t="n"/>
      <c r="CS216" s="701" t="n"/>
      <c r="CT216" s="701" t="n"/>
      <c r="CU216" s="701" t="n"/>
      <c r="CV216" s="701" t="n"/>
      <c r="CW216" s="30" t="n"/>
    </row>
    <row r="217" ht="12.75" customHeight="1" s="1676">
      <c r="A217" s="13" t="n"/>
      <c r="B217" s="525" t="inlineStr">
        <is>
          <t>Text_178</t>
        </is>
      </c>
      <c r="C217" s="526" t="n"/>
      <c r="D217" s="1883">
        <f t="array" ref="D217">D216+D212</f>
        <v/>
      </c>
      <c r="E217" s="1883">
        <f t="array" ref="E217">E216+E212</f>
        <v/>
      </c>
      <c r="F217" s="1883">
        <f t="array" ref="F217">F216+F212</f>
        <v/>
      </c>
      <c r="G217" s="1883">
        <f t="array" ref="G217">G216+G212</f>
        <v/>
      </c>
      <c r="H217" s="1883" t="n"/>
      <c r="I217" s="1883" t="n">
        <v>0</v>
      </c>
      <c r="J217" s="1883" t="n">
        <v>0</v>
      </c>
      <c r="K217" s="1883" t="n">
        <v>0</v>
      </c>
      <c r="L217" s="1883" t="n">
        <v>0</v>
      </c>
      <c r="M217" s="1883">
        <f t="array" ref="M217">M216+M212</f>
        <v/>
      </c>
      <c r="N217" s="1883" t="n">
        <v>0</v>
      </c>
      <c r="O217" s="1883" t="n">
        <v>0</v>
      </c>
      <c r="P217" s="1883" t="n">
        <v>0</v>
      </c>
      <c r="Q217" s="1883" t="n">
        <v>0</v>
      </c>
      <c r="R217" s="1883">
        <f t="array" ref="R217">R216+R212</f>
        <v/>
      </c>
      <c r="S217" s="1883" t="n">
        <v>0</v>
      </c>
      <c r="T217" s="1883" t="n">
        <v>0</v>
      </c>
      <c r="U217" s="1883" t="n">
        <v>0</v>
      </c>
      <c r="V217" s="1883" t="n">
        <v>0</v>
      </c>
      <c r="W217" s="1883">
        <f t="array" ref="W217">W216+W212</f>
        <v/>
      </c>
      <c r="X217" s="1883" t="n">
        <v>0</v>
      </c>
      <c r="Y217" s="1883" t="n">
        <v>0</v>
      </c>
      <c r="Z217" s="1883" t="n">
        <v>0</v>
      </c>
      <c r="AA217" s="1883" t="n">
        <v>0</v>
      </c>
      <c r="AB217" s="1883">
        <f t="array" ref="AB217">AB216+AB212</f>
        <v/>
      </c>
      <c r="AC217" s="1883" t="n">
        <v>0</v>
      </c>
      <c r="AD217" s="1883" t="n">
        <v>0</v>
      </c>
      <c r="AE217" s="1883" t="n">
        <v>0</v>
      </c>
      <c r="AF217" s="1883" t="n">
        <v>0</v>
      </c>
      <c r="AG217" s="1883">
        <f t="array" ref="AG217">AG216+AG212</f>
        <v/>
      </c>
      <c r="AH217" s="1883">
        <f t="array" ref="AH217">AH216+AH212</f>
        <v/>
      </c>
      <c r="AI217" s="1883">
        <f t="array" ref="AI217">AI216+AI212</f>
        <v/>
      </c>
      <c r="AJ217" s="1883">
        <f t="array" ref="AJ217">AJ216+AJ212</f>
        <v/>
      </c>
      <c r="AK217" s="1883">
        <f t="array" ref="AK217">AK216+AK212</f>
        <v/>
      </c>
      <c r="AL217" s="1883">
        <f t="array" ref="AL217">AL216+AL212</f>
        <v/>
      </c>
      <c r="AM217" s="1883">
        <f t="array" ref="AM217">AM216+AM212</f>
        <v/>
      </c>
      <c r="AN217" s="1883">
        <f t="array" ref="AN217">AN216+AN212</f>
        <v/>
      </c>
      <c r="AO217" s="1883">
        <f t="array" ref="AO217">AO216+AO212</f>
        <v/>
      </c>
      <c r="AP217" s="1883">
        <f t="array" ref="AP217">AP216+AP212</f>
        <v/>
      </c>
      <c r="AQ217" s="1883">
        <f t="array" ref="AQ217">AQ216+AQ212</f>
        <v/>
      </c>
      <c r="AR217" s="1883">
        <f t="array" ref="AR217">AR216+AR212</f>
        <v/>
      </c>
      <c r="AS217" s="1883">
        <f t="array" ref="AS217">AS216+AS212</f>
        <v/>
      </c>
      <c r="AT217" s="1883">
        <f t="array" ref="AT217">AT216+AT212</f>
        <v/>
      </c>
      <c r="AU217" s="1883">
        <f t="array" ref="AU217">AU216+AU212</f>
        <v/>
      </c>
      <c r="AV217" s="1883">
        <f t="array" ref="AV217">AV216+AV212</f>
        <v/>
      </c>
      <c r="AW217" s="1976">
        <f t="array" ref="AW217">AW216+AW212</f>
        <v/>
      </c>
      <c r="AX217" s="1960">
        <f t="array" ref="AX217">AX216+AX212</f>
        <v/>
      </c>
      <c r="AY217" s="1960">
        <f t="array" ref="AY217">AY216+AY212</f>
        <v/>
      </c>
      <c r="AZ217" s="1960">
        <f t="array" ref="AZ217">AZ216+AZ212</f>
        <v/>
      </c>
      <c r="BA217" s="1881">
        <f t="array" ref="BA217">AZ217+AY217+AX217+AW217</f>
        <v/>
      </c>
      <c r="BB217" s="1976">
        <f t="array" ref="BB217">BB216+BB212</f>
        <v/>
      </c>
      <c r="BC217" s="1960">
        <f t="array" ref="BC217">BC216+BC212</f>
        <v/>
      </c>
      <c r="BD217" s="1960">
        <f t="array" ref="BD217">BD218*BD212</f>
        <v/>
      </c>
      <c r="BE217" s="1960">
        <f t="array" ref="BE217">BE218*BE212</f>
        <v/>
      </c>
      <c r="BF217" s="1977">
        <f t="array" ref="BF217">BE217+BD217+BC217+BB217</f>
        <v/>
      </c>
      <c r="BG217" s="699" t="n"/>
      <c r="BH217" s="699" t="n"/>
      <c r="BI217" s="699" t="n"/>
      <c r="BJ217" s="699" t="n"/>
      <c r="BK217" s="1883">
        <f t="array" ref="BK217">BK218*BK212</f>
        <v/>
      </c>
      <c r="BL217" s="526" t="n"/>
      <c r="BM217" s="526" t="n"/>
      <c r="BN217" s="526" t="n"/>
      <c r="BO217" s="526" t="n"/>
      <c r="BP217" s="1883">
        <f t="array" ref="BP217">BP218*BP212</f>
        <v/>
      </c>
      <c r="BQ217" s="526" t="n"/>
      <c r="BR217" s="526" t="n"/>
      <c r="BS217" s="526" t="n"/>
      <c r="BT217" s="526" t="n"/>
      <c r="BU217" s="1883">
        <f t="array" ref="BU217">BU218*BU212</f>
        <v/>
      </c>
      <c r="BV217" s="526" t="n"/>
      <c r="BW217" s="526" t="n"/>
      <c r="BX217" s="526" t="n"/>
      <c r="BY217" s="526" t="n"/>
      <c r="BZ217" s="1883">
        <f t="array" ref="BZ217">BZ218*BZ212</f>
        <v/>
      </c>
      <c r="CA217" s="529" t="inlineStr">
        <is>
          <t>Text_179</t>
        </is>
      </c>
      <c r="CB217" s="319" t="n"/>
      <c r="CC217" s="701" t="n"/>
      <c r="CD217" s="701" t="n"/>
      <c r="CE217" s="701" t="n"/>
      <c r="CF217" s="701" t="n"/>
      <c r="CG217" s="701" t="n"/>
      <c r="CH217" s="701" t="n"/>
      <c r="CI217" s="701" t="n"/>
      <c r="CJ217" s="701" t="n"/>
      <c r="CK217" s="701" t="n"/>
      <c r="CL217" s="701" t="n"/>
      <c r="CM217" s="701" t="n"/>
      <c r="CN217" s="701" t="n"/>
      <c r="CO217" s="701" t="n"/>
      <c r="CP217" s="701" t="n"/>
      <c r="CQ217" s="701" t="n"/>
      <c r="CR217" s="701" t="n"/>
      <c r="CS217" s="701" t="n"/>
      <c r="CT217" s="701" t="n"/>
      <c r="CU217" s="701" t="n"/>
      <c r="CV217" s="701" t="n"/>
      <c r="CW217" s="30" t="n"/>
    </row>
    <row r="218" ht="12.75" customHeight="1" s="1676">
      <c r="A218" s="31" t="n"/>
      <c r="B218" s="156" t="inlineStr">
        <is>
          <t>Text_180</t>
        </is>
      </c>
      <c r="C218" s="699" t="n"/>
      <c r="D218" s="1751">
        <f t="array" ref="D218">D217/D212</f>
        <v/>
      </c>
      <c r="E218" s="1751">
        <f t="array" ref="E218">E217/E212</f>
        <v/>
      </c>
      <c r="F218" s="1751">
        <f t="array" ref="F218">F217/F212</f>
        <v/>
      </c>
      <c r="G218" s="1751">
        <f t="array" ref="G218">G217/G212</f>
        <v/>
      </c>
      <c r="H218" s="1751" t="n"/>
      <c r="I218" s="1751">
        <f t="array" ref="I218">I217/I212</f>
        <v/>
      </c>
      <c r="J218" s="1751">
        <f t="array" ref="J218">J217/J212</f>
        <v/>
      </c>
      <c r="K218" s="1751">
        <f t="array" ref="K218">K217/K212</f>
        <v/>
      </c>
      <c r="L218" s="1751">
        <f t="array" ref="L218">L217/L212</f>
        <v/>
      </c>
      <c r="M218" s="1751">
        <f t="array" ref="M218">M217/M212</f>
        <v/>
      </c>
      <c r="N218" s="1751">
        <f t="array" ref="N218">N217/N212</f>
        <v/>
      </c>
      <c r="O218" s="1751">
        <f t="array" ref="O218">O217/O212</f>
        <v/>
      </c>
      <c r="P218" s="1751">
        <f t="array" ref="P218">P217/P212</f>
        <v/>
      </c>
      <c r="Q218" s="1751">
        <f t="array" ref="Q218">Q217/Q212</f>
        <v/>
      </c>
      <c r="R218" s="1751">
        <f t="array" ref="R218">R217/R212</f>
        <v/>
      </c>
      <c r="S218" s="1751">
        <f t="array" ref="S218">S217/S212</f>
        <v/>
      </c>
      <c r="T218" s="1751">
        <f t="array" ref="T218">T217/T212</f>
        <v/>
      </c>
      <c r="U218" s="1751">
        <f t="array" ref="U218">U217/U212</f>
        <v/>
      </c>
      <c r="V218" s="1751">
        <f t="array" ref="V218">V217/V212</f>
        <v/>
      </c>
      <c r="W218" s="1751">
        <f t="array" ref="W218">W217/W212</f>
        <v/>
      </c>
      <c r="X218" s="1751">
        <f t="array" ref="X218">X217/X212</f>
        <v/>
      </c>
      <c r="Y218" s="1751">
        <f t="array" ref="Y218">Y217/Y212</f>
        <v/>
      </c>
      <c r="Z218" s="1751">
        <f t="array" ref="Z218">Z217/Z212</f>
        <v/>
      </c>
      <c r="AA218" s="1751">
        <f t="array" ref="AA218">AA217/AA212</f>
        <v/>
      </c>
      <c r="AB218" s="1751">
        <f t="array" ref="AB218">AB217/AB212</f>
        <v/>
      </c>
      <c r="AC218" s="1751">
        <f t="array" ref="AC218">AC217/AC212</f>
        <v/>
      </c>
      <c r="AD218" s="1751">
        <f t="array" ref="AD218">AD217/AD212</f>
        <v/>
      </c>
      <c r="AE218" s="1751">
        <f t="array" ref="AE218">AE217/AE212</f>
        <v/>
      </c>
      <c r="AF218" s="1751">
        <f t="array" ref="AF218">AF217/AF212</f>
        <v/>
      </c>
      <c r="AG218" s="1751">
        <f t="array" ref="AG218">AG217/AG212</f>
        <v/>
      </c>
      <c r="AH218" s="1751">
        <f t="array" ref="AH218">AH217/AH212</f>
        <v/>
      </c>
      <c r="AI218" s="1751">
        <f t="array" ref="AI218">AI217/AI212</f>
        <v/>
      </c>
      <c r="AJ218" s="1751">
        <f t="array" ref="AJ218">AJ217/AJ212</f>
        <v/>
      </c>
      <c r="AK218" s="1751">
        <f t="array" ref="AK218">AK217/AK212</f>
        <v/>
      </c>
      <c r="AL218" s="1751">
        <f t="array" ref="AL218">AL217/AL212</f>
        <v/>
      </c>
      <c r="AM218" s="1751">
        <f t="array" ref="AM218">AM217/AM212</f>
        <v/>
      </c>
      <c r="AN218" s="1751">
        <f t="array" ref="AN218">AN217/AN212</f>
        <v/>
      </c>
      <c r="AO218" s="1751">
        <f t="array" ref="AO218">AO217/AO212</f>
        <v/>
      </c>
      <c r="AP218" s="1751">
        <f t="array" ref="AP218">AP217/AP212</f>
        <v/>
      </c>
      <c r="AQ218" s="1751">
        <f t="array" ref="AQ218">AQ217/AQ212</f>
        <v/>
      </c>
      <c r="AR218" s="1751">
        <f t="array" ref="AR218">AR217/AR212</f>
        <v/>
      </c>
      <c r="AS218" s="1751">
        <f t="array" ref="AS218">AS217/AS212</f>
        <v/>
      </c>
      <c r="AT218" s="1751">
        <f t="array" ref="AT218">AT217/AT212</f>
        <v/>
      </c>
      <c r="AU218" s="1751">
        <f t="array" ref="AU218">AU217/AU212</f>
        <v/>
      </c>
      <c r="AV218" s="1751">
        <f t="array" ref="AV218">AV217/AV212</f>
        <v/>
      </c>
      <c r="AW218" s="1749">
        <f t="array" ref="AW218">AW217/AW212</f>
        <v/>
      </c>
      <c r="AX218" s="1750">
        <f t="array" ref="AX218">AX217/AX212</f>
        <v/>
      </c>
      <c r="AY218" s="1750">
        <f t="array" ref="AY218">AY217/AY212</f>
        <v/>
      </c>
      <c r="AZ218" s="1750">
        <f t="array" ref="AZ218">AZ217/AZ212</f>
        <v/>
      </c>
      <c r="BA218" s="1784">
        <f t="array" ref="BA218">BA217/BA212</f>
        <v/>
      </c>
      <c r="BB218" s="1749">
        <f t="array" ref="BB218">BB217/BB212</f>
        <v/>
      </c>
      <c r="BC218" s="1750">
        <f t="array" ref="BC218">BC217/BC212</f>
        <v/>
      </c>
      <c r="BD218" s="1978" t="n">
        <v>0.638779309767348</v>
      </c>
      <c r="BE218" s="1978">
        <f t="array" ref="BE218">62.25%</f>
        <v/>
      </c>
      <c r="BF218" s="1784">
        <f t="array" ref="BF218">BF217/BF212</f>
        <v/>
      </c>
      <c r="BG218" s="341" t="n"/>
      <c r="BH218" s="341" t="n"/>
      <c r="BI218" s="341" t="n"/>
      <c r="BJ218" s="341" t="n"/>
      <c r="BK218" s="1979">
        <f t="array" ref="BK218">BF218+0.25%</f>
        <v/>
      </c>
      <c r="BL218" s="1782" t="n"/>
      <c r="BM218" s="1782" t="n"/>
      <c r="BN218" s="1782" t="n"/>
      <c r="BO218" s="1782" t="n"/>
      <c r="BP218" s="1979">
        <f t="array" ref="BP218">BK218+0.25%</f>
        <v/>
      </c>
      <c r="BQ218" s="1782" t="n"/>
      <c r="BR218" s="1782" t="n"/>
      <c r="BS218" s="1782" t="n"/>
      <c r="BT218" s="1782" t="n"/>
      <c r="BU218" s="1979">
        <f t="array" ref="BU218">BP218+0.25%</f>
        <v/>
      </c>
      <c r="BV218" s="1782" t="n"/>
      <c r="BW218" s="1782" t="n"/>
      <c r="BX218" s="1782" t="n"/>
      <c r="BY218" s="1782" t="n"/>
      <c r="BZ218" s="1979">
        <f t="array" ref="BZ218">BU218+0.25%</f>
        <v/>
      </c>
      <c r="CA218" s="532" t="inlineStr">
        <is>
          <t>Text_181</t>
        </is>
      </c>
      <c r="CB218" s="314" t="inlineStr">
        <is>
          <t>Text_182</t>
        </is>
      </c>
      <c r="CC218" s="390">
        <f t="array" ref="CC218">(0.5*BK218)+(0.5*BP218)</f>
        <v/>
      </c>
      <c r="CD218" s="701" t="n"/>
      <c r="CE218" s="701" t="n"/>
      <c r="CF218" s="701" t="n"/>
      <c r="CG218" s="701" t="n"/>
      <c r="CH218" s="701" t="n"/>
      <c r="CI218" s="701" t="n"/>
      <c r="CJ218" s="701" t="n"/>
      <c r="CK218" s="701" t="n"/>
      <c r="CL218" s="701" t="n"/>
      <c r="CM218" s="701" t="n"/>
      <c r="CN218" s="701" t="n"/>
      <c r="CO218" s="701" t="n"/>
      <c r="CP218" s="701" t="n"/>
      <c r="CQ218" s="701" t="n"/>
      <c r="CR218" s="701" t="n"/>
      <c r="CS218" s="701" t="n"/>
      <c r="CT218" s="701" t="n"/>
      <c r="CU218" s="701" t="n"/>
      <c r="CV218" s="701" t="n"/>
      <c r="CW218" s="30" t="n"/>
    </row>
    <row r="219" ht="12.75" customHeight="1" s="1676">
      <c r="A219" s="31" t="n"/>
      <c r="B219" s="103" t="inlineStr">
        <is>
          <t>Text_183</t>
        </is>
      </c>
      <c r="C219" s="699" t="n"/>
      <c r="D219" s="1980" t="n">
        <v>0</v>
      </c>
      <c r="E219" s="1980" t="n">
        <v>0</v>
      </c>
      <c r="F219" s="1980" t="n">
        <v>0</v>
      </c>
      <c r="G219" s="1980" t="n">
        <v>0</v>
      </c>
      <c r="H219" s="1980" t="n"/>
      <c r="I219" s="1980" t="n"/>
      <c r="J219" s="1980" t="n"/>
      <c r="K219" s="1980" t="n"/>
      <c r="L219" s="1980" t="n"/>
      <c r="M219" s="1980" t="n"/>
      <c r="N219" s="1980">
        <f t="array" ref="N219">(N218-I218)*10000</f>
        <v/>
      </c>
      <c r="O219" s="1980">
        <f t="array" ref="O219">(O218-J218)*10000</f>
        <v/>
      </c>
      <c r="P219" s="1980">
        <f t="array" ref="P219">(P218-K218)*10000</f>
        <v/>
      </c>
      <c r="Q219" s="1980">
        <f t="array" ref="Q219">(Q218-L218)*10000</f>
        <v/>
      </c>
      <c r="R219" s="1980">
        <f t="array" ref="R219">(R218-M218)*10000</f>
        <v/>
      </c>
      <c r="S219" s="1980">
        <f t="array" ref="S219">(S218-N218)*10000</f>
        <v/>
      </c>
      <c r="T219" s="1980">
        <f t="array" ref="T219">(T218-O218)*10000</f>
        <v/>
      </c>
      <c r="U219" s="1980">
        <f t="array" ref="U219">(U218-P218)*10000</f>
        <v/>
      </c>
      <c r="V219" s="1980">
        <f t="array" ref="V219">(V218-Q218)*10000</f>
        <v/>
      </c>
      <c r="W219" s="1980">
        <f t="array" ref="W219">(W218-R218)*10000</f>
        <v/>
      </c>
      <c r="X219" s="1980">
        <f t="array" ref="X219">(X218-S218)*10000</f>
        <v/>
      </c>
      <c r="Y219" s="1980">
        <f t="array" ref="Y219">(Y218-T218)*10000</f>
        <v/>
      </c>
      <c r="Z219" s="1980">
        <f t="array" ref="Z219">(Z218-U218)*10000</f>
        <v/>
      </c>
      <c r="AA219" s="1980">
        <f t="array" ref="AA219">(AA218-V218)*10000</f>
        <v/>
      </c>
      <c r="AB219" s="1980">
        <f t="array" ref="AB219">(AB218-W218)*10000</f>
        <v/>
      </c>
      <c r="AC219" s="1980">
        <f t="array" ref="AC219">(AC218-X218)*10000</f>
        <v/>
      </c>
      <c r="AD219" s="1980">
        <f t="array" ref="AD219">(AD218-Y218)*10000</f>
        <v/>
      </c>
      <c r="AE219" s="1980">
        <f t="array" ref="AE219">(AE218-Z218)*10000</f>
        <v/>
      </c>
      <c r="AF219" s="1980">
        <f t="array" ref="AF219">(AF218-AA218)*10000</f>
        <v/>
      </c>
      <c r="AG219" s="1980">
        <f t="array" ref="AG219">(AG218-AB218)*10000</f>
        <v/>
      </c>
      <c r="AH219" s="1980">
        <f t="array" ref="AH219">(AH218-AC218)*10000</f>
        <v/>
      </c>
      <c r="AI219" s="1980">
        <f t="array" ref="AI219">(AI218-AD218)*10000</f>
        <v/>
      </c>
      <c r="AJ219" s="1980">
        <f t="array" ref="AJ219">(AJ218-AE218)*10000</f>
        <v/>
      </c>
      <c r="AK219" s="1980">
        <f t="array" ref="AK219">(AK218-AF218)*10000</f>
        <v/>
      </c>
      <c r="AL219" s="1980">
        <f t="array" ref="AL219">(AL218-AG218)*10000</f>
        <v/>
      </c>
      <c r="AM219" s="1980">
        <f t="array" ref="AM219">(AM218-AH218)*10000</f>
        <v/>
      </c>
      <c r="AN219" s="1980">
        <f t="array" ref="AN219">(AN218-AI218)*10000</f>
        <v/>
      </c>
      <c r="AO219" s="1980">
        <f t="array" ref="AO219">(AO218-AJ218)*10000</f>
        <v/>
      </c>
      <c r="AP219" s="1980">
        <f t="array" ref="AP219">(AP218-AK218)*10000</f>
        <v/>
      </c>
      <c r="AQ219" s="1980">
        <f t="array" ref="AQ219">(AQ218-AL218)*10000</f>
        <v/>
      </c>
      <c r="AR219" s="1980">
        <f t="array" ref="AR219">(AR218-AM218)*10000</f>
        <v/>
      </c>
      <c r="AS219" s="1980">
        <f t="array" ref="AS219">(AS218-AN218)*10000</f>
        <v/>
      </c>
      <c r="AT219" s="1980">
        <f t="array" ref="AT219">(AT218-AO218)*10000</f>
        <v/>
      </c>
      <c r="AU219" s="1980">
        <f t="array" ref="AU219">(AU218-AP218)*10000</f>
        <v/>
      </c>
      <c r="AV219" s="1980">
        <f t="array" ref="AV219">(AV218-AQ218)*10000</f>
        <v/>
      </c>
      <c r="AW219" s="1981">
        <f t="array" ref="AW219">(AW218-AR218)*10000</f>
        <v/>
      </c>
      <c r="AX219" s="1982">
        <f t="array" ref="AX219">(AX218-AS218)*10000</f>
        <v/>
      </c>
      <c r="AY219" s="1982">
        <f t="array" ref="AY219">(AY218-AT218)*10000</f>
        <v/>
      </c>
      <c r="AZ219" s="1982">
        <f t="array" ref="AZ219">(AZ218-AU218)*10000</f>
        <v/>
      </c>
      <c r="BA219" s="1983">
        <f t="array" ref="BA219">(BA218-AV218)*10000</f>
        <v/>
      </c>
      <c r="BB219" s="1981">
        <f t="array" ref="BB219">(BB218-AW218)*10000</f>
        <v/>
      </c>
      <c r="BC219" s="1982">
        <f t="array" ref="BC219">(BC218-AX218)*10000</f>
        <v/>
      </c>
      <c r="BD219" s="1982">
        <f t="array" ref="BD219">(BD218-AY218)*10000</f>
        <v/>
      </c>
      <c r="BE219" s="1982">
        <f t="array" ref="BE219">(BE218-AZ218)*10000</f>
        <v/>
      </c>
      <c r="BF219" s="1983">
        <f t="array" ref="BF219">(BF218-BA218)*10000</f>
        <v/>
      </c>
      <c r="BG219" s="699" t="n"/>
      <c r="BH219" s="699" t="n"/>
      <c r="BI219" s="699" t="n"/>
      <c r="BJ219" s="699" t="n"/>
      <c r="BK219" s="1980">
        <f t="array" ref="BK219">(BK218-BF218)*10000</f>
        <v/>
      </c>
      <c r="BL219" s="699" t="n"/>
      <c r="BM219" s="699" t="n"/>
      <c r="BN219" s="699" t="n"/>
      <c r="BO219" s="699" t="n"/>
      <c r="BP219" s="1980">
        <f t="array" ref="BP219">(BP218-BK218)*10000</f>
        <v/>
      </c>
      <c r="BQ219" s="699" t="n"/>
      <c r="BR219" s="699" t="n"/>
      <c r="BS219" s="699" t="n"/>
      <c r="BT219" s="699" t="n"/>
      <c r="BU219" s="1980">
        <f t="array" ref="BU219">(BU218-BP218)*10000</f>
        <v/>
      </c>
      <c r="BV219" s="699" t="n"/>
      <c r="BW219" s="699" t="n"/>
      <c r="BX219" s="699" t="n"/>
      <c r="BY219" s="699" t="n"/>
      <c r="BZ219" s="1980">
        <f t="array" ref="BZ219">(BZ218-BU218)*10000</f>
        <v/>
      </c>
      <c r="CA219" s="1871" t="n"/>
      <c r="CB219" s="319" t="n"/>
      <c r="CC219" s="701" t="n"/>
      <c r="CD219" s="701" t="n"/>
      <c r="CE219" s="701" t="n"/>
      <c r="CF219" s="701" t="n"/>
      <c r="CG219" s="701" t="n"/>
      <c r="CH219" s="701" t="n"/>
      <c r="CI219" s="701" t="n"/>
      <c r="CJ219" s="701" t="n"/>
      <c r="CK219" s="701" t="n"/>
      <c r="CL219" s="701" t="n"/>
      <c r="CM219" s="701" t="n"/>
      <c r="CN219" s="701" t="n"/>
      <c r="CO219" s="701" t="n"/>
      <c r="CP219" s="701" t="n"/>
      <c r="CQ219" s="701" t="n"/>
      <c r="CR219" s="701" t="n"/>
      <c r="CS219" s="701" t="n"/>
      <c r="CT219" s="701" t="n"/>
      <c r="CU219" s="701" t="n"/>
      <c r="CV219" s="701" t="n"/>
      <c r="CW219" s="30" t="n"/>
    </row>
    <row r="220" ht="12.75" customHeight="1" s="1676">
      <c r="A220" s="31" t="n"/>
      <c r="B220" s="270" t="inlineStr">
        <is>
          <t>Text_184</t>
        </is>
      </c>
      <c r="C220" s="699" t="n"/>
      <c r="D220" s="1751" t="n">
        <v>0</v>
      </c>
      <c r="E220" s="1751" t="n">
        <v>0</v>
      </c>
      <c r="F220" s="1751" t="n">
        <v>0</v>
      </c>
      <c r="G220" s="1751" t="n">
        <v>0</v>
      </c>
      <c r="H220" s="1751" t="n"/>
      <c r="I220" s="1751" t="n"/>
      <c r="J220" s="1751" t="n"/>
      <c r="K220" s="1751" t="n"/>
      <c r="L220" s="1751" t="n"/>
      <c r="M220" s="1751" t="n"/>
      <c r="N220" s="1751">
        <f t="array" ref="N220">(N217-I217)/(N212-I212)</f>
        <v/>
      </c>
      <c r="O220" s="1751">
        <f t="array" ref="O220">(O217-J217)/(O212-J212)</f>
        <v/>
      </c>
      <c r="P220" s="1751">
        <f t="array" ref="P220">(P217-K217)/(P212-K212)</f>
        <v/>
      </c>
      <c r="Q220" s="1751">
        <f t="array" ref="Q220">(Q217-L217)/(Q212-L212)</f>
        <v/>
      </c>
      <c r="R220" s="1751">
        <f t="array" ref="R220">(R217-M217)/(R212-M212)</f>
        <v/>
      </c>
      <c r="S220" s="1751">
        <f t="array" ref="S220">(S217-N217)/(S212-N212)</f>
        <v/>
      </c>
      <c r="T220" s="1751">
        <f t="array" ref="T220">(T217-O217)/(T212-O212)</f>
        <v/>
      </c>
      <c r="U220" s="1751">
        <f t="array" ref="U220">(U217-P217)/(U212-P212)</f>
        <v/>
      </c>
      <c r="V220" s="1751">
        <f t="array" ref="V220">(V217-Q217)/(V212-Q212)</f>
        <v/>
      </c>
      <c r="W220" s="1751">
        <f t="array" ref="W220">(W217-R217)/(W212-R212)</f>
        <v/>
      </c>
      <c r="X220" s="1751">
        <f t="array" ref="X220">(X217-S217)/(X212-S212)</f>
        <v/>
      </c>
      <c r="Y220" s="1751">
        <f t="array" ref="Y220">(Y217-T217)/(Y212-T212)</f>
        <v/>
      </c>
      <c r="Z220" s="1751">
        <f t="array" ref="Z220">(Z217-U217)/(Z212-U212)</f>
        <v/>
      </c>
      <c r="AA220" s="1751">
        <f t="array" ref="AA220">(AA217-V217)/(AA212-V212)</f>
        <v/>
      </c>
      <c r="AB220" s="1751">
        <f t="array" ref="AB220">(AB217-W217)/(AB212-W212)</f>
        <v/>
      </c>
      <c r="AC220" s="1751">
        <f t="array" ref="AC220">(AC217-X217)/(AC212-X212)</f>
        <v/>
      </c>
      <c r="AD220" s="1751">
        <f t="array" ref="AD220">(AD217-Y217)/(AD212-Y212)</f>
        <v/>
      </c>
      <c r="AE220" s="1751">
        <f t="array" ref="AE220">(AE217-Z217)/(AE212-Z212)</f>
        <v/>
      </c>
      <c r="AF220" s="1751">
        <f t="array" ref="AF220">(AF217-AA217)/(AF212-AA212)</f>
        <v/>
      </c>
      <c r="AG220" s="1751">
        <f t="array" ref="AG220">(AG217-AB217)/(AG212-AB212)</f>
        <v/>
      </c>
      <c r="AH220" s="1751">
        <f t="array" ref="AH220">(AH217-AC217)/(AH212-AC212)</f>
        <v/>
      </c>
      <c r="AI220" s="1751">
        <f t="array" ref="AI220">(AI217-AD217)/(AI212-AD212)</f>
        <v/>
      </c>
      <c r="AJ220" s="1751">
        <f t="array" ref="AJ220">(AJ217-AE217)/(AJ212-AE212)</f>
        <v/>
      </c>
      <c r="AK220" s="1751">
        <f t="array" ref="AK220">(AK217-AF217)/(AK212-AF212)</f>
        <v/>
      </c>
      <c r="AL220" s="1751">
        <f t="array" ref="AL220">(AL217-AG217)/(AL212-AG212)</f>
        <v/>
      </c>
      <c r="AM220" s="1751">
        <f t="array" ref="AM220">(AM217-AH217)/(AM212-AH212)</f>
        <v/>
      </c>
      <c r="AN220" s="1751">
        <f t="array" ref="AN220">(AN217-AI217)/(AN212-AI212)</f>
        <v/>
      </c>
      <c r="AO220" s="1751">
        <f t="array" ref="AO220">(AO217-AJ217)/(AO212-AJ212)</f>
        <v/>
      </c>
      <c r="AP220" s="1751">
        <f t="array" ref="AP220">(AP217-AK217)/(AP212-AK212)</f>
        <v/>
      </c>
      <c r="AQ220" s="1751">
        <f t="array" ref="AQ220">(AQ217-AL217)/(AQ212-AL212)</f>
        <v/>
      </c>
      <c r="AR220" s="1751">
        <f t="array" ref="AR220">(AR217-AM217)/(AR212-AM212)</f>
        <v/>
      </c>
      <c r="AS220" s="1751">
        <f t="array" ref="AS220">(AS217-AN217)/(AS212-AN212)</f>
        <v/>
      </c>
      <c r="AT220" s="1751">
        <f t="array" ref="AT220">(AT217-AO217)/(AT212-AO212)</f>
        <v/>
      </c>
      <c r="AU220" s="1751">
        <f t="array" ref="AU220">(AU217-AP217)/(AU212-AP212)</f>
        <v/>
      </c>
      <c r="AV220" s="1751">
        <f t="array" ref="AV220">(AV217-AQ217)/(AV212-AQ212)</f>
        <v/>
      </c>
      <c r="AW220" s="1749">
        <f t="array" ref="AW220">(AW217-AR217)/(AW212-AR212)</f>
        <v/>
      </c>
      <c r="AX220" s="1750">
        <f t="array" ref="AX220">(AX217-AS217)/(AX212-AS212)</f>
        <v/>
      </c>
      <c r="AY220" s="1750">
        <f t="array" ref="AY220">(AY217-AT217)/(AY212-AT212)</f>
        <v/>
      </c>
      <c r="AZ220" s="1750">
        <f t="array" ref="AZ220">(AZ217-AU217)/(AZ212-AU212)</f>
        <v/>
      </c>
      <c r="BA220" s="1984">
        <f t="array" ref="BA220">(BA217-AV217)/(BA212-AV212)</f>
        <v/>
      </c>
      <c r="BB220" s="1749">
        <f t="array" ref="BB220">(BB217-AW217)/(BB212-AW212)</f>
        <v/>
      </c>
      <c r="BC220" s="1750">
        <f t="array" ref="BC220">(BC217-AX217)/(BC212-AX212)</f>
        <v/>
      </c>
      <c r="BD220" s="1750">
        <f t="array" ref="BD220">(BD217-AY217)/(BD212-AY212)</f>
        <v/>
      </c>
      <c r="BE220" s="1750">
        <f t="array" ref="BE220">(BE217-AZ217)/(BE212-AZ212)</f>
        <v/>
      </c>
      <c r="BF220" s="1984">
        <f t="array" ref="BF220">(BF217-BA217)/(BF212-BA212)</f>
        <v/>
      </c>
      <c r="BG220" s="341" t="n"/>
      <c r="BH220" s="341" t="n"/>
      <c r="BI220" s="341" t="n"/>
      <c r="BJ220" s="341" t="n"/>
      <c r="BK220" s="1985">
        <f t="array" ref="BK220">(BK217-BF217)/(BK212-BF212)</f>
        <v/>
      </c>
      <c r="BL220" s="539" t="n"/>
      <c r="BM220" s="539" t="n"/>
      <c r="BN220" s="539" t="n"/>
      <c r="BO220" s="539" t="n"/>
      <c r="BP220" s="1985">
        <f t="array" ref="BP220">(BP217-BK217)/(BP212-BK212)</f>
        <v/>
      </c>
      <c r="BQ220" s="539" t="n"/>
      <c r="BR220" s="539" t="n"/>
      <c r="BS220" s="539" t="n"/>
      <c r="BT220" s="539" t="n"/>
      <c r="BU220" s="1985">
        <f t="array" ref="BU220">(BU217-BP217)/(BU212-BP212)</f>
        <v/>
      </c>
      <c r="BV220" s="539" t="n"/>
      <c r="BW220" s="539" t="n"/>
      <c r="BX220" s="539" t="n"/>
      <c r="BY220" s="539" t="n"/>
      <c r="BZ220" s="1985">
        <f t="array" ref="BZ220">(BZ217-BU217)/(BZ212-BU212)</f>
        <v/>
      </c>
      <c r="CA220" s="540" t="inlineStr">
        <is>
          <t>Text_185</t>
        </is>
      </c>
      <c r="CB220" s="319" t="n"/>
      <c r="CC220" s="701" t="n"/>
      <c r="CD220" s="701" t="n"/>
      <c r="CE220" s="701" t="n"/>
      <c r="CF220" s="701" t="n"/>
      <c r="CG220" s="701" t="n"/>
      <c r="CH220" s="701" t="n"/>
      <c r="CI220" s="701" t="n"/>
      <c r="CJ220" s="701" t="n"/>
      <c r="CK220" s="701" t="n"/>
      <c r="CL220" s="701" t="n"/>
      <c r="CM220" s="701" t="n"/>
      <c r="CN220" s="701" t="n"/>
      <c r="CO220" s="701" t="n"/>
      <c r="CP220" s="701" t="n"/>
      <c r="CQ220" s="701" t="n"/>
      <c r="CR220" s="701" t="n"/>
      <c r="CS220" s="701" t="n"/>
      <c r="CT220" s="701" t="n"/>
      <c r="CU220" s="701" t="n"/>
      <c r="CV220" s="701" t="n"/>
      <c r="CW220" s="30" t="n"/>
    </row>
    <row r="221" ht="12.75" customHeight="1" s="1676">
      <c r="A221" s="31" t="n"/>
      <c r="B221" s="522" t="inlineStr">
        <is>
          <t>Text_186</t>
        </is>
      </c>
      <c r="C221" s="699" t="n"/>
      <c r="D221" s="1797" t="n"/>
      <c r="E221" s="1797" t="n"/>
      <c r="F221" s="1797" t="n"/>
      <c r="G221" s="1797" t="n"/>
      <c r="H221" s="1797" t="n"/>
      <c r="I221" s="1797" t="n">
        <v>129.766222178839</v>
      </c>
      <c r="J221" s="1797" t="n">
        <v>114.282454537857</v>
      </c>
      <c r="K221" s="1797" t="n">
        <v>107.984326080934</v>
      </c>
      <c r="L221" s="1797" t="n">
        <v>119.719437636124</v>
      </c>
      <c r="M221" s="1797" t="n">
        <v>-570.5012446740041</v>
      </c>
      <c r="N221" s="1797" t="n">
        <v>104.658417563137</v>
      </c>
      <c r="O221" s="1797" t="n">
        <v>148.922790409388</v>
      </c>
      <c r="P221" s="1797" t="n">
        <v>133.238095420609</v>
      </c>
      <c r="Q221" s="1797" t="n">
        <v>132.231482490136</v>
      </c>
      <c r="R221" s="1797" t="n">
        <v>-569.951666274708</v>
      </c>
      <c r="S221" s="1797" t="n">
        <v>144.808679134926</v>
      </c>
      <c r="T221" s="1797" t="n">
        <v>180.157890181244</v>
      </c>
      <c r="U221" s="1797" t="n">
        <v>177.852473809241</v>
      </c>
      <c r="V221" s="1797" t="n">
        <v>147.193166623739</v>
      </c>
      <c r="W221" s="1797" t="n">
        <v>-553.328352250846</v>
      </c>
      <c r="X221" s="1797" t="n">
        <v>159.201418379576</v>
      </c>
      <c r="Y221" s="1797" t="n">
        <v>193.267926451138</v>
      </c>
      <c r="Z221" s="1797" t="n">
        <v>160.546246549472</v>
      </c>
      <c r="AA221" s="1797" t="n">
        <v>216.877368995363</v>
      </c>
      <c r="AB221" s="1797" t="n">
        <v>-744.944172351967</v>
      </c>
      <c r="AC221" s="1797" t="n">
        <v>230.215576104084</v>
      </c>
      <c r="AD221" s="1797" t="n">
        <v>187.534472310422</v>
      </c>
      <c r="AE221" s="1797" t="n">
        <v>233.28719180622</v>
      </c>
      <c r="AF221" s="1745" t="n">
        <v>251.939670484768</v>
      </c>
      <c r="AG221" s="1797" t="n">
        <v>-751.373386303801</v>
      </c>
      <c r="AH221" s="1797" t="n">
        <v>195.216704926309</v>
      </c>
      <c r="AI221" s="1797" t="n">
        <v>270.553843218755</v>
      </c>
      <c r="AJ221" s="1797" t="n">
        <v>208.335642430621</v>
      </c>
      <c r="AK221" s="1745" t="n">
        <v>275.419617659231</v>
      </c>
      <c r="AL221" s="1797" t="n">
        <v>-922.9223913992701</v>
      </c>
      <c r="AM221" s="1797" t="n">
        <v>-226.692580753925</v>
      </c>
      <c r="AN221" s="1797" t="n">
        <v>-304.335086833662</v>
      </c>
      <c r="AO221" s="1797" t="n">
        <v>-278.949664147582</v>
      </c>
      <c r="AP221" s="1745" t="n">
        <v>-298.6405963408</v>
      </c>
      <c r="AQ221" s="1797" t="n">
        <v>-1037.39454764568</v>
      </c>
      <c r="AR221" s="1797" t="n">
        <v>-320.861072979623</v>
      </c>
      <c r="AS221" s="1797" t="n">
        <v>-287.383472224116</v>
      </c>
      <c r="AT221" s="1797" t="n">
        <v>-307.600206066259</v>
      </c>
      <c r="AU221" s="1745" t="n">
        <v>-373.413101653094</v>
      </c>
      <c r="AV221" s="1797" t="n">
        <v>-1153.84476288091</v>
      </c>
      <c r="AW221" s="1975" t="n">
        <v>-330.721206948758</v>
      </c>
      <c r="AX221" s="1854">
        <f t="array" ref="AX221">-320.418+0.417</f>
        <v/>
      </c>
      <c r="AY221" s="1854">
        <f t="array" ref="AY221">-321.59+0.867+0.922</f>
        <v/>
      </c>
      <c r="AZ221" s="1854">
        <f t="array" ref="AZ221">-325.759+2.23</f>
        <v/>
      </c>
      <c r="BA221" s="1748">
        <f t="array" ref="BA221">AZ221+AY221+AX221+AW221</f>
        <v/>
      </c>
      <c r="BB221" s="1975">
        <f t="array" ref="BB221">-323.145+1.087</f>
        <v/>
      </c>
      <c r="BC221" s="1854">
        <f t="array" ref="BC221">-346.157+4.16</f>
        <v/>
      </c>
      <c r="BD221" s="701" t="n"/>
      <c r="BE221" s="701" t="n"/>
      <c r="BF221" s="1748">
        <f t="array" ref="BF221">BA221*(1+BF223)</f>
        <v/>
      </c>
      <c r="BG221" s="699" t="n"/>
      <c r="BH221" s="699" t="n"/>
      <c r="BI221" s="699" t="n"/>
      <c r="BJ221" s="699" t="n"/>
      <c r="BK221" s="1745">
        <f t="array" ref="BK221">BF221*(1+BK223)</f>
        <v/>
      </c>
      <c r="BL221" s="699" t="n"/>
      <c r="BM221" s="699" t="n"/>
      <c r="BN221" s="699" t="n"/>
      <c r="BO221" s="699" t="n"/>
      <c r="BP221" s="1745">
        <f t="array" ref="BP221">BK221*(1+BP223)</f>
        <v/>
      </c>
      <c r="BQ221" s="699" t="n"/>
      <c r="BR221" s="699" t="n"/>
      <c r="BS221" s="699" t="n"/>
      <c r="BT221" s="699" t="n"/>
      <c r="BU221" s="1745">
        <f t="array" ref="BU221">BP221*(1+BU223)</f>
        <v/>
      </c>
      <c r="BV221" s="699" t="n"/>
      <c r="BW221" s="699" t="n"/>
      <c r="BX221" s="699" t="n"/>
      <c r="BY221" s="699" t="n"/>
      <c r="BZ221" s="1745">
        <f t="array" ref="BZ221">BU221*(1+BZ223)</f>
        <v/>
      </c>
      <c r="CA221" s="1986">
        <f t="array" ref="CA221">BF221-BA221</f>
        <v/>
      </c>
      <c r="CB221" s="319" t="n"/>
      <c r="CC221" s="701" t="n"/>
      <c r="CD221" s="701" t="n"/>
      <c r="CE221" s="701" t="n"/>
      <c r="CF221" s="701" t="n"/>
      <c r="CG221" s="701" t="n"/>
      <c r="CH221" s="701" t="n"/>
      <c r="CI221" s="701" t="n"/>
      <c r="CJ221" s="701" t="n"/>
      <c r="CK221" s="701" t="n"/>
      <c r="CL221" s="701" t="n"/>
      <c r="CM221" s="701" t="n"/>
      <c r="CN221" s="701" t="n"/>
      <c r="CO221" s="701" t="n"/>
      <c r="CP221" s="701" t="n"/>
      <c r="CQ221" s="701" t="n"/>
      <c r="CR221" s="701" t="n"/>
      <c r="CS221" s="701" t="n"/>
      <c r="CT221" s="701" t="n"/>
      <c r="CU221" s="701" t="n"/>
      <c r="CV221" s="701" t="n"/>
      <c r="CW221" s="30" t="n"/>
    </row>
    <row r="222" ht="12.75" customHeight="1" s="1676">
      <c r="A222" s="542" t="n"/>
      <c r="B222" s="103" t="inlineStr">
        <is>
          <t>Text_187</t>
        </is>
      </c>
      <c r="C222" s="543" t="n"/>
      <c r="D222" s="1866" t="n"/>
      <c r="E222" s="1866" t="n"/>
      <c r="F222" s="1866" t="n"/>
      <c r="G222" s="1866" t="n"/>
      <c r="H222" s="1751" t="n"/>
      <c r="I222" s="1751">
        <f t="array" ref="I222">-I221/I$212</f>
        <v/>
      </c>
      <c r="J222" s="1751">
        <f t="array" ref="J222">-J221/J$212</f>
        <v/>
      </c>
      <c r="K222" s="1751">
        <f t="array" ref="K222">-K221/K$212</f>
        <v/>
      </c>
      <c r="L222" s="1751">
        <f t="array" ref="L222">-L221/L$212</f>
        <v/>
      </c>
      <c r="M222" s="1751">
        <f t="array" ref="M222">-M221/M$212</f>
        <v/>
      </c>
      <c r="N222" s="1751">
        <f t="array" ref="N222">-N221/N$212</f>
        <v/>
      </c>
      <c r="O222" s="1751">
        <f t="array" ref="O222">-O221/O$212</f>
        <v/>
      </c>
      <c r="P222" s="1751">
        <f t="array" ref="P222">-P221/P$212</f>
        <v/>
      </c>
      <c r="Q222" s="1751">
        <f t="array" ref="Q222">-Q221/Q$212</f>
        <v/>
      </c>
      <c r="R222" s="1751">
        <f t="array" ref="R222">-R221/R$212</f>
        <v/>
      </c>
      <c r="S222" s="1751">
        <f t="array" ref="S222">-S221/S$212</f>
        <v/>
      </c>
      <c r="T222" s="1751">
        <f t="array" ref="T222">-T221/T$212</f>
        <v/>
      </c>
      <c r="U222" s="1751">
        <f t="array" ref="U222">-U221/U$212</f>
        <v/>
      </c>
      <c r="V222" s="1751">
        <f t="array" ref="V222">-V221/V$212</f>
        <v/>
      </c>
      <c r="W222" s="1751">
        <f t="array" ref="W222">-W221/W$212</f>
        <v/>
      </c>
      <c r="X222" s="1751">
        <f t="array" ref="X222">-X221/X$212</f>
        <v/>
      </c>
      <c r="Y222" s="1751">
        <f t="array" ref="Y222">-Y221/Y$212</f>
        <v/>
      </c>
      <c r="Z222" s="1751">
        <f t="array" ref="Z222">-Z221/Z$212</f>
        <v/>
      </c>
      <c r="AA222" s="1751">
        <f t="array" ref="AA222">-AA221/AA$212</f>
        <v/>
      </c>
      <c r="AB222" s="1751">
        <f t="array" ref="AB222">-AB221/AB$212</f>
        <v/>
      </c>
      <c r="AC222" s="1751">
        <f t="array" ref="AC222">-AC221/AC$212</f>
        <v/>
      </c>
      <c r="AD222" s="1751">
        <f t="array" ref="AD222">-AD221/AD$212</f>
        <v/>
      </c>
      <c r="AE222" s="1751">
        <f t="array" ref="AE222">-AE221/AE$212</f>
        <v/>
      </c>
      <c r="AF222" s="1751">
        <f t="array" ref="AF222">-AF221/AF$212</f>
        <v/>
      </c>
      <c r="AG222" s="1751">
        <f t="array" ref="AG222">-AG221/AG$212</f>
        <v/>
      </c>
      <c r="AH222" s="1751">
        <f t="array" ref="AH222">-AH221/AH$212</f>
        <v/>
      </c>
      <c r="AI222" s="1751">
        <f t="array" ref="AI222">-AI221/AI$212</f>
        <v/>
      </c>
      <c r="AJ222" s="1751">
        <f t="array" ref="AJ222">-AJ221/AJ$212</f>
        <v/>
      </c>
      <c r="AK222" s="1751">
        <f t="array" ref="AK222">-AK221/AK$212</f>
        <v/>
      </c>
      <c r="AL222" s="1751">
        <f t="array" ref="AL222">-AL221/AL$212</f>
        <v/>
      </c>
      <c r="AM222" s="1751">
        <f t="array" ref="AM222">-AM221/AM$212</f>
        <v/>
      </c>
      <c r="AN222" s="1751">
        <f t="array" ref="AN222">-AN221/AN$212</f>
        <v/>
      </c>
      <c r="AO222" s="1751">
        <f t="array" ref="AO222">-AO221/AO$212</f>
        <v/>
      </c>
      <c r="AP222" s="1751">
        <f t="array" ref="AP222">-AP221/AP$212</f>
        <v/>
      </c>
      <c r="AQ222" s="1751">
        <f t="array" ref="AQ222">-AQ221/AQ$212</f>
        <v/>
      </c>
      <c r="AR222" s="1751">
        <f t="array" ref="AR222">-AR221/AR$212</f>
        <v/>
      </c>
      <c r="AS222" s="1751">
        <f t="array" ref="AS222">-AS221/AS$212</f>
        <v/>
      </c>
      <c r="AT222" s="1751">
        <f t="array" ref="AT222">-AT221/AT$212</f>
        <v/>
      </c>
      <c r="AU222" s="1751">
        <f t="array" ref="AU222">-AU221/AU$212</f>
        <v/>
      </c>
      <c r="AV222" s="1751">
        <f t="array" ref="AV222">-AV221/AV$212</f>
        <v/>
      </c>
      <c r="AW222" s="1749">
        <f t="array" ref="AW222">-AW221/AW$212</f>
        <v/>
      </c>
      <c r="AX222" s="1750">
        <f t="array" ref="AX222">-AX221/AX$212</f>
        <v/>
      </c>
      <c r="AY222" s="1750">
        <f t="array" ref="AY222">-AY221/AY$212</f>
        <v/>
      </c>
      <c r="AZ222" s="1750">
        <f t="array" ref="AZ222">-AZ221/AZ$212</f>
        <v/>
      </c>
      <c r="BA222" s="1784">
        <f t="array" ref="BA222">-BA221/BA$212</f>
        <v/>
      </c>
      <c r="BB222" s="1749">
        <f t="array" ref="BB222">-BB221/BB$212</f>
        <v/>
      </c>
      <c r="BC222" s="1750">
        <f t="array" ref="BC222">-BC221/BC$212</f>
        <v/>
      </c>
      <c r="BD222" s="1987" t="n"/>
      <c r="BE222" s="1987" t="n"/>
      <c r="BF222" s="1784">
        <f t="array" ref="BF222">-BF221/BF$212</f>
        <v/>
      </c>
      <c r="BG222" s="699" t="n"/>
      <c r="BH222" s="699" t="n"/>
      <c r="BI222" s="699" t="n"/>
      <c r="BJ222" s="699" t="n"/>
      <c r="BK222" s="1751">
        <f t="array" ref="BK222">-BK221/BK$212</f>
        <v/>
      </c>
      <c r="BL222" s="1782" t="n"/>
      <c r="BM222" s="1782" t="n"/>
      <c r="BN222" s="1782" t="n"/>
      <c r="BO222" s="1782" t="n"/>
      <c r="BP222" s="1751">
        <f t="array" ref="BP222">-BP221/BP$212</f>
        <v/>
      </c>
      <c r="BQ222" s="1782" t="n"/>
      <c r="BR222" s="1782" t="n"/>
      <c r="BS222" s="1782" t="n"/>
      <c r="BT222" s="1782" t="n"/>
      <c r="BU222" s="1751">
        <f t="array" ref="BU222">-BU221/BU$212</f>
        <v/>
      </c>
      <c r="BV222" s="1782" t="n"/>
      <c r="BW222" s="1782" t="n"/>
      <c r="BX222" s="1782" t="n"/>
      <c r="BY222" s="1782" t="n"/>
      <c r="BZ222" s="1751">
        <f t="array" ref="BZ222">-BZ221/BZ$212</f>
        <v/>
      </c>
      <c r="CA222" s="545" t="n"/>
      <c r="CB222" s="314" t="inlineStr">
        <is>
          <t>Text_188</t>
        </is>
      </c>
      <c r="CC222" s="178">
        <f t="array" ref="CC222">(0.5*BK222)+(0.5*BP222)</f>
        <v/>
      </c>
      <c r="CD222" s="701" t="n"/>
      <c r="CE222" s="701" t="n"/>
      <c r="CF222" s="701" t="n"/>
      <c r="CG222" s="701" t="n"/>
      <c r="CH222" s="701" t="n"/>
      <c r="CI222" s="701" t="n"/>
      <c r="CJ222" s="701" t="n"/>
      <c r="CK222" s="701" t="n"/>
      <c r="CL222" s="701" t="n"/>
      <c r="CM222" s="701" t="n"/>
      <c r="CN222" s="701" t="n"/>
      <c r="CO222" s="701" t="n"/>
      <c r="CP222" s="701" t="n"/>
      <c r="CQ222" s="701" t="n"/>
      <c r="CR222" s="701" t="n"/>
      <c r="CS222" s="701" t="n"/>
      <c r="CT222" s="701" t="n"/>
      <c r="CU222" s="701" t="n"/>
      <c r="CV222" s="701" t="n"/>
      <c r="CW222" s="30" t="n"/>
    </row>
    <row r="223" ht="12.75" customHeight="1" s="1676">
      <c r="A223" s="31" t="n"/>
      <c r="B223" s="103" t="inlineStr">
        <is>
          <t>Text_24</t>
        </is>
      </c>
      <c r="C223" s="699" t="n"/>
      <c r="D223" s="1751" t="n"/>
      <c r="E223" s="1751" t="n"/>
      <c r="F223" s="1751" t="n"/>
      <c r="G223" s="1751" t="n"/>
      <c r="H223" s="1751" t="n"/>
      <c r="I223" s="1751" t="n"/>
      <c r="J223" s="1751" t="n"/>
      <c r="K223" s="1751" t="n"/>
      <c r="L223" s="1751" t="n"/>
      <c r="M223" s="1751" t="n"/>
      <c r="N223" s="1751">
        <f t="array" ref="N223">N221/I221-1</f>
        <v/>
      </c>
      <c r="O223" s="1751">
        <f t="array" ref="O223">O221/J221-1</f>
        <v/>
      </c>
      <c r="P223" s="1751">
        <f t="array" ref="P223">P221/K221-1</f>
        <v/>
      </c>
      <c r="Q223" s="1751">
        <f t="array" ref="Q223">Q221/L221-1</f>
        <v/>
      </c>
      <c r="R223" s="1751">
        <f t="array" ref="R223">R221/M221-1</f>
        <v/>
      </c>
      <c r="S223" s="1751">
        <f t="array" ref="S223">S221/N221-1</f>
        <v/>
      </c>
      <c r="T223" s="1751">
        <f t="array" ref="T223">T221/O221-1</f>
        <v/>
      </c>
      <c r="U223" s="1751">
        <f t="array" ref="U223">U221/P221-1</f>
        <v/>
      </c>
      <c r="V223" s="1751">
        <f t="array" ref="V223">V221/Q221-1</f>
        <v/>
      </c>
      <c r="W223" s="1751">
        <f t="array" ref="W223">W221/R221-1</f>
        <v/>
      </c>
      <c r="X223" s="1751">
        <f t="array" ref="X223">X221/S221-1</f>
        <v/>
      </c>
      <c r="Y223" s="1751">
        <f t="array" ref="Y223">Y221/T221-1</f>
        <v/>
      </c>
      <c r="Z223" s="1751">
        <f t="array" ref="Z223">Z221/U221-1</f>
        <v/>
      </c>
      <c r="AA223" s="1751">
        <f t="array" ref="AA223">AA221/V221-1</f>
        <v/>
      </c>
      <c r="AB223" s="1751">
        <f t="array" ref="AB223">AB221/W221-1</f>
        <v/>
      </c>
      <c r="AC223" s="1751">
        <f t="array" ref="AC223">AC221/X221-1</f>
        <v/>
      </c>
      <c r="AD223" s="1751">
        <f t="array" ref="AD223">AD221/Y221-1</f>
        <v/>
      </c>
      <c r="AE223" s="1751">
        <f t="array" ref="AE223">AE221/Z221-1</f>
        <v/>
      </c>
      <c r="AF223" s="1751">
        <f t="array" ref="AF223">AF221/AA221-1</f>
        <v/>
      </c>
      <c r="AG223" s="1751">
        <f t="array" ref="AG223">AG221/AB221-1</f>
        <v/>
      </c>
      <c r="AH223" s="1751">
        <f t="array" ref="AH223">AH221/AC221-1</f>
        <v/>
      </c>
      <c r="AI223" s="1751">
        <f t="array" ref="AI223">AI221/AD221-1</f>
        <v/>
      </c>
      <c r="AJ223" s="1751">
        <f t="array" ref="AJ223">AJ221/AE221-1</f>
        <v/>
      </c>
      <c r="AK223" s="1751">
        <f t="array" ref="AK223">AK221/AF221-1</f>
        <v/>
      </c>
      <c r="AL223" s="1751">
        <f t="array" ref="AL223">AL221/AG221-1</f>
        <v/>
      </c>
      <c r="AM223" s="1751">
        <f t="array" ref="AM223">AM221/AH221-1</f>
        <v/>
      </c>
      <c r="AN223" s="1751">
        <f t="array" ref="AN223">AN221/AI221-1</f>
        <v/>
      </c>
      <c r="AO223" s="1751">
        <f t="array" ref="AO223">AO221/AJ221-1</f>
        <v/>
      </c>
      <c r="AP223" s="1751">
        <f t="array" ref="AP223">AP221/AK221-1</f>
        <v/>
      </c>
      <c r="AQ223" s="1751">
        <f t="array" ref="AQ223">AQ221/AL221-1</f>
        <v/>
      </c>
      <c r="AR223" s="1751">
        <f t="array" ref="AR223">AR221/AM221-1</f>
        <v/>
      </c>
      <c r="AS223" s="1751">
        <f t="array" ref="AS223">AS221/AN221-1</f>
        <v/>
      </c>
      <c r="AT223" s="1751">
        <f t="array" ref="AT223">AT221/AO221-1</f>
        <v/>
      </c>
      <c r="AU223" s="1751">
        <f t="array" ref="AU223">AU221/AP221-1</f>
        <v/>
      </c>
      <c r="AV223" s="1751">
        <f t="array" ref="AV223">AV221/AQ221-1</f>
        <v/>
      </c>
      <c r="AW223" s="1749">
        <f t="array" ref="AW223">AW221/AR221-1</f>
        <v/>
      </c>
      <c r="AX223" s="1750">
        <f t="array" ref="AX223">AX221/AS221-1</f>
        <v/>
      </c>
      <c r="AY223" s="1750">
        <f t="array" ref="AY223">AY221/AT221-1</f>
        <v/>
      </c>
      <c r="AZ223" s="1750">
        <f t="array" ref="AZ223">AZ221/AU221-1</f>
        <v/>
      </c>
      <c r="BA223" s="1784">
        <f t="array" ref="BA223">BA221/AV221-1</f>
        <v/>
      </c>
      <c r="BB223" s="1749">
        <f t="array" ref="BB223">BB221/AW221-1</f>
        <v/>
      </c>
      <c r="BC223" s="1750">
        <f t="array" ref="BC223">BC221/AX221-1</f>
        <v/>
      </c>
      <c r="BD223" s="701" t="n"/>
      <c r="BE223" s="701" t="n"/>
      <c r="BF223" s="1855" t="n">
        <v>0.06836844059943049</v>
      </c>
      <c r="BG223" s="699" t="n"/>
      <c r="BH223" s="699" t="n"/>
      <c r="BI223" s="699" t="n"/>
      <c r="BJ223" s="699" t="n"/>
      <c r="BK223" s="1856" t="n">
        <v>0.0621877850054928</v>
      </c>
      <c r="BL223" s="1860" t="n"/>
      <c r="BM223" s="1860" t="n"/>
      <c r="BN223" s="1860" t="n"/>
      <c r="BO223" s="1860" t="n"/>
      <c r="BP223" s="1856" t="n">
        <v>0.0570469892857468</v>
      </c>
      <c r="BQ223" s="1860" t="n"/>
      <c r="BR223" s="1860" t="n"/>
      <c r="BS223" s="1860" t="n"/>
      <c r="BT223" s="1860" t="n"/>
      <c r="BU223" s="1856" t="n">
        <v>0.159396420901571</v>
      </c>
      <c r="BV223" s="1860" t="n"/>
      <c r="BW223" s="1860" t="n"/>
      <c r="BX223" s="1860" t="n"/>
      <c r="BY223" s="1860" t="n"/>
      <c r="BZ223" s="1856" t="n">
        <v>0.119260632662138</v>
      </c>
      <c r="CA223" s="238" t="inlineStr">
        <is>
          <t>Text_189</t>
        </is>
      </c>
      <c r="CB223" s="319" t="n"/>
      <c r="CC223" s="701" t="n"/>
      <c r="CD223" s="701" t="n"/>
      <c r="CE223" s="701" t="n"/>
      <c r="CF223" s="701" t="n"/>
      <c r="CG223" s="701" t="n"/>
      <c r="CH223" s="701" t="n"/>
      <c r="CI223" s="701" t="n"/>
      <c r="CJ223" s="701" t="n"/>
      <c r="CK223" s="701" t="n"/>
      <c r="CL223" s="701" t="n"/>
      <c r="CM223" s="701" t="n"/>
      <c r="CN223" s="701" t="n"/>
      <c r="CO223" s="701" t="n"/>
      <c r="CP223" s="701" t="n"/>
      <c r="CQ223" s="701" t="n"/>
      <c r="CR223" s="701" t="n"/>
      <c r="CS223" s="701" t="n"/>
      <c r="CT223" s="701" t="n"/>
      <c r="CU223" s="701" t="n"/>
      <c r="CV223" s="701" t="n"/>
      <c r="CW223" s="30" t="n"/>
    </row>
    <row r="224" ht="12.75" customHeight="1" s="1676">
      <c r="A224" s="31" t="n"/>
      <c r="B224" s="522" t="inlineStr">
        <is>
          <t>Text_190</t>
        </is>
      </c>
      <c r="C224" s="699" t="n"/>
      <c r="D224" s="1797" t="n"/>
      <c r="E224" s="1797" t="n"/>
      <c r="F224" s="1797" t="n"/>
      <c r="G224" s="1797" t="n"/>
      <c r="H224" s="1797" t="n"/>
      <c r="I224" s="1797" t="n">
        <v>78.4683772799394</v>
      </c>
      <c r="J224" s="1797" t="n">
        <v>71.6102836657893</v>
      </c>
      <c r="K224" s="1797" t="n">
        <v>72.82922593900641</v>
      </c>
      <c r="L224" s="1797" t="n">
        <v>99.7175342401559</v>
      </c>
      <c r="M224" s="1797" t="n">
        <v>-333.649269492742</v>
      </c>
      <c r="N224" s="1797" t="n">
        <v>103.433028283439</v>
      </c>
      <c r="O224" s="1797" t="n">
        <v>88.34039731988899</v>
      </c>
      <c r="P224" s="1797" t="n">
        <v>84.8907627616011</v>
      </c>
      <c r="Q224" s="1797" t="n">
        <v>107.590830399292</v>
      </c>
      <c r="R224" s="1797" t="n">
        <v>-410.793502965176</v>
      </c>
      <c r="S224" s="1797" t="n">
        <v>92.0498725302902</v>
      </c>
      <c r="T224" s="1797" t="n">
        <v>91.4457854013985</v>
      </c>
      <c r="U224" s="1797" t="n">
        <v>87.3544668383212</v>
      </c>
      <c r="V224" s="1797" t="n">
        <v>124.128668207408</v>
      </c>
      <c r="W224" s="1797" t="n">
        <v>-460.617620263685</v>
      </c>
      <c r="X224" s="1797" t="n">
        <v>108.663021458875</v>
      </c>
      <c r="Y224" s="1797" t="n">
        <v>124.174206465636</v>
      </c>
      <c r="Z224" s="1797" t="n">
        <v>145.239443405674</v>
      </c>
      <c r="AA224" s="1797" t="n">
        <v>168.604401945007</v>
      </c>
      <c r="AB224" s="1797" t="n">
        <v>-586.7094796630359</v>
      </c>
      <c r="AC224" s="1797" t="n">
        <v>145.56875546923</v>
      </c>
      <c r="AD224" s="1797" t="n">
        <v>144.706198017589</v>
      </c>
      <c r="AE224" s="1797" t="n">
        <v>148.28183422056</v>
      </c>
      <c r="AF224" s="1745" t="n">
        <v>125.170443854065</v>
      </c>
      <c r="AG224" s="1797" t="n">
        <v>-659.848559318967</v>
      </c>
      <c r="AH224" s="1797" t="n">
        <v>184.727768394953</v>
      </c>
      <c r="AI224" s="1797" t="n">
        <v>134.676615950916</v>
      </c>
      <c r="AJ224" s="1797" t="n">
        <v>142.861288255121</v>
      </c>
      <c r="AK224" s="1745" t="n">
        <v>174.485731417702</v>
      </c>
      <c r="AL224" s="1797" t="n">
        <v>-784.575683637305</v>
      </c>
      <c r="AM224" s="1797" t="n">
        <v>-166.920738173464</v>
      </c>
      <c r="AN224" s="1797" t="n">
        <v>-200.834522645558</v>
      </c>
      <c r="AO224" s="1797" t="n">
        <v>-162.645576647396</v>
      </c>
      <c r="AP224" s="1745" t="n">
        <v>-186.183155830898</v>
      </c>
      <c r="AQ224" s="1797" t="n">
        <v>-951.242888814442</v>
      </c>
      <c r="AR224" s="1797" t="n">
        <v>-257.021232796991</v>
      </c>
      <c r="AS224" s="1797" t="n">
        <v>-178.513440094461</v>
      </c>
      <c r="AT224" s="1797" t="n">
        <v>-250.778844941273</v>
      </c>
      <c r="AU224" s="1745" t="n">
        <v>-241.629376322586</v>
      </c>
      <c r="AV224" s="1797" t="n">
        <v>-1010.17489105001</v>
      </c>
      <c r="AW224" s="1975" t="n">
        <v>-218.451227336626</v>
      </c>
      <c r="AX224" s="1854">
        <f t="array" ref="AX224">13.615-237.244</f>
        <v/>
      </c>
      <c r="AY224" s="1854">
        <f t="array" ref="AY224">-237.514+12.867+0.315</f>
        <v/>
      </c>
      <c r="AZ224" s="1854">
        <f t="array" ref="AZ224">-255.106+26.091</f>
        <v/>
      </c>
      <c r="BA224" s="1748">
        <f t="array" ref="BA224">AZ224+AY224+AX224+AW224</f>
        <v/>
      </c>
      <c r="BB224" s="1975">
        <f t="array" ref="BB224">-251.042+13.478</f>
        <v/>
      </c>
      <c r="BC224" s="1854">
        <f t="array" ref="BC224">-267.081+12.852</f>
        <v/>
      </c>
      <c r="BD224" s="701" t="n"/>
      <c r="BE224" s="701" t="n"/>
      <c r="BF224" s="1748">
        <f t="array" ref="BF224">BF227-BF221</f>
        <v/>
      </c>
      <c r="BG224" s="699" t="n"/>
      <c r="BH224" s="699" t="n"/>
      <c r="BI224" s="699" t="n"/>
      <c r="BJ224" s="699" t="n"/>
      <c r="BK224" s="1745">
        <f t="array" ref="BK224">BF224*(1+BK226)</f>
        <v/>
      </c>
      <c r="BL224" s="699" t="n"/>
      <c r="BM224" s="699" t="n"/>
      <c r="BN224" s="699" t="n"/>
      <c r="BO224" s="699" t="n"/>
      <c r="BP224" s="1745">
        <f t="array" ref="BP224">BK224*(1+BP226)</f>
        <v/>
      </c>
      <c r="BQ224" s="699" t="n"/>
      <c r="BR224" s="699" t="n"/>
      <c r="BS224" s="699" t="n"/>
      <c r="BT224" s="699" t="n"/>
      <c r="BU224" s="1745">
        <f t="array" ref="BU224">BP224*(1+BU226)</f>
        <v/>
      </c>
      <c r="BV224" s="699" t="n"/>
      <c r="BW224" s="699" t="n"/>
      <c r="BX224" s="699" t="n"/>
      <c r="BY224" s="699" t="n"/>
      <c r="BZ224" s="1745">
        <f t="array" ref="BZ224">BU224*(1+BZ226)</f>
        <v/>
      </c>
      <c r="CA224" s="1986">
        <f t="array" ref="CA224">BF224-BA224</f>
        <v/>
      </c>
      <c r="CB224" s="319" t="n"/>
      <c r="CC224" s="701" t="n"/>
      <c r="CD224" s="701" t="n"/>
      <c r="CE224" s="701" t="n"/>
      <c r="CF224" s="701" t="n"/>
      <c r="CG224" s="701" t="n"/>
      <c r="CH224" s="701" t="n"/>
      <c r="CI224" s="701" t="n"/>
      <c r="CJ224" s="701" t="n"/>
      <c r="CK224" s="701" t="n"/>
      <c r="CL224" s="701" t="n"/>
      <c r="CM224" s="701" t="n"/>
      <c r="CN224" s="701" t="n"/>
      <c r="CO224" s="701" t="n"/>
      <c r="CP224" s="701" t="n"/>
      <c r="CQ224" s="701" t="n"/>
      <c r="CR224" s="701" t="n"/>
      <c r="CS224" s="701" t="n"/>
      <c r="CT224" s="701" t="n"/>
      <c r="CU224" s="701" t="n"/>
      <c r="CV224" s="701" t="n"/>
      <c r="CW224" s="30" t="n"/>
    </row>
    <row r="225" ht="12.75" customHeight="1" s="1676">
      <c r="A225" s="542" t="n"/>
      <c r="B225" s="103" t="inlineStr">
        <is>
          <t>Text_187</t>
        </is>
      </c>
      <c r="C225" s="543" t="n"/>
      <c r="D225" s="1866" t="n"/>
      <c r="E225" s="1866" t="n"/>
      <c r="F225" s="1866" t="n"/>
      <c r="G225" s="1866" t="n"/>
      <c r="H225" s="1751" t="n"/>
      <c r="I225" s="1751">
        <f t="array" ref="I225">-I224/I$212</f>
        <v/>
      </c>
      <c r="J225" s="1751">
        <f t="array" ref="J225">-J224/J$212</f>
        <v/>
      </c>
      <c r="K225" s="1751">
        <f t="array" ref="K225">-K224/K$212</f>
        <v/>
      </c>
      <c r="L225" s="1751">
        <f t="array" ref="L225">-L224/L$212</f>
        <v/>
      </c>
      <c r="M225" s="1751">
        <f t="array" ref="M225">-M224/M$212</f>
        <v/>
      </c>
      <c r="N225" s="1751">
        <f t="array" ref="N225">-N224/N$212</f>
        <v/>
      </c>
      <c r="O225" s="1751">
        <f t="array" ref="O225">-O224/O$212</f>
        <v/>
      </c>
      <c r="P225" s="1751">
        <f t="array" ref="P225">-P224/P$212</f>
        <v/>
      </c>
      <c r="Q225" s="1751">
        <f t="array" ref="Q225">-Q224/Q$212</f>
        <v/>
      </c>
      <c r="R225" s="1751">
        <f t="array" ref="R225">-R224/R$212</f>
        <v/>
      </c>
      <c r="S225" s="1751">
        <f t="array" ref="S225">-S224/S$212</f>
        <v/>
      </c>
      <c r="T225" s="1751">
        <f t="array" ref="T225">-T224/T$212</f>
        <v/>
      </c>
      <c r="U225" s="1751">
        <f t="array" ref="U225">-U224/U$212</f>
        <v/>
      </c>
      <c r="V225" s="1751">
        <f t="array" ref="V225">-V224/V$212</f>
        <v/>
      </c>
      <c r="W225" s="1751">
        <f t="array" ref="W225">-W224/W$212</f>
        <v/>
      </c>
      <c r="X225" s="1751">
        <f t="array" ref="X225">-X224/X$212</f>
        <v/>
      </c>
      <c r="Y225" s="1751">
        <f t="array" ref="Y225">-Y224/Y$212</f>
        <v/>
      </c>
      <c r="Z225" s="1751">
        <f t="array" ref="Z225">-Z224/Z$212</f>
        <v/>
      </c>
      <c r="AA225" s="1751">
        <f t="array" ref="AA225">-AA224/AA$212</f>
        <v/>
      </c>
      <c r="AB225" s="1751">
        <f t="array" ref="AB225">-AB224/AB$212</f>
        <v/>
      </c>
      <c r="AC225" s="1751">
        <f t="array" ref="AC225">-AC224/AC$212</f>
        <v/>
      </c>
      <c r="AD225" s="1751">
        <f t="array" ref="AD225">-AD224/AD$212</f>
        <v/>
      </c>
      <c r="AE225" s="1751">
        <f t="array" ref="AE225">-AE224/AE$212</f>
        <v/>
      </c>
      <c r="AF225" s="1751">
        <f t="array" ref="AF225">-AF224/AF$212</f>
        <v/>
      </c>
      <c r="AG225" s="1751">
        <f t="array" ref="AG225">-AG224/AG$212</f>
        <v/>
      </c>
      <c r="AH225" s="1751">
        <f t="array" ref="AH225">-AH224/AH$212</f>
        <v/>
      </c>
      <c r="AI225" s="1751">
        <f t="array" ref="AI225">-AI224/AI$212</f>
        <v/>
      </c>
      <c r="AJ225" s="1751">
        <f t="array" ref="AJ225">-AJ224/AJ$212</f>
        <v/>
      </c>
      <c r="AK225" s="1751">
        <f t="array" ref="AK225">-AK224/AK$212</f>
        <v/>
      </c>
      <c r="AL225" s="1751">
        <f t="array" ref="AL225">-AL224/AL$212</f>
        <v/>
      </c>
      <c r="AM225" s="1751">
        <f t="array" ref="AM225">-AM224/AM$212</f>
        <v/>
      </c>
      <c r="AN225" s="1751">
        <f t="array" ref="AN225">-AN224/AN$212</f>
        <v/>
      </c>
      <c r="AO225" s="1751">
        <f t="array" ref="AO225">-AO224/AO$212</f>
        <v/>
      </c>
      <c r="AP225" s="1751">
        <f t="array" ref="AP225">-AP224/AP$212</f>
        <v/>
      </c>
      <c r="AQ225" s="1751">
        <f t="array" ref="AQ225">-AQ224/AQ$212</f>
        <v/>
      </c>
      <c r="AR225" s="1751">
        <f t="array" ref="AR225">-AR224/AR$212</f>
        <v/>
      </c>
      <c r="AS225" s="1751">
        <f t="array" ref="AS225">-AS224/AS$212</f>
        <v/>
      </c>
      <c r="AT225" s="1751">
        <f t="array" ref="AT225">-AT224/AT$212</f>
        <v/>
      </c>
      <c r="AU225" s="1751">
        <f t="array" ref="AU225">-AU224/AU$212</f>
        <v/>
      </c>
      <c r="AV225" s="1751">
        <f t="array" ref="AV225">-AV224/AV$212</f>
        <v/>
      </c>
      <c r="AW225" s="1749">
        <f t="array" ref="AW225">-AW224/AW$212</f>
        <v/>
      </c>
      <c r="AX225" s="1750">
        <f t="array" ref="AX225">-AX224/AX$212</f>
        <v/>
      </c>
      <c r="AY225" s="1750">
        <f t="array" ref="AY225">-AY224/AY$212</f>
        <v/>
      </c>
      <c r="AZ225" s="1750">
        <f t="array" ref="AZ225">-AZ224/AZ$212</f>
        <v/>
      </c>
      <c r="BA225" s="1784">
        <f t="array" ref="BA225">-BA224/BA$212</f>
        <v/>
      </c>
      <c r="BB225" s="1749">
        <f t="array" ref="BB225">-BB224/BB$212</f>
        <v/>
      </c>
      <c r="BC225" s="1750">
        <f t="array" ref="BC225">-BC224/BC$212</f>
        <v/>
      </c>
      <c r="BD225" s="1987" t="n"/>
      <c r="BE225" s="1987" t="n"/>
      <c r="BF225" s="1784">
        <f t="array" ref="BF225">-BF224/BF$212</f>
        <v/>
      </c>
      <c r="BG225" s="699" t="n"/>
      <c r="BH225" s="699" t="n"/>
      <c r="BI225" s="699" t="n"/>
      <c r="BJ225" s="699" t="n"/>
      <c r="BK225" s="1751">
        <f t="array" ref="BK225">-BK224/BK$212</f>
        <v/>
      </c>
      <c r="BL225" s="1782" t="n"/>
      <c r="BM225" s="1782" t="n"/>
      <c r="BN225" s="1782" t="n"/>
      <c r="BO225" s="1782" t="n"/>
      <c r="BP225" s="1751">
        <f t="array" ref="BP225">-BP224/BP$212</f>
        <v/>
      </c>
      <c r="BQ225" s="1782" t="n"/>
      <c r="BR225" s="1782" t="n"/>
      <c r="BS225" s="1782" t="n"/>
      <c r="BT225" s="1782" t="n"/>
      <c r="BU225" s="1751">
        <f t="array" ref="BU225">-BU224/BU$212</f>
        <v/>
      </c>
      <c r="BV225" s="1782" t="n"/>
      <c r="BW225" s="1782" t="n"/>
      <c r="BX225" s="1782" t="n"/>
      <c r="BY225" s="1782" t="n"/>
      <c r="BZ225" s="1751">
        <f t="array" ref="BZ225">-BZ224/BZ$212</f>
        <v/>
      </c>
      <c r="CA225" s="545" t="n"/>
      <c r="CB225" s="314" t="inlineStr">
        <is>
          <t>Text_191</t>
        </is>
      </c>
      <c r="CC225" s="178">
        <f t="array" ref="CC225">(0.5*BK225)+(0.5*BP225)</f>
        <v/>
      </c>
      <c r="CD225" s="701" t="n"/>
      <c r="CE225" s="701" t="n"/>
      <c r="CF225" s="701" t="n"/>
      <c r="CG225" s="701" t="n"/>
      <c r="CH225" s="701" t="n"/>
      <c r="CI225" s="701" t="n"/>
      <c r="CJ225" s="701" t="n"/>
      <c r="CK225" s="701" t="n"/>
      <c r="CL225" s="701" t="n"/>
      <c r="CM225" s="701" t="n"/>
      <c r="CN225" s="701" t="n"/>
      <c r="CO225" s="701" t="n"/>
      <c r="CP225" s="701" t="n"/>
      <c r="CQ225" s="701" t="n"/>
      <c r="CR225" s="701" t="n"/>
      <c r="CS225" s="701" t="n"/>
      <c r="CT225" s="701" t="n"/>
      <c r="CU225" s="701" t="n"/>
      <c r="CV225" s="701" t="n"/>
      <c r="CW225" s="30" t="n"/>
    </row>
    <row r="226" ht="12.75" customHeight="1" s="1676">
      <c r="A226" s="31" t="n"/>
      <c r="B226" s="103" t="inlineStr">
        <is>
          <t>Text_24</t>
        </is>
      </c>
      <c r="C226" s="699" t="n"/>
      <c r="D226" s="1751" t="n"/>
      <c r="E226" s="1751" t="n"/>
      <c r="F226" s="1751" t="n"/>
      <c r="G226" s="1751" t="n"/>
      <c r="H226" s="1751" t="n"/>
      <c r="I226" s="1751" t="n"/>
      <c r="J226" s="1751" t="n"/>
      <c r="K226" s="1751" t="n"/>
      <c r="L226" s="1751" t="n"/>
      <c r="M226" s="1751" t="n"/>
      <c r="N226" s="1751">
        <f t="array" ref="N226">N224/I224-1</f>
        <v/>
      </c>
      <c r="O226" s="1751">
        <f t="array" ref="O226">O224/J224-1</f>
        <v/>
      </c>
      <c r="P226" s="1751">
        <f t="array" ref="P226">P224/K224-1</f>
        <v/>
      </c>
      <c r="Q226" s="1751">
        <f t="array" ref="Q226">Q224/L224-1</f>
        <v/>
      </c>
      <c r="R226" s="1751">
        <f t="array" ref="R226">R224/M224-1</f>
        <v/>
      </c>
      <c r="S226" s="1751">
        <f t="array" ref="S226">S224/N224-1</f>
        <v/>
      </c>
      <c r="T226" s="1751">
        <f t="array" ref="T226">T224/O224-1</f>
        <v/>
      </c>
      <c r="U226" s="1751">
        <f t="array" ref="U226">U224/P224-1</f>
        <v/>
      </c>
      <c r="V226" s="1751">
        <f t="array" ref="V226">V224/Q224-1</f>
        <v/>
      </c>
      <c r="W226" s="1751">
        <f t="array" ref="W226">W224/R224-1</f>
        <v/>
      </c>
      <c r="X226" s="1751">
        <f t="array" ref="X226">X224/S224-1</f>
        <v/>
      </c>
      <c r="Y226" s="1751">
        <f t="array" ref="Y226">Y224/T224-1</f>
        <v/>
      </c>
      <c r="Z226" s="1751">
        <f t="array" ref="Z226">Z224/U224-1</f>
        <v/>
      </c>
      <c r="AA226" s="1751">
        <f t="array" ref="AA226">AA224/V224-1</f>
        <v/>
      </c>
      <c r="AB226" s="1751">
        <f t="array" ref="AB226">AB224/W224-1</f>
        <v/>
      </c>
      <c r="AC226" s="1751">
        <f t="array" ref="AC226">AC224/X224-1</f>
        <v/>
      </c>
      <c r="AD226" s="1751">
        <f t="array" ref="AD226">AD224/Y224-1</f>
        <v/>
      </c>
      <c r="AE226" s="1751">
        <f t="array" ref="AE226">AE224/Z224-1</f>
        <v/>
      </c>
      <c r="AF226" s="1751">
        <f t="array" ref="AF226">AF224/AA224-1</f>
        <v/>
      </c>
      <c r="AG226" s="1751">
        <f t="array" ref="AG226">AG224/AB224-1</f>
        <v/>
      </c>
      <c r="AH226" s="1751">
        <f t="array" ref="AH226">AH224/AC224-1</f>
        <v/>
      </c>
      <c r="AI226" s="1751">
        <f t="array" ref="AI226">AI224/AD224-1</f>
        <v/>
      </c>
      <c r="AJ226" s="1751">
        <f t="array" ref="AJ226">AJ224/AE224-1</f>
        <v/>
      </c>
      <c r="AK226" s="1751">
        <f t="array" ref="AK226">AK224/AF224-1</f>
        <v/>
      </c>
      <c r="AL226" s="1751">
        <f t="array" ref="AL226">AL224/AG224-1</f>
        <v/>
      </c>
      <c r="AM226" s="1751">
        <f t="array" ref="AM226">AM224/AH224-1</f>
        <v/>
      </c>
      <c r="AN226" s="1751">
        <f t="array" ref="AN226">AN224/AI224-1</f>
        <v/>
      </c>
      <c r="AO226" s="1751">
        <f t="array" ref="AO226">AO224/AJ224-1</f>
        <v/>
      </c>
      <c r="AP226" s="1751">
        <f t="array" ref="AP226">AP224/AK224-1</f>
        <v/>
      </c>
      <c r="AQ226" s="1751">
        <f t="array" ref="AQ226">AQ224/AL224-1</f>
        <v/>
      </c>
      <c r="AR226" s="1751">
        <f t="array" ref="AR226">AR224/AM224-1</f>
        <v/>
      </c>
      <c r="AS226" s="1751">
        <f t="array" ref="AS226">AS224/AN224-1</f>
        <v/>
      </c>
      <c r="AT226" s="1751">
        <f t="array" ref="AT226">AT224/AO224-1</f>
        <v/>
      </c>
      <c r="AU226" s="1751">
        <f t="array" ref="AU226">AU224/AP224-1</f>
        <v/>
      </c>
      <c r="AV226" s="1751">
        <f t="array" ref="AV226">AV224/AQ224-1</f>
        <v/>
      </c>
      <c r="AW226" s="1749">
        <f t="array" ref="AW226">AW224/AR224-1</f>
        <v/>
      </c>
      <c r="AX226" s="1750">
        <f t="array" ref="AX226">AX224/AS224-1</f>
        <v/>
      </c>
      <c r="AY226" s="1750">
        <f t="array" ref="AY226">AY224/AT224-1</f>
        <v/>
      </c>
      <c r="AZ226" s="1750">
        <f t="array" ref="AZ226">AZ224/AU224-1</f>
        <v/>
      </c>
      <c r="BA226" s="1784">
        <f t="array" ref="BA226">BA224/AV224-1</f>
        <v/>
      </c>
      <c r="BB226" s="1749">
        <f t="array" ref="BB226">BB224/AW224-1</f>
        <v/>
      </c>
      <c r="BC226" s="1750">
        <f t="array" ref="BC226">BC224/AX224-1</f>
        <v/>
      </c>
      <c r="BD226" s="701" t="n"/>
      <c r="BE226" s="701" t="n"/>
      <c r="BF226" s="1784">
        <f t="array" ref="BF226">BF224/BA224-1</f>
        <v/>
      </c>
      <c r="BG226" s="699" t="n"/>
      <c r="BH226" s="699" t="n"/>
      <c r="BI226" s="699" t="n"/>
      <c r="BJ226" s="699" t="n"/>
      <c r="BK226" s="1856" t="n">
        <v>0.0400831788190893</v>
      </c>
      <c r="BL226" s="1860" t="n"/>
      <c r="BM226" s="1860" t="n"/>
      <c r="BN226" s="1860" t="n"/>
      <c r="BO226" s="1860" t="n"/>
      <c r="BP226" s="1856" t="n">
        <v>0.0499256438683795</v>
      </c>
      <c r="BQ226" s="1860" t="n"/>
      <c r="BR226" s="1860" t="n"/>
      <c r="BS226" s="1860" t="n"/>
      <c r="BT226" s="1860" t="n"/>
      <c r="BU226" s="1856" t="n">
        <v>0.071557399737097</v>
      </c>
      <c r="BV226" s="1860" t="n"/>
      <c r="BW226" s="1860" t="n"/>
      <c r="BX226" s="1860" t="n"/>
      <c r="BY226" s="1860" t="n"/>
      <c r="BZ226" s="1856" t="n">
        <v>0.06663674504439231</v>
      </c>
      <c r="CA226" s="238" t="inlineStr">
        <is>
          <t>Text_192</t>
        </is>
      </c>
      <c r="CB226" s="319" t="n"/>
      <c r="CC226" s="701" t="n"/>
      <c r="CD226" s="701" t="n"/>
      <c r="CE226" s="701" t="n"/>
      <c r="CF226" s="701" t="n"/>
      <c r="CG226" s="701" t="n"/>
      <c r="CH226" s="701" t="n"/>
      <c r="CI226" s="701" t="n"/>
      <c r="CJ226" s="701" t="n"/>
      <c r="CK226" s="701" t="n"/>
      <c r="CL226" s="701" t="n"/>
      <c r="CM226" s="701" t="n"/>
      <c r="CN226" s="701" t="n"/>
      <c r="CO226" s="701" t="n"/>
      <c r="CP226" s="701" t="n"/>
      <c r="CQ226" s="701" t="n"/>
      <c r="CR226" s="701" t="n"/>
      <c r="CS226" s="701" t="n"/>
      <c r="CT226" s="701" t="n"/>
      <c r="CU226" s="701" t="n"/>
      <c r="CV226" s="701" t="n"/>
      <c r="CW226" s="30" t="n"/>
    </row>
    <row r="227" ht="13.15" customHeight="1" s="1676">
      <c r="A227" s="31" t="n"/>
      <c r="B227" s="270" t="inlineStr">
        <is>
          <t>Text_193</t>
        </is>
      </c>
      <c r="C227" s="699" t="n"/>
      <c r="D227" s="1988" t="n"/>
      <c r="E227" s="1988" t="n"/>
      <c r="F227" s="1988" t="n"/>
      <c r="G227" s="1988" t="n"/>
      <c r="H227" s="1988" t="n"/>
      <c r="I227" s="1745">
        <f t="array" ref="I227">I224+I221</f>
        <v/>
      </c>
      <c r="J227" s="1745">
        <f t="array" ref="J227">J224+J221</f>
        <v/>
      </c>
      <c r="K227" s="1745">
        <f t="array" ref="K227">K224+K221</f>
        <v/>
      </c>
      <c r="L227" s="1745">
        <f t="array" ref="L227">L224+L221</f>
        <v/>
      </c>
      <c r="M227" s="1745">
        <f t="array" ref="M227">M224+M221</f>
        <v/>
      </c>
      <c r="N227" s="1745">
        <f t="array" ref="N227">N224+N221</f>
        <v/>
      </c>
      <c r="O227" s="1745">
        <f t="array" ref="O227">O224+O221</f>
        <v/>
      </c>
      <c r="P227" s="1745">
        <f t="array" ref="P227">P224+P221</f>
        <v/>
      </c>
      <c r="Q227" s="1745">
        <f t="array" ref="Q227">Q224+Q221</f>
        <v/>
      </c>
      <c r="R227" s="1745">
        <f t="array" ref="R227">R224+R221</f>
        <v/>
      </c>
      <c r="S227" s="1745">
        <f t="array" ref="S227">S224+S221</f>
        <v/>
      </c>
      <c r="T227" s="1745">
        <f t="array" ref="T227">T224+T221</f>
        <v/>
      </c>
      <c r="U227" s="1745">
        <f t="array" ref="U227">U224+U221</f>
        <v/>
      </c>
      <c r="V227" s="1745">
        <f t="array" ref="V227">V224+V221</f>
        <v/>
      </c>
      <c r="W227" s="1745">
        <f t="array" ref="W227">W224+W221</f>
        <v/>
      </c>
      <c r="X227" s="1745">
        <f t="array" ref="X227">X224+X221</f>
        <v/>
      </c>
      <c r="Y227" s="1745">
        <f t="array" ref="Y227">Y224+Y221</f>
        <v/>
      </c>
      <c r="Z227" s="1745">
        <f t="array" ref="Z227">Z224+Z221</f>
        <v/>
      </c>
      <c r="AA227" s="1745">
        <f t="array" ref="AA227">AA224+AA221</f>
        <v/>
      </c>
      <c r="AB227" s="1745">
        <f t="array" ref="AB227">AB224+AB221</f>
        <v/>
      </c>
      <c r="AC227" s="1745">
        <f t="array" ref="AC227">AC224+AC221</f>
        <v/>
      </c>
      <c r="AD227" s="1745">
        <f t="array" ref="AD227">AD224+AD221</f>
        <v/>
      </c>
      <c r="AE227" s="1745">
        <f t="array" ref="AE227">AE224+AE221</f>
        <v/>
      </c>
      <c r="AF227" s="1745">
        <f t="array" ref="AF227">AF224+AF221</f>
        <v/>
      </c>
      <c r="AG227" s="1745">
        <f t="array" ref="AG227">AG224+AG221</f>
        <v/>
      </c>
      <c r="AH227" s="1745">
        <f t="array" ref="AH227">AH224+AH221</f>
        <v/>
      </c>
      <c r="AI227" s="1745">
        <f t="array" ref="AI227">AI224+AI221</f>
        <v/>
      </c>
      <c r="AJ227" s="1745">
        <f t="array" ref="AJ227">AJ224+AJ221</f>
        <v/>
      </c>
      <c r="AK227" s="1745">
        <f t="array" ref="AK227">AK224+AK221</f>
        <v/>
      </c>
      <c r="AL227" s="1745">
        <f t="array" ref="AL227">AL224+AL221</f>
        <v/>
      </c>
      <c r="AM227" s="1745">
        <f t="array" ref="AM227">AM224+AM221</f>
        <v/>
      </c>
      <c r="AN227" s="1745">
        <f t="array" ref="AN227">AN224+AN221</f>
        <v/>
      </c>
      <c r="AO227" s="1745">
        <f t="array" ref="AO227">AO224+AO221</f>
        <v/>
      </c>
      <c r="AP227" s="1745">
        <f t="array" ref="AP227">AP224+AP221</f>
        <v/>
      </c>
      <c r="AQ227" s="1745">
        <f t="array" ref="AQ227">AQ224+AQ221</f>
        <v/>
      </c>
      <c r="AR227" s="1745">
        <f t="array" ref="AR227">AR224+AR221</f>
        <v/>
      </c>
      <c r="AS227" s="1745">
        <f t="array" ref="AS227">AS224+AS221</f>
        <v/>
      </c>
      <c r="AT227" s="1745">
        <f t="array" ref="AT227">AT224+AT221</f>
        <v/>
      </c>
      <c r="AU227" s="1745">
        <f t="array" ref="AU227">AU224+AU221</f>
        <v/>
      </c>
      <c r="AV227" s="1745">
        <f t="array" ref="AV227">AV224+AV221</f>
        <v/>
      </c>
      <c r="AW227" s="1873">
        <f t="array" ref="AW227">AW224+AW221</f>
        <v/>
      </c>
      <c r="AX227" s="1874">
        <f t="array" ref="AX227">AX224+AX221</f>
        <v/>
      </c>
      <c r="AY227" s="1874">
        <f t="array" ref="AY227">AY224+AY221</f>
        <v/>
      </c>
      <c r="AZ227" s="1874">
        <f t="array" ref="AZ227">AZ224+AZ221</f>
        <v/>
      </c>
      <c r="BA227" s="1748">
        <f t="array" ref="BA227">BA224+BA221</f>
        <v/>
      </c>
      <c r="BB227" s="1873">
        <f t="array" ref="BB227">BB224+BB221</f>
        <v/>
      </c>
      <c r="BC227" s="1874">
        <f t="array" ref="BC227">BC224+BC221</f>
        <v/>
      </c>
      <c r="BD227" s="1989" t="n">
        <v>-475.013820030207</v>
      </c>
      <c r="BE227" s="1989">
        <f t="array" ref="BE227">BD227-15</f>
        <v/>
      </c>
      <c r="BF227" s="1748">
        <f t="array" ref="BF227">BE227+BD227+BC227+BB227</f>
        <v/>
      </c>
      <c r="BG227" s="341" t="n"/>
      <c r="BH227" s="341" t="n"/>
      <c r="BI227" s="341" t="n"/>
      <c r="BJ227" s="341" t="n"/>
      <c r="BK227" s="1745">
        <f t="array" ref="BK227">BK224+BK221</f>
        <v/>
      </c>
      <c r="BL227" s="699" t="n"/>
      <c r="BM227" s="699" t="n"/>
      <c r="BN227" s="699" t="n"/>
      <c r="BO227" s="699" t="n"/>
      <c r="BP227" s="1745">
        <f t="array" ref="BP227">BP224+BP221</f>
        <v/>
      </c>
      <c r="BQ227" s="699" t="n"/>
      <c r="BR227" s="699" t="n"/>
      <c r="BS227" s="699" t="n"/>
      <c r="BT227" s="699" t="n"/>
      <c r="BU227" s="1745">
        <f t="array" ref="BU227">BU224+BU221</f>
        <v/>
      </c>
      <c r="BV227" s="699" t="n"/>
      <c r="BW227" s="699" t="n"/>
      <c r="BX227" s="699" t="n"/>
      <c r="BY227" s="699" t="n"/>
      <c r="BZ227" s="1745">
        <f t="array" ref="BZ227">BZ224+BZ221</f>
        <v/>
      </c>
      <c r="CA227" s="1986">
        <f t="array" ref="CA227">(BK227-BF227)</f>
        <v/>
      </c>
      <c r="CB227" s="319" t="n"/>
      <c r="CC227" s="701" t="n"/>
      <c r="CD227" s="701" t="n"/>
      <c r="CE227" s="701" t="n"/>
      <c r="CF227" s="701" t="n"/>
      <c r="CG227" s="701" t="n"/>
      <c r="CH227" s="701" t="n"/>
      <c r="CI227" s="701" t="n"/>
      <c r="CJ227" s="701" t="n"/>
      <c r="CK227" s="701" t="n"/>
      <c r="CL227" s="701" t="n"/>
      <c r="CM227" s="701" t="n"/>
      <c r="CN227" s="701" t="n"/>
      <c r="CO227" s="701" t="n"/>
      <c r="CP227" s="701" t="n"/>
      <c r="CQ227" s="701" t="n"/>
      <c r="CR227" s="701" t="n"/>
      <c r="CS227" s="701" t="n"/>
      <c r="CT227" s="701" t="n"/>
      <c r="CU227" s="701" t="n"/>
      <c r="CV227" s="701" t="n"/>
      <c r="CW227" s="30" t="n"/>
    </row>
    <row r="228" ht="12.75" customHeight="1" s="1676">
      <c r="A228" s="548" t="n"/>
      <c r="B228" s="156" t="inlineStr">
        <is>
          <t>Text_187</t>
        </is>
      </c>
      <c r="C228" s="610" t="n"/>
      <c r="D228" s="1990" t="n"/>
      <c r="E228" s="1990" t="n"/>
      <c r="F228" s="1990" t="n"/>
      <c r="G228" s="1990" t="n"/>
      <c r="H228" s="1751" t="n"/>
      <c r="I228" s="1990" t="n"/>
      <c r="J228" s="1990" t="n"/>
      <c r="K228" s="1990" t="n"/>
      <c r="L228" s="1990" t="n"/>
      <c r="M228" s="1751">
        <f t="array" ref="M228">-M227/M$212</f>
        <v/>
      </c>
      <c r="N228" s="1990" t="n"/>
      <c r="O228" s="1990" t="n"/>
      <c r="P228" s="1990" t="n"/>
      <c r="Q228" s="1990" t="n"/>
      <c r="R228" s="1751">
        <f t="array" ref="R228">-R227/R$212</f>
        <v/>
      </c>
      <c r="S228" s="1990" t="n"/>
      <c r="T228" s="1990" t="n"/>
      <c r="U228" s="1990" t="n"/>
      <c r="V228" s="1990" t="n"/>
      <c r="W228" s="1751">
        <f t="array" ref="W228">-W227/W$212</f>
        <v/>
      </c>
      <c r="X228" s="1751" t="n"/>
      <c r="Y228" s="1751" t="n"/>
      <c r="Z228" s="1751" t="n"/>
      <c r="AA228" s="1751" t="n"/>
      <c r="AB228" s="1751">
        <f t="array" ref="AB228">-AB227/AB$212</f>
        <v/>
      </c>
      <c r="AC228" s="1751">
        <f t="array" ref="AC228">-AC227/AC$212</f>
        <v/>
      </c>
      <c r="AD228" s="1751">
        <f t="array" ref="AD228">-AD227/AD$212</f>
        <v/>
      </c>
      <c r="AE228" s="1751">
        <f t="array" ref="AE228">-AE227/AE$212</f>
        <v/>
      </c>
      <c r="AF228" s="1751">
        <f t="array" ref="AF228">-AF227/AF$212</f>
        <v/>
      </c>
      <c r="AG228" s="1751">
        <f t="array" ref="AG228">-AG227/AG$212</f>
        <v/>
      </c>
      <c r="AH228" s="1751">
        <f t="array" ref="AH228">-AH227/AH$212</f>
        <v/>
      </c>
      <c r="AI228" s="1751">
        <f t="array" ref="AI228">-AI227/AI$212</f>
        <v/>
      </c>
      <c r="AJ228" s="1751">
        <f t="array" ref="AJ228">-AJ227/AJ$212</f>
        <v/>
      </c>
      <c r="AK228" s="1751">
        <f t="array" ref="AK228">-AK227/AK$212</f>
        <v/>
      </c>
      <c r="AL228" s="1751">
        <f t="array" ref="AL228">-AL227/AL$212</f>
        <v/>
      </c>
      <c r="AM228" s="1751">
        <f t="array" ref="AM228">-AM227/AM$212</f>
        <v/>
      </c>
      <c r="AN228" s="1751">
        <f t="array" ref="AN228">-AN227/AN$212</f>
        <v/>
      </c>
      <c r="AO228" s="1751">
        <f t="array" ref="AO228">-AO227/AO$212</f>
        <v/>
      </c>
      <c r="AP228" s="1751">
        <f t="array" ref="AP228">-AP227/AP$212</f>
        <v/>
      </c>
      <c r="AQ228" s="1751">
        <f t="array" ref="AQ228">-AQ227/AQ$212</f>
        <v/>
      </c>
      <c r="AR228" s="1751">
        <f t="array" ref="AR228">-AR227/AR$212</f>
        <v/>
      </c>
      <c r="AS228" s="1751">
        <f t="array" ref="AS228">-AS227/AS$212</f>
        <v/>
      </c>
      <c r="AT228" s="1751">
        <f t="array" ref="AT228">-AT227/AT$212</f>
        <v/>
      </c>
      <c r="AU228" s="1751">
        <f t="array" ref="AU228">-AU227/AU$212</f>
        <v/>
      </c>
      <c r="AV228" s="1751">
        <f t="array" ref="AV228">-AV227/AV$212</f>
        <v/>
      </c>
      <c r="AW228" s="1749">
        <f t="array" ref="AW228">-AW227/AW$212</f>
        <v/>
      </c>
      <c r="AX228" s="1750">
        <f t="array" ref="AX228">-AX227/AX$212</f>
        <v/>
      </c>
      <c r="AY228" s="1750">
        <f t="array" ref="AY228">-AY227/AY$212</f>
        <v/>
      </c>
      <c r="AZ228" s="1750">
        <f t="array" ref="AZ228">-AZ227/AZ$212</f>
        <v/>
      </c>
      <c r="BA228" s="1784">
        <f t="array" ref="BA228">-BA227/BA$212</f>
        <v/>
      </c>
      <c r="BB228" s="1749">
        <f t="array" ref="BB228">-BB227/BB$212</f>
        <v/>
      </c>
      <c r="BC228" s="1750">
        <f t="array" ref="BC228">-BC227/BC$212</f>
        <v/>
      </c>
      <c r="BD228" s="1750">
        <f t="array" ref="BD228">-BD227/BD$212</f>
        <v/>
      </c>
      <c r="BE228" s="1750">
        <f t="array" ref="BE228">-BE227/BE$212</f>
        <v/>
      </c>
      <c r="BF228" s="1784">
        <f t="array" ref="BF228">-BF227/BF$212</f>
        <v/>
      </c>
      <c r="BG228" s="341" t="n"/>
      <c r="BH228" s="341" t="n"/>
      <c r="BI228" s="341" t="n"/>
      <c r="BJ228" s="341" t="n"/>
      <c r="BK228" s="1751">
        <f t="array" ref="BK228">-BK227/BK$212</f>
        <v/>
      </c>
      <c r="BL228" s="1991" t="n"/>
      <c r="BM228" s="1991" t="n"/>
      <c r="BN228" s="1991" t="n"/>
      <c r="BO228" s="1991" t="n"/>
      <c r="BP228" s="1751">
        <f t="array" ref="BP228">-BP227/BP$212</f>
        <v/>
      </c>
      <c r="BQ228" s="1991" t="n"/>
      <c r="BR228" s="1991" t="n"/>
      <c r="BS228" s="1991" t="n"/>
      <c r="BT228" s="1991" t="n"/>
      <c r="BU228" s="1751">
        <f t="array" ref="BU228">-BU227/BU$212</f>
        <v/>
      </c>
      <c r="BV228" s="1991" t="n"/>
      <c r="BW228" s="1991" t="n"/>
      <c r="BX228" s="1991" t="n"/>
      <c r="BY228" s="1991" t="n"/>
      <c r="BZ228" s="1751">
        <f t="array" ref="BZ228">-BZ227/BZ$212</f>
        <v/>
      </c>
      <c r="CA228" s="1986">
        <f t="array" ref="CA228">-15-30-45-60</f>
        <v/>
      </c>
      <c r="CB228" s="319" t="n"/>
      <c r="CC228" s="701" t="n"/>
      <c r="CD228" s="701" t="n"/>
      <c r="CE228" s="701" t="n"/>
      <c r="CF228" s="701" t="n"/>
      <c r="CG228" s="701" t="n"/>
      <c r="CH228" s="701" t="n"/>
      <c r="CI228" s="701" t="n"/>
      <c r="CJ228" s="701" t="n"/>
      <c r="CK228" s="701" t="n"/>
      <c r="CL228" s="701" t="n"/>
      <c r="CM228" s="701" t="n"/>
      <c r="CN228" s="701" t="n"/>
      <c r="CO228" s="701" t="n"/>
      <c r="CP228" s="701" t="n"/>
      <c r="CQ228" s="701" t="n"/>
      <c r="CR228" s="701" t="n"/>
      <c r="CS228" s="701" t="n"/>
      <c r="CT228" s="701" t="n"/>
      <c r="CU228" s="701" t="n"/>
      <c r="CV228" s="701" t="n"/>
      <c r="CW228" s="30" t="n"/>
    </row>
    <row r="229" ht="12.75" customHeight="1" s="1676">
      <c r="A229" s="31" t="n"/>
      <c r="B229" s="551" t="inlineStr">
        <is>
          <t>Text_24</t>
        </is>
      </c>
      <c r="C229" s="805" t="n"/>
      <c r="D229" s="1956" t="n"/>
      <c r="E229" s="1956" t="n"/>
      <c r="F229" s="1956" t="n"/>
      <c r="G229" s="1956" t="n"/>
      <c r="H229" s="1956" t="n"/>
      <c r="I229" s="1956" t="n"/>
      <c r="J229" s="1956" t="n"/>
      <c r="K229" s="1956" t="n"/>
      <c r="L229" s="1956" t="n"/>
      <c r="M229" s="1956" t="n"/>
      <c r="N229" s="1956" t="n"/>
      <c r="O229" s="1956" t="n"/>
      <c r="P229" s="1956" t="n"/>
      <c r="Q229" s="1956" t="n"/>
      <c r="R229" s="1956">
        <f t="array" ref="R229">R227/M227-1</f>
        <v/>
      </c>
      <c r="S229" s="1956" t="n"/>
      <c r="T229" s="1956" t="n"/>
      <c r="U229" s="1956" t="n"/>
      <c r="V229" s="1956" t="n"/>
      <c r="W229" s="1956">
        <f t="array" ref="W229">W227/R227-1</f>
        <v/>
      </c>
      <c r="X229" s="1956" t="n"/>
      <c r="Y229" s="1956" t="n"/>
      <c r="Z229" s="1956" t="n"/>
      <c r="AA229" s="1956" t="n"/>
      <c r="AB229" s="1956">
        <f t="array" ref="AB229">AB227/W227-1</f>
        <v/>
      </c>
      <c r="AC229" s="1956" t="n"/>
      <c r="AD229" s="1956" t="n"/>
      <c r="AE229" s="1956" t="n"/>
      <c r="AF229" s="1956" t="n"/>
      <c r="AG229" s="1956">
        <f t="array" ref="AG229">AG227/AB227-1</f>
        <v/>
      </c>
      <c r="AH229" s="1956" t="n"/>
      <c r="AI229" s="1956" t="n"/>
      <c r="AJ229" s="1956" t="n"/>
      <c r="AK229" s="1956" t="n"/>
      <c r="AL229" s="1956">
        <f t="array" ref="AL229">AL227/AG227-1</f>
        <v/>
      </c>
      <c r="AM229" s="1956">
        <f t="array" ref="AM229">AM227/AH227-1</f>
        <v/>
      </c>
      <c r="AN229" s="1956">
        <f t="array" ref="AN229">AN227/AI227-1</f>
        <v/>
      </c>
      <c r="AO229" s="1956">
        <f t="array" ref="AO229">AO227/AJ227-1</f>
        <v/>
      </c>
      <c r="AP229" s="1956">
        <f t="array" ref="AP229">AP227/AK227-1</f>
        <v/>
      </c>
      <c r="AQ229" s="1956">
        <f t="array" ref="AQ229">AQ227/AL227-1</f>
        <v/>
      </c>
      <c r="AR229" s="1956">
        <f t="array" ref="AR229">AR227/AM227-1</f>
        <v/>
      </c>
      <c r="AS229" s="1956">
        <f t="array" ref="AS229">AS227/AN227-1</f>
        <v/>
      </c>
      <c r="AT229" s="1956">
        <f t="array" ref="AT229">AT227/AO227-1</f>
        <v/>
      </c>
      <c r="AU229" s="1956">
        <f t="array" ref="AU229">AU227/AP227-1</f>
        <v/>
      </c>
      <c r="AV229" s="1956">
        <f t="array" ref="AV229">AV227/AQ227-1</f>
        <v/>
      </c>
      <c r="AW229" s="1958">
        <f t="array" ref="AW229">AW227/AR227-1</f>
        <v/>
      </c>
      <c r="AX229" s="1957">
        <f t="array" ref="AX229">AX227/AS227-1</f>
        <v/>
      </c>
      <c r="AY229" s="1957">
        <f t="array" ref="AY229">AY227/AT227-1</f>
        <v/>
      </c>
      <c r="AZ229" s="1957">
        <f t="array" ref="AZ229">AZ227/AU227-1</f>
        <v/>
      </c>
      <c r="BA229" s="1959">
        <f t="array" ref="BA229">BA227/AV227-1</f>
        <v/>
      </c>
      <c r="BB229" s="1958">
        <f t="array" ref="BB229">BB227/AW227-1</f>
        <v/>
      </c>
      <c r="BC229" s="1957">
        <f t="array" ref="BC229">BC227/AX227-1</f>
        <v/>
      </c>
      <c r="BD229" s="1957">
        <f t="array" ref="BD229">BD227/AY227-1</f>
        <v/>
      </c>
      <c r="BE229" s="1957">
        <f t="array" ref="BE229">BE227/AZ227-1</f>
        <v/>
      </c>
      <c r="BF229" s="1959">
        <f t="array" ref="BF229">BF227/BA227-1</f>
        <v/>
      </c>
      <c r="BG229" s="805" t="n"/>
      <c r="BH229" s="805" t="n"/>
      <c r="BI229" s="805" t="n"/>
      <c r="BJ229" s="805" t="n"/>
      <c r="BK229" s="1956">
        <f t="array" ref="BK229">BK227/BF227-1</f>
        <v/>
      </c>
      <c r="BL229" s="805" t="n"/>
      <c r="BM229" s="805" t="n"/>
      <c r="BN229" s="805" t="n"/>
      <c r="BO229" s="805" t="n"/>
      <c r="BP229" s="1956">
        <f t="array" ref="BP229">BP227/BK227-1</f>
        <v/>
      </c>
      <c r="BQ229" s="805" t="n"/>
      <c r="BR229" s="805" t="n"/>
      <c r="BS229" s="805" t="n"/>
      <c r="BT229" s="805" t="n"/>
      <c r="BU229" s="1956">
        <f t="array" ref="BU229">BU227/BP227-1</f>
        <v/>
      </c>
      <c r="BV229" s="805" t="n"/>
      <c r="BW229" s="805" t="n"/>
      <c r="BX229" s="805" t="n"/>
      <c r="BY229" s="805" t="n"/>
      <c r="BZ229" s="1956">
        <f t="array" ref="BZ229">BZ227/BU227-1</f>
        <v/>
      </c>
      <c r="CA229" s="699" t="n"/>
      <c r="CB229" s="319" t="n"/>
      <c r="CC229" s="701" t="n"/>
      <c r="CD229" s="701" t="n"/>
      <c r="CE229" s="701" t="n"/>
      <c r="CF229" s="701" t="n"/>
      <c r="CG229" s="701" t="n"/>
      <c r="CH229" s="701" t="n"/>
      <c r="CI229" s="701" t="n"/>
      <c r="CJ229" s="701" t="n"/>
      <c r="CK229" s="701" t="n"/>
      <c r="CL229" s="701" t="n"/>
      <c r="CM229" s="701" t="n"/>
      <c r="CN229" s="701" t="n"/>
      <c r="CO229" s="701" t="n"/>
      <c r="CP229" s="701" t="n"/>
      <c r="CQ229" s="701" t="n"/>
      <c r="CR229" s="701" t="n"/>
      <c r="CS229" s="701" t="n"/>
      <c r="CT229" s="701" t="n"/>
      <c r="CU229" s="701" t="n"/>
      <c r="CV229" s="701" t="n"/>
      <c r="CW229" s="30" t="n"/>
    </row>
    <row r="230" ht="15" customHeight="1" s="1676">
      <c r="A230" s="31" t="n"/>
      <c r="B230" s="552" t="inlineStr">
        <is>
          <t>Text_194</t>
        </is>
      </c>
      <c r="C230" s="66" t="n"/>
      <c r="D230" s="1704" t="n">
        <v>0</v>
      </c>
      <c r="E230" s="1704" t="n">
        <v>0</v>
      </c>
      <c r="F230" s="1704" t="n">
        <v>0</v>
      </c>
      <c r="G230" s="1704" t="n">
        <v>0</v>
      </c>
      <c r="H230" s="1734" t="n"/>
      <c r="I230" s="1734">
        <f t="array" ref="I230">I238-I234</f>
        <v/>
      </c>
      <c r="J230" s="1734">
        <f t="array" ref="J230">J238-J234</f>
        <v/>
      </c>
      <c r="K230" s="1734">
        <f t="array" ref="K230">K238-K234</f>
        <v/>
      </c>
      <c r="L230" s="1734">
        <f t="array" ref="L230">L238-L234</f>
        <v/>
      </c>
      <c r="M230" s="1992">
        <f t="array" ref="M230">M238-M234</f>
        <v/>
      </c>
      <c r="N230" s="1734">
        <f t="array" ref="N230">N238-N234</f>
        <v/>
      </c>
      <c r="O230" s="1734">
        <f t="array" ref="O230">O238-O234</f>
        <v/>
      </c>
      <c r="P230" s="1734">
        <f t="array" ref="P230">P238-P234</f>
        <v/>
      </c>
      <c r="Q230" s="1734">
        <f t="array" ref="Q230">Q238-Q234</f>
        <v/>
      </c>
      <c r="R230" s="1992">
        <f t="array" ref="R230">R238-R234</f>
        <v/>
      </c>
      <c r="S230" s="1734">
        <f t="array" ref="S230">S238-S234</f>
        <v/>
      </c>
      <c r="T230" s="1734">
        <f t="array" ref="T230">T238-T234</f>
        <v/>
      </c>
      <c r="U230" s="1734">
        <f t="array" ref="U230">U238-U234</f>
        <v/>
      </c>
      <c r="V230" s="1734">
        <f t="array" ref="V230">V238-V234</f>
        <v/>
      </c>
      <c r="W230" s="1992">
        <f t="array" ref="W230">W238-W234</f>
        <v/>
      </c>
      <c r="X230" s="1734">
        <f t="array" ref="X230">X238-X234</f>
        <v/>
      </c>
      <c r="Y230" s="1734">
        <f t="array" ref="Y230">Y238-Y234</f>
        <v/>
      </c>
      <c r="Z230" s="1734">
        <f t="array" ref="Z230">Z238-Z234</f>
        <v/>
      </c>
      <c r="AA230" s="1734">
        <f t="array" ref="AA230">AA238-AA234</f>
        <v/>
      </c>
      <c r="AB230" s="1992">
        <f t="array" ref="AB230">AB238-AB234</f>
        <v/>
      </c>
      <c r="AC230" s="1734">
        <f t="array" ref="AC230">AC238-AC234</f>
        <v/>
      </c>
      <c r="AD230" s="1734">
        <f t="array" ref="AD230">AD238-AD234</f>
        <v/>
      </c>
      <c r="AE230" s="1734">
        <f t="array" ref="AE230">AE238-AE234</f>
        <v/>
      </c>
      <c r="AF230" s="1734">
        <f t="array" ref="AF230">AF238-AF234</f>
        <v/>
      </c>
      <c r="AG230" s="1992">
        <f t="array" ref="AG230">AG238-AG234</f>
        <v/>
      </c>
      <c r="AH230" s="1734">
        <f t="array" ref="AH230">AH256-AH251-AH247-AH234</f>
        <v/>
      </c>
      <c r="AI230" s="1734">
        <f t="array" ref="AI230">AI256-AI251-AI247-AI234</f>
        <v/>
      </c>
      <c r="AJ230" s="1734">
        <f t="array" ref="AJ230">AJ256-AJ251-AJ247-AJ234</f>
        <v/>
      </c>
      <c r="AK230" s="1734">
        <f t="array" ref="AK230">AK256-AK251-AK247-AK234</f>
        <v/>
      </c>
      <c r="AL230" s="1992">
        <f t="array" ref="AL230">AL238-AL234</f>
        <v/>
      </c>
      <c r="AM230" s="1992">
        <f t="array" ref="AM230">AM238-AM234</f>
        <v/>
      </c>
      <c r="AN230" s="1992">
        <f t="array" ref="AN230">AN238-AN234</f>
        <v/>
      </c>
      <c r="AO230" s="1992">
        <f t="array" ref="AO230">AO238-AO234</f>
        <v/>
      </c>
      <c r="AP230" s="1992">
        <f t="array" ref="AP230">AP238-AP234</f>
        <v/>
      </c>
      <c r="AQ230" s="1992">
        <f t="array" ref="AQ230">AQ238-AQ234</f>
        <v/>
      </c>
      <c r="AR230" s="1992">
        <f t="array" ref="AR230">AR238-AR234</f>
        <v/>
      </c>
      <c r="AS230" s="1992">
        <f t="array" ref="AS230">AS238-AS234</f>
        <v/>
      </c>
      <c r="AT230" s="1992">
        <f t="array" ref="AT230">AT238-AT234</f>
        <v/>
      </c>
      <c r="AU230" s="1992">
        <f t="array" ref="AU230">AU238-AU234</f>
        <v/>
      </c>
      <c r="AV230" s="1992">
        <f t="array" ref="AV230">AV238-AV234</f>
        <v/>
      </c>
      <c r="AW230" s="1993">
        <f t="array" ref="AW230">AW238-AW234</f>
        <v/>
      </c>
      <c r="AX230" s="1994">
        <f t="array" ref="AX230">AX238-AX234</f>
        <v/>
      </c>
      <c r="AY230" s="1994">
        <f t="array" ref="AY230">AY238-AY234</f>
        <v/>
      </c>
      <c r="AZ230" s="1994">
        <f t="array" ref="AZ230">AZ238-AZ234</f>
        <v/>
      </c>
      <c r="BA230" s="1995">
        <f t="array" ref="BA230">BA238-BA234</f>
        <v/>
      </c>
      <c r="BB230" s="1993">
        <f t="array" ref="BB230">BB238-BB234</f>
        <v/>
      </c>
      <c r="BC230" s="1994">
        <f t="array" ref="BC230">BC238-BC234</f>
        <v/>
      </c>
      <c r="BD230" s="1994" t="n"/>
      <c r="BE230" s="1994" t="n"/>
      <c r="BF230" s="1995">
        <f t="array" ref="BF230">BF238-BF234</f>
        <v/>
      </c>
      <c r="BG230" s="1704" t="n"/>
      <c r="BH230" s="1704" t="n"/>
      <c r="BI230" s="1704" t="n"/>
      <c r="BJ230" s="1704" t="n"/>
      <c r="BK230" s="1992">
        <f t="array" ref="BK230">BK238-BK234</f>
        <v/>
      </c>
      <c r="BL230" s="1704" t="n"/>
      <c r="BM230" s="1704" t="n"/>
      <c r="BN230" s="1704" t="n"/>
      <c r="BO230" s="1704" t="n"/>
      <c r="BP230" s="1992">
        <f t="array" ref="BP230">BP238-BP234</f>
        <v/>
      </c>
      <c r="BQ230" s="1704" t="n"/>
      <c r="BR230" s="1704" t="n"/>
      <c r="BS230" s="1704" t="n"/>
      <c r="BT230" s="1704" t="n"/>
      <c r="BU230" s="1992">
        <f t="array" ref="BU230">BU238-BU234</f>
        <v/>
      </c>
      <c r="BV230" s="1704" t="n"/>
      <c r="BW230" s="1704" t="n"/>
      <c r="BX230" s="1704" t="n"/>
      <c r="BY230" s="1704" t="n"/>
      <c r="BZ230" s="1992">
        <f t="array" ref="BZ230">BZ238-BZ234</f>
        <v/>
      </c>
      <c r="CA230" s="557" t="n"/>
      <c r="CB230" s="319" t="n"/>
      <c r="CC230" s="701" t="n"/>
      <c r="CD230" s="701" t="n"/>
      <c r="CE230" s="701" t="n"/>
      <c r="CF230" s="701" t="n"/>
      <c r="CG230" s="701" t="n"/>
      <c r="CH230" s="701" t="n"/>
      <c r="CI230" s="701" t="n"/>
      <c r="CJ230" s="701" t="n"/>
      <c r="CK230" s="701" t="n"/>
      <c r="CL230" s="701" t="n"/>
      <c r="CM230" s="701" t="n"/>
      <c r="CN230" s="701" t="n"/>
      <c r="CO230" s="701" t="n"/>
      <c r="CP230" s="701" t="n"/>
      <c r="CQ230" s="701" t="n"/>
      <c r="CR230" s="701" t="n"/>
      <c r="CS230" s="701" t="n"/>
      <c r="CT230" s="701" t="n"/>
      <c r="CU230" s="701" t="n"/>
      <c r="CV230" s="701" t="n"/>
      <c r="CW230" s="30" t="n"/>
    </row>
    <row r="231" ht="12.75" customHeight="1" s="1676">
      <c r="A231" s="31" t="n"/>
      <c r="B231" s="293" t="inlineStr">
        <is>
          <t>Text_180</t>
        </is>
      </c>
      <c r="C231" s="33" t="n"/>
      <c r="D231" s="1742" t="n"/>
      <c r="E231" s="1742" t="n"/>
      <c r="F231" s="1742" t="n"/>
      <c r="G231" s="1742" t="n"/>
      <c r="H231" s="1742" t="n"/>
      <c r="I231" s="1742">
        <f t="array" ref="I231">I230/I212</f>
        <v/>
      </c>
      <c r="J231" s="1742">
        <f t="array" ref="J231">J230/J212</f>
        <v/>
      </c>
      <c r="K231" s="1742">
        <f t="array" ref="K231">K230/K212</f>
        <v/>
      </c>
      <c r="L231" s="1742">
        <f t="array" ref="L231">L230/L212</f>
        <v/>
      </c>
      <c r="M231" s="1742">
        <f t="array" ref="M231">M230/M212</f>
        <v/>
      </c>
      <c r="N231" s="1742">
        <f t="array" ref="N231">N230/N212</f>
        <v/>
      </c>
      <c r="O231" s="1742">
        <f t="array" ref="O231">O230/O212</f>
        <v/>
      </c>
      <c r="P231" s="1742">
        <f t="array" ref="P231">P230/P212</f>
        <v/>
      </c>
      <c r="Q231" s="1742">
        <f t="array" ref="Q231">Q230/Q212</f>
        <v/>
      </c>
      <c r="R231" s="1742">
        <f t="array" ref="R231">R230/R212</f>
        <v/>
      </c>
      <c r="S231" s="1742">
        <f t="array" ref="S231">S230/S212</f>
        <v/>
      </c>
      <c r="T231" s="1742">
        <f t="array" ref="T231">T230/T212</f>
        <v/>
      </c>
      <c r="U231" s="1742">
        <f t="array" ref="U231">U230/U212</f>
        <v/>
      </c>
      <c r="V231" s="1742">
        <f t="array" ref="V231">V230/V212</f>
        <v/>
      </c>
      <c r="W231" s="1742">
        <f t="array" ref="W231">W230/W212</f>
        <v/>
      </c>
      <c r="X231" s="1742">
        <f t="array" ref="X231">X230/X212</f>
        <v/>
      </c>
      <c r="Y231" s="1742">
        <f t="array" ref="Y231">Y230/Y212</f>
        <v/>
      </c>
      <c r="Z231" s="1742">
        <f t="array" ref="Z231">Z230/Z212</f>
        <v/>
      </c>
      <c r="AA231" s="1742">
        <f t="array" ref="AA231">AA230/AA212</f>
        <v/>
      </c>
      <c r="AB231" s="1742">
        <f t="array" ref="AB231">AB230/AB212</f>
        <v/>
      </c>
      <c r="AC231" s="1742">
        <f t="array" ref="AC231">AC230/AC212</f>
        <v/>
      </c>
      <c r="AD231" s="1742">
        <f t="array" ref="AD231">AD230/AD212</f>
        <v/>
      </c>
      <c r="AE231" s="1742">
        <f t="array" ref="AE231">AE230/AE212</f>
        <v/>
      </c>
      <c r="AF231" s="1742">
        <f t="array" ref="AF231">AF230/AF212</f>
        <v/>
      </c>
      <c r="AG231" s="1742">
        <f t="array" ref="AG231">AG230/AG212</f>
        <v/>
      </c>
      <c r="AH231" s="1742">
        <f t="array" ref="AH231">AH230/AH212</f>
        <v/>
      </c>
      <c r="AI231" s="1742">
        <f t="array" ref="AI231">AI230/AI212</f>
        <v/>
      </c>
      <c r="AJ231" s="1742">
        <f t="array" ref="AJ231">AJ230/AJ212</f>
        <v/>
      </c>
      <c r="AK231" s="1742">
        <f t="array" ref="AK231">AK230/AK212</f>
        <v/>
      </c>
      <c r="AL231" s="1742">
        <f t="array" ref="AL231">AL230/AL212</f>
        <v/>
      </c>
      <c r="AM231" s="1742">
        <f t="array" ref="AM231">AM230/AM212</f>
        <v/>
      </c>
      <c r="AN231" s="1742">
        <f t="array" ref="AN231">AN230/AN212</f>
        <v/>
      </c>
      <c r="AO231" s="1742">
        <f t="array" ref="AO231">AO230/AO212</f>
        <v/>
      </c>
      <c r="AP231" s="1742">
        <f t="array" ref="AP231">AP230/AP212</f>
        <v/>
      </c>
      <c r="AQ231" s="1742">
        <f t="array" ref="AQ231">AQ230/AQ212</f>
        <v/>
      </c>
      <c r="AR231" s="1742">
        <f t="array" ref="AR231">AR230/AR212</f>
        <v/>
      </c>
      <c r="AS231" s="1742">
        <f t="array" ref="AS231">AS230/AS212</f>
        <v/>
      </c>
      <c r="AT231" s="1742">
        <f t="array" ref="AT231">AT230/AT212</f>
        <v/>
      </c>
      <c r="AU231" s="1742">
        <f t="array" ref="AU231">AU230/AU212</f>
        <v/>
      </c>
      <c r="AV231" s="1742">
        <f t="array" ref="AV231">AV230/AV212</f>
        <v/>
      </c>
      <c r="AW231" s="1740">
        <f t="array" ref="AW231">AW230/AW212</f>
        <v/>
      </c>
      <c r="AX231" s="1741">
        <f t="array" ref="AX231">AX230/AX212</f>
        <v/>
      </c>
      <c r="AY231" s="1741">
        <f t="array" ref="AY231">AY230/AY212</f>
        <v/>
      </c>
      <c r="AZ231" s="1741">
        <f t="array" ref="AZ231">AZ230/AZ212</f>
        <v/>
      </c>
      <c r="BA231" s="1844">
        <f t="array" ref="BA231">BA230/BA212</f>
        <v/>
      </c>
      <c r="BB231" s="1740">
        <f t="array" ref="BB231">BB230/BB212</f>
        <v/>
      </c>
      <c r="BC231" s="1741">
        <f t="array" ref="BC231">BC230/BC212</f>
        <v/>
      </c>
      <c r="BD231" s="1741" t="n"/>
      <c r="BE231" s="1741" t="n"/>
      <c r="BF231" s="1844">
        <f t="array" ref="BF231">BF230/BF212</f>
        <v/>
      </c>
      <c r="BG231" s="33" t="n"/>
      <c r="BH231" s="33" t="n"/>
      <c r="BI231" s="33" t="n"/>
      <c r="BJ231" s="33" t="n"/>
      <c r="BK231" s="1742">
        <f t="array" ref="BK231">BK230/BK212</f>
        <v/>
      </c>
      <c r="BL231" s="33" t="n"/>
      <c r="BM231" s="33" t="n"/>
      <c r="BN231" s="33" t="n"/>
      <c r="BO231" s="33" t="n"/>
      <c r="BP231" s="1742">
        <f t="array" ref="BP231">BP230/BP212</f>
        <v/>
      </c>
      <c r="BQ231" s="33" t="n"/>
      <c r="BR231" s="33" t="n"/>
      <c r="BS231" s="33" t="n"/>
      <c r="BT231" s="33" t="n"/>
      <c r="BU231" s="1742">
        <f t="array" ref="BU231">BU230/BU212</f>
        <v/>
      </c>
      <c r="BV231" s="33" t="n"/>
      <c r="BW231" s="33" t="n"/>
      <c r="BX231" s="33" t="n"/>
      <c r="BY231" s="33" t="n"/>
      <c r="BZ231" s="1742">
        <f t="array" ref="BZ231">BZ230/BZ212</f>
        <v/>
      </c>
      <c r="CA231" s="558" t="n"/>
      <c r="CB231" s="319" t="n"/>
      <c r="CC231" s="701" t="n"/>
      <c r="CD231" s="701" t="n"/>
      <c r="CE231" s="701" t="n"/>
      <c r="CF231" s="701" t="n"/>
      <c r="CG231" s="701" t="n"/>
      <c r="CH231" s="701" t="n"/>
      <c r="CI231" s="701" t="n"/>
      <c r="CJ231" s="701" t="n"/>
      <c r="CK231" s="701" t="n"/>
      <c r="CL231" s="701" t="n"/>
      <c r="CM231" s="701" t="n"/>
      <c r="CN231" s="701" t="n"/>
      <c r="CO231" s="701" t="n"/>
      <c r="CP231" s="701" t="n"/>
      <c r="CQ231" s="701" t="n"/>
      <c r="CR231" s="701" t="n"/>
      <c r="CS231" s="701" t="n"/>
      <c r="CT231" s="701" t="n"/>
      <c r="CU231" s="701" t="n"/>
      <c r="CV231" s="701" t="n"/>
      <c r="CW231" s="30" t="n"/>
    </row>
    <row r="232" ht="12.75" customHeight="1" s="1676">
      <c r="A232" s="31" t="n"/>
      <c r="B232" s="103" t="inlineStr">
        <is>
          <t>Text_183</t>
        </is>
      </c>
      <c r="C232" s="699" t="n"/>
      <c r="D232" s="1980" t="n">
        <v>0</v>
      </c>
      <c r="E232" s="1980" t="n">
        <v>0</v>
      </c>
      <c r="F232" s="1980" t="n">
        <v>0</v>
      </c>
      <c r="G232" s="1980" t="n">
        <v>0</v>
      </c>
      <c r="H232" s="1980" t="n"/>
      <c r="I232" s="1980">
        <f t="array" ref="I232">(I231-D231)*10000</f>
        <v/>
      </c>
      <c r="J232" s="1980">
        <f t="array" ref="J232">(J231-E231)*10000</f>
        <v/>
      </c>
      <c r="K232" s="1980">
        <f t="array" ref="K232">(K231-F231)*10000</f>
        <v/>
      </c>
      <c r="L232" s="1980">
        <f t="array" ref="L232">(L231-G231)*10000</f>
        <v/>
      </c>
      <c r="M232" s="1980">
        <f t="array" ref="M232">(M231-H231)*10000</f>
        <v/>
      </c>
      <c r="N232" s="1980">
        <f t="array" ref="N232">(N231-I231)*10000</f>
        <v/>
      </c>
      <c r="O232" s="1980">
        <f t="array" ref="O232">(O231-J231)*10000</f>
        <v/>
      </c>
      <c r="P232" s="1980">
        <f t="array" ref="P232">(P231-K231)*10000</f>
        <v/>
      </c>
      <c r="Q232" s="1980">
        <f t="array" ref="Q232">(Q231-L231)*10000</f>
        <v/>
      </c>
      <c r="R232" s="1980">
        <f t="array" ref="R232">(R231-M231)*10000</f>
        <v/>
      </c>
      <c r="S232" s="1980">
        <f t="array" ref="S232">(S231-N231)*10000</f>
        <v/>
      </c>
      <c r="T232" s="1980">
        <f t="array" ref="T232">(T231-O231)*10000</f>
        <v/>
      </c>
      <c r="U232" s="1980">
        <f t="array" ref="U232">(U231-P231)*10000</f>
        <v/>
      </c>
      <c r="V232" s="1980">
        <f t="array" ref="V232">(V231-Q231)*10000</f>
        <v/>
      </c>
      <c r="W232" s="1980">
        <f t="array" ref="W232">(W231-R231)*10000</f>
        <v/>
      </c>
      <c r="X232" s="1980">
        <f t="array" ref="X232">(X231-S231)*10000</f>
        <v/>
      </c>
      <c r="Y232" s="1980">
        <f t="array" ref="Y232">(Y231-T231)*10000</f>
        <v/>
      </c>
      <c r="Z232" s="1980">
        <f t="array" ref="Z232">(Z231-U231)*10000</f>
        <v/>
      </c>
      <c r="AA232" s="1980">
        <f t="array" ref="AA232">(AA231-V231)*10000</f>
        <v/>
      </c>
      <c r="AB232" s="1980">
        <f t="array" ref="AB232">(AB231-W231)*10000</f>
        <v/>
      </c>
      <c r="AC232" s="1980">
        <f t="array" ref="AC232">(AC231-X231)*10000</f>
        <v/>
      </c>
      <c r="AD232" s="1980">
        <f t="array" ref="AD232">(AD231-Y231)*10000</f>
        <v/>
      </c>
      <c r="AE232" s="1980">
        <f t="array" ref="AE232">(AE231-Z231)*10000</f>
        <v/>
      </c>
      <c r="AF232" s="1980">
        <f t="array" ref="AF232">(AF231-AA231)*10000</f>
        <v/>
      </c>
      <c r="AG232" s="1980">
        <f t="array" ref="AG232">(AG231-AB231)*10000</f>
        <v/>
      </c>
      <c r="AH232" s="1980">
        <f t="array" ref="AH232">(AH231-AC231)*10000</f>
        <v/>
      </c>
      <c r="AI232" s="1980">
        <f t="array" ref="AI232">(AI231-AD231)*10000</f>
        <v/>
      </c>
      <c r="AJ232" s="1980">
        <f t="array" ref="AJ232">(AJ231-AE231)*10000</f>
        <v/>
      </c>
      <c r="AK232" s="1980">
        <f t="array" ref="AK232">(AK231-AF231)*10000</f>
        <v/>
      </c>
      <c r="AL232" s="1980">
        <f t="array" ref="AL232">(AL231-AG231)*10000</f>
        <v/>
      </c>
      <c r="AM232" s="1980">
        <f t="array" ref="AM232">(AM231-AH231)*10000</f>
        <v/>
      </c>
      <c r="AN232" s="1980">
        <f t="array" ref="AN232">(AN231-AI231)*10000</f>
        <v/>
      </c>
      <c r="AO232" s="1980">
        <f t="array" ref="AO232">(AO231-AJ231)*10000</f>
        <v/>
      </c>
      <c r="AP232" s="1980">
        <f t="array" ref="AP232">(AP231-AK231)*10000</f>
        <v/>
      </c>
      <c r="AQ232" s="1980">
        <f t="array" ref="AQ232">(AQ231-AL231)*10000</f>
        <v/>
      </c>
      <c r="AR232" s="1980">
        <f t="array" ref="AR232">(AR231-AM231)*10000</f>
        <v/>
      </c>
      <c r="AS232" s="1980">
        <f t="array" ref="AS232">(AS231-AN231)*10000</f>
        <v/>
      </c>
      <c r="AT232" s="1980">
        <f t="array" ref="AT232">(AT231-AO231)*10000</f>
        <v/>
      </c>
      <c r="AU232" s="1980">
        <f t="array" ref="AU232">(AU231-AP231)*10000</f>
        <v/>
      </c>
      <c r="AV232" s="1980">
        <f t="array" ref="AV232">(AV231-AQ231)*10000</f>
        <v/>
      </c>
      <c r="AW232" s="1981">
        <f t="array" ref="AW232">(AW231-AR231)*10000</f>
        <v/>
      </c>
      <c r="AX232" s="1982">
        <f t="array" ref="AX232">(AX231-AS231)*10000</f>
        <v/>
      </c>
      <c r="AY232" s="1982">
        <f t="array" ref="AY232">(AY231-AT231)*10000</f>
        <v/>
      </c>
      <c r="AZ232" s="1982">
        <f t="array" ref="AZ232">(AZ231-AU231)*10000</f>
        <v/>
      </c>
      <c r="BA232" s="1983">
        <f t="array" ref="BA232">(BA231-AV231)*10000</f>
        <v/>
      </c>
      <c r="BB232" s="1981">
        <f t="array" ref="BB232">(BB231-AW231)*10000</f>
        <v/>
      </c>
      <c r="BC232" s="1982">
        <f t="array" ref="BC232">(BC231-AX231)*10000</f>
        <v/>
      </c>
      <c r="BD232" s="1982" t="n"/>
      <c r="BE232" s="1982" t="n"/>
      <c r="BF232" s="1983">
        <f t="array" ref="BF232">(BF231-BA231)*10000</f>
        <v/>
      </c>
      <c r="BG232" s="699" t="n"/>
      <c r="BH232" s="699" t="n"/>
      <c r="BI232" s="699" t="n"/>
      <c r="BJ232" s="699" t="n"/>
      <c r="BK232" s="1980">
        <f t="array" ref="BK232">(BK231-BF231)*10000</f>
        <v/>
      </c>
      <c r="BL232" s="699" t="n"/>
      <c r="BM232" s="699" t="n"/>
      <c r="BN232" s="699" t="n"/>
      <c r="BO232" s="699" t="n"/>
      <c r="BP232" s="1980">
        <f t="array" ref="BP232">(BP231-BK231)*10000</f>
        <v/>
      </c>
      <c r="BQ232" s="699" t="n"/>
      <c r="BR232" s="699" t="n"/>
      <c r="BS232" s="699" t="n"/>
      <c r="BT232" s="699" t="n"/>
      <c r="BU232" s="1980">
        <f t="array" ref="BU232">(BU231-BP231)*10000</f>
        <v/>
      </c>
      <c r="BV232" s="699" t="n"/>
      <c r="BW232" s="699" t="n"/>
      <c r="BX232" s="699" t="n"/>
      <c r="BY232" s="699" t="n"/>
      <c r="BZ232" s="1980">
        <f t="array" ref="BZ232">(BZ231-BU231)*10000</f>
        <v/>
      </c>
      <c r="CA232" s="559" t="n"/>
      <c r="CB232" s="319" t="n"/>
      <c r="CC232" s="701" t="n"/>
      <c r="CD232" s="701" t="n"/>
      <c r="CE232" s="701" t="n"/>
      <c r="CF232" s="701" t="n"/>
      <c r="CG232" s="701" t="n"/>
      <c r="CH232" s="701" t="n"/>
      <c r="CI232" s="701" t="n"/>
      <c r="CJ232" s="701" t="n"/>
      <c r="CK232" s="701" t="n"/>
      <c r="CL232" s="701" t="n"/>
      <c r="CM232" s="701" t="n"/>
      <c r="CN232" s="701" t="n"/>
      <c r="CO232" s="701" t="n"/>
      <c r="CP232" s="701" t="n"/>
      <c r="CQ232" s="701" t="n"/>
      <c r="CR232" s="701" t="n"/>
      <c r="CS232" s="701" t="n"/>
      <c r="CT232" s="701" t="n"/>
      <c r="CU232" s="701" t="n"/>
      <c r="CV232" s="701" t="n"/>
      <c r="CW232" s="30" t="n"/>
    </row>
    <row r="233" ht="12.75" customHeight="1" s="1676">
      <c r="A233" s="31" t="n"/>
      <c r="B233" s="103" t="inlineStr">
        <is>
          <t>Text_24</t>
        </is>
      </c>
      <c r="C233" s="699" t="n"/>
      <c r="D233" s="1751" t="n"/>
      <c r="E233" s="1751" t="n"/>
      <c r="F233" s="1751" t="n"/>
      <c r="G233" s="1751" t="n"/>
      <c r="H233" s="1751" t="n"/>
      <c r="I233" s="1751">
        <f t="array" ref="I233">I230/D230-1</f>
        <v/>
      </c>
      <c r="J233" s="1751">
        <f t="array" ref="J233">J230/E230-1</f>
        <v/>
      </c>
      <c r="K233" s="1751">
        <f t="array" ref="K233">K230/F230-1</f>
        <v/>
      </c>
      <c r="L233" s="1751">
        <f t="array" ref="L233">L230/G230-1</f>
        <v/>
      </c>
      <c r="M233" s="1751">
        <f t="array" ref="M233">M230/H230-1</f>
        <v/>
      </c>
      <c r="N233" s="1751">
        <f t="array" ref="N233">N230/I230-1</f>
        <v/>
      </c>
      <c r="O233" s="1751">
        <f t="array" ref="O233">O230/J230-1</f>
        <v/>
      </c>
      <c r="P233" s="1751">
        <f t="array" ref="P233">P230/K230-1</f>
        <v/>
      </c>
      <c r="Q233" s="1751">
        <f t="array" ref="Q233">Q230/L230-1</f>
        <v/>
      </c>
      <c r="R233" s="1751">
        <f t="array" ref="R233">R230/M230-1</f>
        <v/>
      </c>
      <c r="S233" s="1751">
        <f t="array" ref="S233">S230/N230-1</f>
        <v/>
      </c>
      <c r="T233" s="1751">
        <f t="array" ref="T233">T230/O230-1</f>
        <v/>
      </c>
      <c r="U233" s="1751">
        <f t="array" ref="U233">U230/P230-1</f>
        <v/>
      </c>
      <c r="V233" s="1751">
        <f t="array" ref="V233">V230/Q230-1</f>
        <v/>
      </c>
      <c r="W233" s="1751">
        <f t="array" ref="W233">W230/R230-1</f>
        <v/>
      </c>
      <c r="X233" s="1751">
        <f t="array" ref="X233">X230/S230-1</f>
        <v/>
      </c>
      <c r="Y233" s="1751">
        <f t="array" ref="Y233">Y230/T230-1</f>
        <v/>
      </c>
      <c r="Z233" s="1751">
        <f t="array" ref="Z233">Z230/U230-1</f>
        <v/>
      </c>
      <c r="AA233" s="1751">
        <f t="array" ref="AA233">AA230/V230-1</f>
        <v/>
      </c>
      <c r="AB233" s="1751">
        <f t="array" ref="AB233">AB230/W230-1</f>
        <v/>
      </c>
      <c r="AC233" s="1751">
        <f t="array" ref="AC233">AC230/X230-1</f>
        <v/>
      </c>
      <c r="AD233" s="1751">
        <f t="array" ref="AD233">AD230/Y230-1</f>
        <v/>
      </c>
      <c r="AE233" s="1751">
        <f t="array" ref="AE233">AE230/Z230-1</f>
        <v/>
      </c>
      <c r="AF233" s="1751">
        <f t="array" ref="AF233">AF230/AA230-1</f>
        <v/>
      </c>
      <c r="AG233" s="1751">
        <f t="array" ref="AG233">AG230/AB230-1</f>
        <v/>
      </c>
      <c r="AH233" s="1751">
        <f t="array" ref="AH233">AH230/AC230-1</f>
        <v/>
      </c>
      <c r="AI233" s="1751">
        <f t="array" ref="AI233">AI230/AD230-1</f>
        <v/>
      </c>
      <c r="AJ233" s="1751">
        <f t="array" ref="AJ233">AJ230/AE230-1</f>
        <v/>
      </c>
      <c r="AK233" s="1751">
        <f t="array" ref="AK233">AK230/AF230-1</f>
        <v/>
      </c>
      <c r="AL233" s="1751">
        <f t="array" ref="AL233">AL230/AG230-1</f>
        <v/>
      </c>
      <c r="AM233" s="1751">
        <f t="array" ref="AM233">AM230/AH230-1</f>
        <v/>
      </c>
      <c r="AN233" s="1751">
        <f t="array" ref="AN233">AN230/AI230-1</f>
        <v/>
      </c>
      <c r="AO233" s="1751">
        <f t="array" ref="AO233">AO230/AJ230-1</f>
        <v/>
      </c>
      <c r="AP233" s="1751">
        <f t="array" ref="AP233">AP230/AK230-1</f>
        <v/>
      </c>
      <c r="AQ233" s="1751">
        <f t="array" ref="AQ233">AQ230/AL230-1</f>
        <v/>
      </c>
      <c r="AR233" s="1751">
        <f t="array" ref="AR233">AR230/AM230-1</f>
        <v/>
      </c>
      <c r="AS233" s="1751">
        <f t="array" ref="AS233">AS230/AN230-1</f>
        <v/>
      </c>
      <c r="AT233" s="1751">
        <f t="array" ref="AT233">AT230/AO230-1</f>
        <v/>
      </c>
      <c r="AU233" s="1751">
        <f t="array" ref="AU233">AU230/AP230-1</f>
        <v/>
      </c>
      <c r="AV233" s="1751">
        <f t="array" ref="AV233">AV230/AQ230-1</f>
        <v/>
      </c>
      <c r="AW233" s="1749">
        <f t="array" ref="AW233">AW230/AR230-1</f>
        <v/>
      </c>
      <c r="AX233" s="1750">
        <f t="array" ref="AX233">AX230/AS230-1</f>
        <v/>
      </c>
      <c r="AY233" s="1750">
        <f t="array" ref="AY233">AY230/AT230-1</f>
        <v/>
      </c>
      <c r="AZ233" s="1750">
        <f t="array" ref="AZ233">AZ230/AU230-1</f>
        <v/>
      </c>
      <c r="BA233" s="1784">
        <f t="array" ref="BA233">BA230/AV230-1</f>
        <v/>
      </c>
      <c r="BB233" s="1749">
        <f t="array" ref="BB233">BB230/AW230-1</f>
        <v/>
      </c>
      <c r="BC233" s="1750">
        <f t="array" ref="BC233">BC230/AX230-1</f>
        <v/>
      </c>
      <c r="BD233" s="1750" t="n"/>
      <c r="BE233" s="1750" t="n"/>
      <c r="BF233" s="1784">
        <f t="array" ref="BF233">BF230/BA230-1</f>
        <v/>
      </c>
      <c r="BG233" s="699" t="n"/>
      <c r="BH233" s="699" t="n"/>
      <c r="BI233" s="699" t="n"/>
      <c r="BJ233" s="699" t="n"/>
      <c r="BK233" s="1751">
        <f t="array" ref="BK233">BK230/BF230-1</f>
        <v/>
      </c>
      <c r="BL233" s="699" t="n"/>
      <c r="BM233" s="699" t="n"/>
      <c r="BN233" s="699" t="n"/>
      <c r="BO233" s="699" t="n"/>
      <c r="BP233" s="1751">
        <f t="array" ref="BP233">BP230/BK230-1</f>
        <v/>
      </c>
      <c r="BQ233" s="699" t="n"/>
      <c r="BR233" s="699" t="n"/>
      <c r="BS233" s="699" t="n"/>
      <c r="BT233" s="699" t="n"/>
      <c r="BU233" s="1751">
        <f t="array" ref="BU233">BU230/BP230-1</f>
        <v/>
      </c>
      <c r="BV233" s="699" t="n"/>
      <c r="BW233" s="699" t="n"/>
      <c r="BX233" s="699" t="n"/>
      <c r="BY233" s="699" t="n"/>
      <c r="BZ233" s="1751">
        <f t="array" ref="BZ233">BZ230/BU230-1</f>
        <v/>
      </c>
      <c r="CA233" s="699" t="n"/>
      <c r="CB233" s="319" t="n"/>
      <c r="CC233" s="701" t="n"/>
      <c r="CD233" s="701" t="n"/>
      <c r="CE233" s="701" t="n"/>
      <c r="CF233" s="701" t="n"/>
      <c r="CG233" s="701" t="n"/>
      <c r="CH233" s="701" t="n"/>
      <c r="CI233" s="701" t="n"/>
      <c r="CJ233" s="701" t="n"/>
      <c r="CK233" s="701" t="n"/>
      <c r="CL233" s="701" t="n"/>
      <c r="CM233" s="701" t="n"/>
      <c r="CN233" s="701" t="n"/>
      <c r="CO233" s="701" t="n"/>
      <c r="CP233" s="701" t="n"/>
      <c r="CQ233" s="701" t="n"/>
      <c r="CR233" s="701" t="n"/>
      <c r="CS233" s="701" t="n"/>
      <c r="CT233" s="701" t="n"/>
      <c r="CU233" s="701" t="n"/>
      <c r="CV233" s="701" t="n"/>
      <c r="CW233" s="30" t="n"/>
    </row>
    <row r="234" ht="12.75" customHeight="1" s="1676">
      <c r="A234" s="31" t="n"/>
      <c r="B234" s="522" t="inlineStr">
        <is>
          <t>Text_195</t>
        </is>
      </c>
      <c r="C234" s="699" t="n"/>
      <c r="D234" s="1797" t="n"/>
      <c r="E234" s="1797" t="n"/>
      <c r="F234" s="1797" t="n"/>
      <c r="G234" s="1797" t="n"/>
      <c r="H234" s="1797" t="n"/>
      <c r="I234" s="1797" t="n">
        <v>18.2187989589209</v>
      </c>
      <c r="J234" s="1797" t="n">
        <v>17.8822673309096</v>
      </c>
      <c r="K234" s="1797" t="n">
        <v>13.8980989898001</v>
      </c>
      <c r="L234" s="1797" t="n">
        <v>15.9208248269366</v>
      </c>
      <c r="M234" s="1797" t="n">
        <v>-79.5128612280207</v>
      </c>
      <c r="N234" s="1797" t="n">
        <v>12.079294449246</v>
      </c>
      <c r="O234" s="1797" t="n">
        <v>15.9201562978434</v>
      </c>
      <c r="P234" s="1797" t="n">
        <v>13.8785462454745</v>
      </c>
      <c r="Q234" s="1797" t="n">
        <v>16.4333078606813</v>
      </c>
      <c r="R234" s="1797" t="n">
        <v>-50.3670540889916</v>
      </c>
      <c r="S234" s="1797" t="n">
        <v>16.4594839207681</v>
      </c>
      <c r="T234" s="1797" t="n">
        <v>18.3115198488096</v>
      </c>
      <c r="U234" s="1797" t="n">
        <v>19.1788613342782</v>
      </c>
      <c r="V234" s="1797" t="n">
        <v>16.0876818784134</v>
      </c>
      <c r="W234" s="1797" t="n">
        <v>-62.6131611628417</v>
      </c>
      <c r="X234" s="1797" t="n">
        <v>16.8453234212468</v>
      </c>
      <c r="Y234" s="1797" t="n">
        <v>18.1383648738683</v>
      </c>
      <c r="Z234" s="1797" t="n">
        <v>75.5193731367555</v>
      </c>
      <c r="AA234" s="1797" t="n">
        <v>103.863231806556</v>
      </c>
      <c r="AB234" s="1797" t="n">
        <v>-273.427031424368</v>
      </c>
      <c r="AC234" s="1797" t="n">
        <v>106.06202533228</v>
      </c>
      <c r="AD234" s="1797" t="n">
        <v>94.78497443856109</v>
      </c>
      <c r="AE234" s="1797" t="n">
        <v>72.66528229803551</v>
      </c>
      <c r="AF234" s="1745" t="n">
        <v>83.9537769455021</v>
      </c>
      <c r="AG234" s="1797" t="n">
        <v>-333.27284500941</v>
      </c>
      <c r="AH234" s="1797" t="n">
        <v>84.90944781592169</v>
      </c>
      <c r="AI234" s="1797" t="n">
        <v>70.99808358186419</v>
      </c>
      <c r="AJ234" s="1797" t="n">
        <v>89.691647649134</v>
      </c>
      <c r="AK234" s="1745" t="n">
        <v>101.556549458124</v>
      </c>
      <c r="AL234" s="1797" t="n">
        <v>-273.096303989433</v>
      </c>
      <c r="AM234" s="1797" t="n">
        <v>-101.014329200956</v>
      </c>
      <c r="AN234" s="1797" t="n">
        <v>-82.3595766000152</v>
      </c>
      <c r="AO234" s="1797" t="n">
        <v>-105.789561247688</v>
      </c>
      <c r="AP234" s="1745">
        <f t="array" ref="AP234">AQ234-AO234-AN234-AM234</f>
        <v/>
      </c>
      <c r="AQ234" s="1797" t="n">
        <v>-404.385228527868</v>
      </c>
      <c r="AR234" s="1797" t="n">
        <v>-104.670601444984</v>
      </c>
      <c r="AS234" s="1797" t="n">
        <v>-113.380560300474</v>
      </c>
      <c r="AT234" s="1797" t="n">
        <v>-120.729548265877</v>
      </c>
      <c r="AU234" s="1745">
        <f t="array" ref="AU234">AV234-AT234-AS234-AR234</f>
        <v/>
      </c>
      <c r="AV234" s="1797" t="n">
        <v>-399.19596053661</v>
      </c>
      <c r="AW234" s="1975" t="n">
        <v>-95.31807073742409</v>
      </c>
      <c r="AX234" s="1854" t="n">
        <v>-105.703921421634</v>
      </c>
      <c r="AY234" s="1854" t="n">
        <v>-111.486084693966</v>
      </c>
      <c r="AZ234" s="1854" t="n">
        <v>-111.597424359029</v>
      </c>
      <c r="BA234" s="1748">
        <f t="array" ref="BA234">AZ234+AY234+AX234+AW234</f>
        <v/>
      </c>
      <c r="BB234" s="1975" t="n">
        <v>-107.237958909832</v>
      </c>
      <c r="BC234" s="1854" t="n">
        <v>-101.244275696796</v>
      </c>
      <c r="BD234" s="701" t="n"/>
      <c r="BE234" s="701" t="n"/>
      <c r="BF234" s="1865">
        <f t="array" ref="BF234">BA234</f>
        <v/>
      </c>
      <c r="BG234" s="699" t="n"/>
      <c r="BH234" s="699" t="n"/>
      <c r="BI234" s="699" t="n"/>
      <c r="BJ234" s="699" t="n"/>
      <c r="BK234" s="1862">
        <f t="array" ref="BK234">BF234</f>
        <v/>
      </c>
      <c r="BL234" s="699" t="n"/>
      <c r="BM234" s="699" t="n"/>
      <c r="BN234" s="699" t="n"/>
      <c r="BO234" s="699" t="n"/>
      <c r="BP234" s="1862">
        <f t="array" ref="BP234">BK234</f>
        <v/>
      </c>
      <c r="BQ234" s="699" t="n"/>
      <c r="BR234" s="699" t="n"/>
      <c r="BS234" s="699" t="n"/>
      <c r="BT234" s="699" t="n"/>
      <c r="BU234" s="1862">
        <f t="array" ref="BU234">BP234</f>
        <v/>
      </c>
      <c r="BV234" s="699" t="n"/>
      <c r="BW234" s="699" t="n"/>
      <c r="BX234" s="699" t="n"/>
      <c r="BY234" s="699" t="n"/>
      <c r="BZ234" s="1862">
        <f t="array" ref="BZ234">BU234</f>
        <v/>
      </c>
      <c r="CA234" s="524" t="n"/>
      <c r="CB234" s="319" t="n"/>
      <c r="CC234" s="701" t="n"/>
      <c r="CD234" s="701" t="n"/>
      <c r="CE234" s="701" t="n"/>
      <c r="CF234" s="701" t="n"/>
      <c r="CG234" s="701" t="n"/>
      <c r="CH234" s="701" t="n"/>
      <c r="CI234" s="701" t="n"/>
      <c r="CJ234" s="701" t="n"/>
      <c r="CK234" s="701" t="n"/>
      <c r="CL234" s="701" t="n"/>
      <c r="CM234" s="701" t="n"/>
      <c r="CN234" s="701" t="n"/>
      <c r="CO234" s="701" t="n"/>
      <c r="CP234" s="701" t="n"/>
      <c r="CQ234" s="701" t="n"/>
      <c r="CR234" s="701" t="n"/>
      <c r="CS234" s="701" t="n"/>
      <c r="CT234" s="701" t="n"/>
      <c r="CU234" s="701" t="n"/>
      <c r="CV234" s="701" t="n"/>
      <c r="CW234" s="30" t="n"/>
    </row>
    <row r="235" ht="12.75" customHeight="1" s="1676">
      <c r="A235" s="31" t="n"/>
      <c r="B235" s="103" t="inlineStr">
        <is>
          <t>Text_187</t>
        </is>
      </c>
      <c r="C235" s="699" t="n"/>
      <c r="D235" s="699" t="n"/>
      <c r="E235" s="699" t="n"/>
      <c r="F235" s="699" t="n"/>
      <c r="G235" s="699" t="n"/>
      <c r="H235" s="1751" t="n"/>
      <c r="I235" s="699" t="n"/>
      <c r="J235" s="699" t="n"/>
      <c r="K235" s="699" t="n"/>
      <c r="L235" s="699" t="n"/>
      <c r="M235" s="1751">
        <f t="array" ref="M235">-M234/M212</f>
        <v/>
      </c>
      <c r="N235" s="699" t="n"/>
      <c r="O235" s="699" t="n"/>
      <c r="P235" s="699" t="n"/>
      <c r="Q235" s="699" t="n"/>
      <c r="R235" s="1751">
        <f t="array" ref="R235">-R234/R212</f>
        <v/>
      </c>
      <c r="S235" s="699" t="n"/>
      <c r="T235" s="699" t="n"/>
      <c r="U235" s="699" t="n"/>
      <c r="V235" s="699" t="n"/>
      <c r="W235" s="1751">
        <f t="array" ref="W235">-W234/W212</f>
        <v/>
      </c>
      <c r="X235" s="1751" t="n"/>
      <c r="Y235" s="1751" t="n"/>
      <c r="Z235" s="1751" t="n"/>
      <c r="AA235" s="1751" t="n"/>
      <c r="AB235" s="1751">
        <f t="array" ref="AB235">-AB234/AB212</f>
        <v/>
      </c>
      <c r="AC235" s="1751">
        <f t="array" ref="AC235">-AC234/AC212</f>
        <v/>
      </c>
      <c r="AD235" s="1751">
        <f t="array" ref="AD235">-AD234/AD212</f>
        <v/>
      </c>
      <c r="AE235" s="1751">
        <f t="array" ref="AE235">-AE234/AE212</f>
        <v/>
      </c>
      <c r="AF235" s="1751">
        <f t="array" ref="AF235">-AF234/AF212</f>
        <v/>
      </c>
      <c r="AG235" s="1751">
        <f t="array" ref="AG235">-AG234/AG212</f>
        <v/>
      </c>
      <c r="AH235" s="1751">
        <f t="array" ref="AH235">-AH234/AH212</f>
        <v/>
      </c>
      <c r="AI235" s="1751">
        <f t="array" ref="AI235">-AI234/AI212</f>
        <v/>
      </c>
      <c r="AJ235" s="1751">
        <f t="array" ref="AJ235">-AJ234/AJ212</f>
        <v/>
      </c>
      <c r="AK235" s="1751">
        <f t="array" ref="AK235">-AK234/AK212</f>
        <v/>
      </c>
      <c r="AL235" s="1751">
        <f t="array" ref="AL235">-AL234/AL212</f>
        <v/>
      </c>
      <c r="AM235" s="1751">
        <f t="array" ref="AM235">-AM234/AM212</f>
        <v/>
      </c>
      <c r="AN235" s="1751">
        <f t="array" ref="AN235">-AN234/AN212</f>
        <v/>
      </c>
      <c r="AO235" s="1751">
        <f t="array" ref="AO235">-AO234/AO212</f>
        <v/>
      </c>
      <c r="AP235" s="1751">
        <f t="array" ref="AP235">-AP234/AP212</f>
        <v/>
      </c>
      <c r="AQ235" s="1751">
        <f t="array" ref="AQ235">-AQ234/AQ212</f>
        <v/>
      </c>
      <c r="AR235" s="1751">
        <f t="array" ref="AR235">-AR234/AR212</f>
        <v/>
      </c>
      <c r="AS235" s="1751">
        <f t="array" ref="AS235">-AS234/AS212</f>
        <v/>
      </c>
      <c r="AT235" s="1751">
        <f t="array" ref="AT235">-AT234/AT212</f>
        <v/>
      </c>
      <c r="AU235" s="1751">
        <f t="array" ref="AU235">-AU234/AU212</f>
        <v/>
      </c>
      <c r="AV235" s="1751">
        <f t="array" ref="AV235">-AV234/AV212</f>
        <v/>
      </c>
      <c r="AW235" s="1749">
        <f t="array" ref="AW235">-AW234/AW212</f>
        <v/>
      </c>
      <c r="AX235" s="1750">
        <f t="array" ref="AX235">-AX234/AX212</f>
        <v/>
      </c>
      <c r="AY235" s="1750">
        <f t="array" ref="AY235">-AY234/AY212</f>
        <v/>
      </c>
      <c r="AZ235" s="1750">
        <f t="array" ref="AZ235">-AZ234/AZ212</f>
        <v/>
      </c>
      <c r="BA235" s="1784">
        <f t="array" ref="BA235">-BA234/BA212</f>
        <v/>
      </c>
      <c r="BB235" s="1749">
        <f t="array" ref="BB235">-BB234/BB212</f>
        <v/>
      </c>
      <c r="BC235" s="1750">
        <f t="array" ref="BC235">-BC234/BC212</f>
        <v/>
      </c>
      <c r="BD235" s="1996" t="n"/>
      <c r="BE235" s="1996" t="n"/>
      <c r="BF235" s="1784">
        <f t="array" ref="BF235">-BF234/BF212</f>
        <v/>
      </c>
      <c r="BG235" s="1990" t="n"/>
      <c r="BH235" s="1990" t="n"/>
      <c r="BI235" s="1990" t="n"/>
      <c r="BJ235" s="1990" t="n"/>
      <c r="BK235" s="1751">
        <f t="array" ref="BK235">-BK234/BK212</f>
        <v/>
      </c>
      <c r="BL235" s="1990" t="n"/>
      <c r="BM235" s="1990" t="n"/>
      <c r="BN235" s="1990" t="n"/>
      <c r="BO235" s="1990" t="n"/>
      <c r="BP235" s="1751">
        <f t="array" ref="BP235">-BP234/BP212</f>
        <v/>
      </c>
      <c r="BQ235" s="1990" t="n"/>
      <c r="BR235" s="1990" t="n"/>
      <c r="BS235" s="1990" t="n"/>
      <c r="BT235" s="1990" t="n"/>
      <c r="BU235" s="1751">
        <f t="array" ref="BU235">-BU234/BU212</f>
        <v/>
      </c>
      <c r="BV235" s="1990" t="n"/>
      <c r="BW235" s="1990" t="n"/>
      <c r="BX235" s="1990" t="n"/>
      <c r="BY235" s="1990" t="n"/>
      <c r="BZ235" s="1751">
        <f t="array" ref="BZ235">-BZ234/BZ212</f>
        <v/>
      </c>
      <c r="CA235" s="561" t="n"/>
      <c r="CB235" s="319" t="n"/>
      <c r="CC235" s="701" t="n"/>
      <c r="CD235" s="701" t="n"/>
      <c r="CE235" s="701" t="n"/>
      <c r="CF235" s="701" t="n"/>
      <c r="CG235" s="701" t="n"/>
      <c r="CH235" s="701" t="n"/>
      <c r="CI235" s="701" t="n"/>
      <c r="CJ235" s="701" t="n"/>
      <c r="CK235" s="701" t="n"/>
      <c r="CL235" s="701" t="n"/>
      <c r="CM235" s="701" t="n"/>
      <c r="CN235" s="701" t="n"/>
      <c r="CO235" s="701" t="n"/>
      <c r="CP235" s="701" t="n"/>
      <c r="CQ235" s="701" t="n"/>
      <c r="CR235" s="701" t="n"/>
      <c r="CS235" s="701" t="n"/>
      <c r="CT235" s="701" t="n"/>
      <c r="CU235" s="701" t="n"/>
      <c r="CV235" s="701" t="n"/>
      <c r="CW235" s="30" t="n"/>
    </row>
    <row r="236" ht="12.75" customHeight="1" s="1676">
      <c r="A236" s="31" t="n"/>
      <c r="B236" s="551" t="inlineStr">
        <is>
          <t>Text_196</t>
        </is>
      </c>
      <c r="C236" s="805" t="n"/>
      <c r="D236" s="805" t="n"/>
      <c r="E236" s="805" t="n"/>
      <c r="F236" s="805" t="n"/>
      <c r="G236" s="805" t="n"/>
      <c r="H236" s="1956" t="n"/>
      <c r="I236" s="805" t="n"/>
      <c r="J236" s="805" t="n"/>
      <c r="K236" s="805" t="n"/>
      <c r="L236" s="805" t="n"/>
      <c r="M236" s="562">
        <f t="array" ref="M236">-M234/H376</f>
        <v/>
      </c>
      <c r="N236" s="805" t="n"/>
      <c r="O236" s="805" t="n"/>
      <c r="P236" s="805" t="n"/>
      <c r="Q236" s="805" t="n"/>
      <c r="R236" s="562">
        <f t="array" ref="R236">-R234/M376</f>
        <v/>
      </c>
      <c r="S236" s="805" t="n"/>
      <c r="T236" s="805" t="n"/>
      <c r="U236" s="805" t="n"/>
      <c r="V236" s="805" t="n"/>
      <c r="W236" s="562">
        <f t="array" ref="W236">-W234/R376</f>
        <v/>
      </c>
      <c r="X236" s="1956" t="n"/>
      <c r="Y236" s="1956" t="n"/>
      <c r="Z236" s="1956" t="n"/>
      <c r="AA236" s="1956" t="n"/>
      <c r="AB236" s="562">
        <f t="array" ref="AB236">-AB234/W376</f>
        <v/>
      </c>
      <c r="AC236" s="1956" t="n"/>
      <c r="AD236" s="1956" t="n"/>
      <c r="AE236" s="1956" t="n"/>
      <c r="AF236" s="1956" t="n"/>
      <c r="AG236" s="562">
        <f t="array" ref="AG236">-AG234/AB376</f>
        <v/>
      </c>
      <c r="AH236" s="1956" t="n"/>
      <c r="AI236" s="1956" t="n"/>
      <c r="AJ236" s="1956" t="n"/>
      <c r="AK236" s="1956" t="n"/>
      <c r="AL236" s="562">
        <f t="array" ref="AL236">-AL234/AG376</f>
        <v/>
      </c>
      <c r="AM236" s="563" t="n"/>
      <c r="AN236" s="1956" t="n"/>
      <c r="AO236" s="1956" t="n"/>
      <c r="AP236" s="1956" t="n"/>
      <c r="AQ236" s="562">
        <f t="array" ref="AQ236">-AQ234/AL376</f>
        <v/>
      </c>
      <c r="AR236" s="563" t="n"/>
      <c r="AS236" s="805" t="n"/>
      <c r="AT236" s="1956" t="n"/>
      <c r="AU236" s="1956" t="n"/>
      <c r="AV236" s="562">
        <f t="array" ref="AV236">-AV234/AQ376</f>
        <v/>
      </c>
      <c r="AW236" s="1958" t="n"/>
      <c r="AX236" s="1957" t="n"/>
      <c r="AY236" s="1957" t="n"/>
      <c r="AZ236" s="1957" t="n"/>
      <c r="BA236" s="564">
        <f t="array" ref="BA236">-BA234/AV376</f>
        <v/>
      </c>
      <c r="BB236" s="1958" t="n"/>
      <c r="BC236" s="1957" t="n"/>
      <c r="BD236" s="1957" t="n"/>
      <c r="BE236" s="1957" t="n"/>
      <c r="BF236" s="564">
        <f t="array" ref="BF236">-BF234/BA376</f>
        <v/>
      </c>
      <c r="BG236" s="1956" t="n"/>
      <c r="BH236" s="1956" t="n"/>
      <c r="BI236" s="1956" t="n"/>
      <c r="BJ236" s="1956" t="n"/>
      <c r="BK236" s="562">
        <f t="array" ref="BK236">-BK234/BF376</f>
        <v/>
      </c>
      <c r="BL236" s="1956" t="n"/>
      <c r="BM236" s="1956" t="n"/>
      <c r="BN236" s="1956" t="n"/>
      <c r="BO236" s="1956" t="n"/>
      <c r="BP236" s="562">
        <f t="array" ref="BP236">-BP234/BK376</f>
        <v/>
      </c>
      <c r="BQ236" s="1956" t="n"/>
      <c r="BR236" s="1956" t="n"/>
      <c r="BS236" s="1956" t="n"/>
      <c r="BT236" s="1956" t="n"/>
      <c r="BU236" s="562">
        <f t="array" ref="BU236">-BU234/BP376</f>
        <v/>
      </c>
      <c r="BV236" s="1956" t="n"/>
      <c r="BW236" s="1956" t="n"/>
      <c r="BX236" s="1956" t="n"/>
      <c r="BY236" s="1956" t="n"/>
      <c r="BZ236" s="562">
        <f t="array" ref="BZ236">-BZ234/BU376</f>
        <v/>
      </c>
      <c r="CA236" s="699" t="n"/>
      <c r="CB236" s="319" t="n"/>
      <c r="CC236" s="701" t="n"/>
      <c r="CD236" s="701" t="n"/>
      <c r="CE236" s="701" t="n"/>
      <c r="CF236" s="701" t="n"/>
      <c r="CG236" s="701" t="n"/>
      <c r="CH236" s="701" t="n"/>
      <c r="CI236" s="701" t="n"/>
      <c r="CJ236" s="701" t="n"/>
      <c r="CK236" s="701" t="n"/>
      <c r="CL236" s="701" t="n"/>
      <c r="CM236" s="701" t="n"/>
      <c r="CN236" s="701" t="n"/>
      <c r="CO236" s="701" t="n"/>
      <c r="CP236" s="701" t="n"/>
      <c r="CQ236" s="701" t="n"/>
      <c r="CR236" s="701" t="n"/>
      <c r="CS236" s="701" t="n"/>
      <c r="CT236" s="701" t="n"/>
      <c r="CU236" s="701" t="n"/>
      <c r="CV236" s="701" t="n"/>
      <c r="CW236" s="30" t="n"/>
    </row>
    <row r="237" hidden="1" ht="12.75" customHeight="1" s="1676">
      <c r="A237" s="31" t="n"/>
      <c r="B237" s="80" t="inlineStr">
        <is>
          <t>Text_197</t>
        </is>
      </c>
      <c r="C237" s="66" t="n"/>
      <c r="D237" s="1997" t="n"/>
      <c r="E237" s="1997" t="n"/>
      <c r="F237" s="1997" t="n"/>
      <c r="G237" s="1997" t="n"/>
      <c r="H237" s="1997" t="n"/>
      <c r="I237" s="1997" t="n"/>
      <c r="J237" s="1997" t="n"/>
      <c r="K237" s="1997" t="n"/>
      <c r="L237" s="1997" t="n"/>
      <c r="M237" s="1997" t="n"/>
      <c r="N237" s="1997" t="n"/>
      <c r="O237" s="1997" t="n"/>
      <c r="P237" s="1997" t="n"/>
      <c r="Q237" s="1997" t="n"/>
      <c r="R237" s="1997" t="n"/>
      <c r="S237" s="1997" t="n"/>
      <c r="T237" s="1997" t="n"/>
      <c r="U237" s="1997" t="n"/>
      <c r="V237" s="1997" t="n"/>
      <c r="W237" s="1997" t="n"/>
      <c r="X237" s="1997" t="n"/>
      <c r="Y237" s="1997" t="n"/>
      <c r="Z237" s="1997" t="n"/>
      <c r="AA237" s="1997" t="n"/>
      <c r="AB237" s="1997" t="n"/>
      <c r="AC237" s="1997" t="n"/>
      <c r="AD237" s="1997" t="n"/>
      <c r="AE237" s="1997" t="n"/>
      <c r="AF237" s="1997" t="n"/>
      <c r="AG237" s="1997" t="n"/>
      <c r="AH237" s="1997" t="n"/>
      <c r="AI237" s="1997" t="n"/>
      <c r="AJ237" s="1997" t="n"/>
      <c r="AK237" s="1997" t="n"/>
      <c r="AL237" s="1997" t="n"/>
      <c r="AM237" s="1997" t="n"/>
      <c r="AN237" s="1997" t="n"/>
      <c r="AO237" s="1997" t="n"/>
      <c r="AP237" s="1997" t="n"/>
      <c r="AQ237" s="1734">
        <f t="array" ref="AQ237">AP237+AO237+AN237+AM237</f>
        <v/>
      </c>
      <c r="AR237" s="1997" t="n"/>
      <c r="AS237" s="66" t="n"/>
      <c r="AT237" s="1997" t="n"/>
      <c r="AU237" s="1997" t="n"/>
      <c r="AV237" s="1734">
        <f t="array" ref="AV237">AU237+AT237+AS237+AR237</f>
        <v/>
      </c>
      <c r="AW237" s="72" t="n"/>
      <c r="AX237" s="69" t="n"/>
      <c r="AY237" s="69" t="n"/>
      <c r="AZ237" s="69" t="n"/>
      <c r="BA237" s="1998" t="n"/>
      <c r="BB237" s="72" t="n"/>
      <c r="BC237" s="69" t="n"/>
      <c r="BD237" s="69" t="n"/>
      <c r="BE237" s="69" t="n"/>
      <c r="BF237" s="1998" t="n"/>
      <c r="BG237" s="66" t="n"/>
      <c r="BH237" s="66" t="n"/>
      <c r="BI237" s="66" t="n"/>
      <c r="BJ237" s="66" t="n"/>
      <c r="BK237" s="1997" t="n"/>
      <c r="BL237" s="66" t="n"/>
      <c r="BM237" s="66" t="n"/>
      <c r="BN237" s="66" t="n"/>
      <c r="BO237" s="66" t="n"/>
      <c r="BP237" s="1997" t="n"/>
      <c r="BQ237" s="66" t="n"/>
      <c r="BR237" s="66" t="n"/>
      <c r="BS237" s="66" t="n"/>
      <c r="BT237" s="66" t="n"/>
      <c r="BU237" s="1997" t="n"/>
      <c r="BV237" s="66" t="n"/>
      <c r="BW237" s="66" t="n"/>
      <c r="BX237" s="66" t="n"/>
      <c r="BY237" s="66" t="n"/>
      <c r="BZ237" s="1997" t="n"/>
      <c r="CA237" s="561" t="n"/>
      <c r="CB237" s="319" t="n"/>
      <c r="CC237" s="701" t="n"/>
      <c r="CD237" s="701" t="n"/>
      <c r="CE237" s="701" t="n"/>
      <c r="CF237" s="701" t="n"/>
      <c r="CG237" s="701" t="n"/>
      <c r="CH237" s="701" t="n"/>
      <c r="CI237" s="701" t="n"/>
      <c r="CJ237" s="701" t="n"/>
      <c r="CK237" s="701" t="n"/>
      <c r="CL237" s="701" t="n"/>
      <c r="CM237" s="701" t="n"/>
      <c r="CN237" s="701" t="n"/>
      <c r="CO237" s="701" t="n"/>
      <c r="CP237" s="701" t="n"/>
      <c r="CQ237" s="701" t="n"/>
      <c r="CR237" s="701" t="n"/>
      <c r="CS237" s="701" t="n"/>
      <c r="CT237" s="701" t="n"/>
      <c r="CU237" s="701" t="n"/>
      <c r="CV237" s="701" t="n"/>
      <c r="CW237" s="30" t="n"/>
    </row>
    <row r="238" ht="12.75" customHeight="1" s="1676">
      <c r="A238" s="31" t="n"/>
      <c r="B238" s="250" t="inlineStr">
        <is>
          <t>Text_198</t>
        </is>
      </c>
      <c r="C238" s="66" t="n"/>
      <c r="D238" s="1806" t="n">
        <v>0</v>
      </c>
      <c r="E238" s="1806" t="n">
        <v>0</v>
      </c>
      <c r="F238" s="1806" t="n">
        <v>0</v>
      </c>
      <c r="G238" s="1806" t="n">
        <v>0</v>
      </c>
      <c r="H238" s="1807" t="n"/>
      <c r="I238" s="1807" t="n">
        <v>0</v>
      </c>
      <c r="J238" s="1807" t="n">
        <v>0</v>
      </c>
      <c r="K238" s="1807" t="n">
        <v>0</v>
      </c>
      <c r="L238" s="1807" t="n">
        <v>0</v>
      </c>
      <c r="M238" s="1807">
        <f t="array" ref="M238">M217+M227</f>
        <v/>
      </c>
      <c r="N238" s="1807" t="n">
        <v>0</v>
      </c>
      <c r="O238" s="1807" t="n">
        <v>0</v>
      </c>
      <c r="P238" s="1807" t="n">
        <v>0</v>
      </c>
      <c r="Q238" s="1807" t="n">
        <v>0</v>
      </c>
      <c r="R238" s="1807">
        <f t="array" ref="R238">R217+R227</f>
        <v/>
      </c>
      <c r="S238" s="1807" t="n">
        <v>0</v>
      </c>
      <c r="T238" s="1807" t="n">
        <v>0</v>
      </c>
      <c r="U238" s="1807" t="n">
        <v>0</v>
      </c>
      <c r="V238" s="1807" t="n">
        <v>0</v>
      </c>
      <c r="W238" s="1807">
        <f t="array" ref="W238">W217+W227</f>
        <v/>
      </c>
      <c r="X238" s="1807" t="n">
        <v>0</v>
      </c>
      <c r="Y238" s="1807" t="n">
        <v>0</v>
      </c>
      <c r="Z238" s="1807" t="n">
        <v>0</v>
      </c>
      <c r="AA238" s="1807" t="n">
        <v>0</v>
      </c>
      <c r="AB238" s="1807">
        <f t="array" ref="AB238">AB217+AB227</f>
        <v/>
      </c>
      <c r="AC238" s="1807" t="n">
        <v>0</v>
      </c>
      <c r="AD238" s="1807" t="n">
        <v>0</v>
      </c>
      <c r="AE238" s="1807" t="n">
        <v>0</v>
      </c>
      <c r="AF238" s="1807" t="n">
        <v>0</v>
      </c>
      <c r="AG238" s="1807">
        <f t="array" ref="AG238">AG286-AG285-AG284-AG283</f>
        <v/>
      </c>
      <c r="AH238" s="1807">
        <f t="array" ref="AH238">AH217+AH227</f>
        <v/>
      </c>
      <c r="AI238" s="1807">
        <f t="array" ref="AI238">AI217+AI227</f>
        <v/>
      </c>
      <c r="AJ238" s="1807">
        <f t="array" ref="AJ238">AJ217+AJ227</f>
        <v/>
      </c>
      <c r="AK238" s="1807">
        <f t="array" ref="AK238">AK217+AK227</f>
        <v/>
      </c>
      <c r="AL238" s="1807">
        <f t="array" ref="AL238">AL286-AL285-AL284-AL283</f>
        <v/>
      </c>
      <c r="AM238" s="1807">
        <f t="array" ref="AM238">AM217+AM227</f>
        <v/>
      </c>
      <c r="AN238" s="1807">
        <f t="array" ref="AN238">AN217+AN227</f>
        <v/>
      </c>
      <c r="AO238" s="1807">
        <f t="array" ref="AO238">AO217+AO227</f>
        <v/>
      </c>
      <c r="AP238" s="1807">
        <f t="array" ref="AP238">AP217+AP227</f>
        <v/>
      </c>
      <c r="AQ238" s="1807">
        <f t="array" ref="AQ238">AQ217+AQ227</f>
        <v/>
      </c>
      <c r="AR238" s="1807">
        <f t="array" ref="AR238">AR217+AR227</f>
        <v/>
      </c>
      <c r="AS238" s="1807">
        <f t="array" ref="AS238">AS217+AS227</f>
        <v/>
      </c>
      <c r="AT238" s="1807">
        <f t="array" ref="AT238">AT217+AT227</f>
        <v/>
      </c>
      <c r="AU238" s="1807">
        <f t="array" ref="AU238">AU217+AU227</f>
        <v/>
      </c>
      <c r="AV238" s="1807">
        <f t="array" ref="AV238">AV217+AV227</f>
        <v/>
      </c>
      <c r="AW238" s="1808">
        <f t="array" ref="AW238">AW217+AW227</f>
        <v/>
      </c>
      <c r="AX238" s="1809">
        <f t="array" ref="AX238">AX217+AX227</f>
        <v/>
      </c>
      <c r="AY238" s="1809">
        <f t="array" ref="AY238">AY217+AY227</f>
        <v/>
      </c>
      <c r="AZ238" s="1809">
        <f t="array" ref="AZ238">AZ217+AZ227</f>
        <v/>
      </c>
      <c r="BA238" s="1810">
        <f t="array" ref="BA238">BA217+BA227</f>
        <v/>
      </c>
      <c r="BB238" s="1808">
        <f t="array" ref="BB238">BB217+BB227</f>
        <v/>
      </c>
      <c r="BC238" s="1809">
        <f t="array" ref="BC238">BC217+BC227</f>
        <v/>
      </c>
      <c r="BD238" s="1809">
        <f t="array" ref="BD238">BD217+BD227</f>
        <v/>
      </c>
      <c r="BE238" s="1809">
        <f t="array" ref="BE238">BE217+BE227</f>
        <v/>
      </c>
      <c r="BF238" s="1810">
        <f t="array" ref="BF238">BF217+BF227</f>
        <v/>
      </c>
      <c r="BG238" s="1999" t="n"/>
      <c r="BH238" s="1999" t="n"/>
      <c r="BI238" s="1999" t="n"/>
      <c r="BJ238" s="1999" t="n"/>
      <c r="BK238" s="1807">
        <f t="array" ref="BK238">BK217+BK227</f>
        <v/>
      </c>
      <c r="BL238" s="1999" t="n"/>
      <c r="BM238" s="1999" t="n"/>
      <c r="BN238" s="1999" t="n"/>
      <c r="BO238" s="1999" t="n"/>
      <c r="BP238" s="1807">
        <f t="array" ref="BP238">BP217+BP227</f>
        <v/>
      </c>
      <c r="BQ238" s="1999" t="n"/>
      <c r="BR238" s="1999" t="n"/>
      <c r="BS238" s="1999" t="n"/>
      <c r="BT238" s="1999" t="n"/>
      <c r="BU238" s="1807">
        <f t="array" ref="BU238">BU217+BU227</f>
        <v/>
      </c>
      <c r="BV238" s="1999" t="n"/>
      <c r="BW238" s="1999" t="n"/>
      <c r="BX238" s="1999" t="n"/>
      <c r="BY238" s="1999" t="n"/>
      <c r="BZ238" s="1807">
        <f t="array" ref="BZ238">BZ217+BZ227</f>
        <v/>
      </c>
      <c r="CA238" s="568" t="n"/>
      <c r="CB238" s="319" t="n"/>
      <c r="CC238" s="701" t="n"/>
      <c r="CD238" s="701" t="n"/>
      <c r="CE238" s="701" t="n"/>
      <c r="CF238" s="701" t="n"/>
      <c r="CG238" s="701" t="n"/>
      <c r="CH238" s="701" t="n"/>
      <c r="CI238" s="701" t="n"/>
      <c r="CJ238" s="701" t="n"/>
      <c r="CK238" s="701" t="n"/>
      <c r="CL238" s="701" t="n"/>
      <c r="CM238" s="701" t="n"/>
      <c r="CN238" s="701" t="n"/>
      <c r="CO238" s="701" t="n"/>
      <c r="CP238" s="701" t="n"/>
      <c r="CQ238" s="701" t="n"/>
      <c r="CR238" s="701" t="n"/>
      <c r="CS238" s="701" t="n"/>
      <c r="CT238" s="701" t="n"/>
      <c r="CU238" s="701" t="n"/>
      <c r="CV238" s="701" t="n"/>
      <c r="CW238" s="30" t="n"/>
    </row>
    <row r="239" ht="12.75" customHeight="1" s="1676">
      <c r="A239" s="31" t="n"/>
      <c r="B239" s="569" t="inlineStr">
        <is>
          <t>Text_199</t>
        </is>
      </c>
      <c r="C239" s="33" t="n"/>
      <c r="D239" s="1742">
        <f t="array" ref="D239">D238/D212</f>
        <v/>
      </c>
      <c r="E239" s="1742">
        <f t="array" ref="E239">E238/E212</f>
        <v/>
      </c>
      <c r="F239" s="1742">
        <f t="array" ref="F239">F238/F212</f>
        <v/>
      </c>
      <c r="G239" s="1742">
        <f t="array" ref="G239">G238/G212</f>
        <v/>
      </c>
      <c r="H239" s="1742" t="n"/>
      <c r="I239" s="1742">
        <f t="array" ref="I239">I238/I212</f>
        <v/>
      </c>
      <c r="J239" s="1742">
        <f t="array" ref="J239">J238/J212</f>
        <v/>
      </c>
      <c r="K239" s="1742">
        <f t="array" ref="K239">K238/K212</f>
        <v/>
      </c>
      <c r="L239" s="1742">
        <f t="array" ref="L239">L238/L212</f>
        <v/>
      </c>
      <c r="M239" s="1742">
        <f t="array" ref="M239">M238/M212</f>
        <v/>
      </c>
      <c r="N239" s="1742">
        <f t="array" ref="N239">N238/N212</f>
        <v/>
      </c>
      <c r="O239" s="1742">
        <f t="array" ref="O239">O238/O212</f>
        <v/>
      </c>
      <c r="P239" s="1742">
        <f t="array" ref="P239">P238/P212</f>
        <v/>
      </c>
      <c r="Q239" s="1742">
        <f t="array" ref="Q239">Q238/Q212</f>
        <v/>
      </c>
      <c r="R239" s="1742">
        <f t="array" ref="R239">R238/R212</f>
        <v/>
      </c>
      <c r="S239" s="1742">
        <f t="array" ref="S239">S238/S212</f>
        <v/>
      </c>
      <c r="T239" s="1742">
        <f t="array" ref="T239">T238/T212</f>
        <v/>
      </c>
      <c r="U239" s="1742">
        <f t="array" ref="U239">U238/U212</f>
        <v/>
      </c>
      <c r="V239" s="1742">
        <f t="array" ref="V239">V238/V212</f>
        <v/>
      </c>
      <c r="W239" s="1742">
        <f t="array" ref="W239">W238/W212</f>
        <v/>
      </c>
      <c r="X239" s="1742">
        <f t="array" ref="X239">X238/X212</f>
        <v/>
      </c>
      <c r="Y239" s="1742">
        <f t="array" ref="Y239">Y238/Y212</f>
        <v/>
      </c>
      <c r="Z239" s="1742">
        <f t="array" ref="Z239">Z238/Z212</f>
        <v/>
      </c>
      <c r="AA239" s="1742">
        <f t="array" ref="AA239">AA238/AA212</f>
        <v/>
      </c>
      <c r="AB239" s="1742">
        <f t="array" ref="AB239">AB238/AB212</f>
        <v/>
      </c>
      <c r="AC239" s="1742">
        <f t="array" ref="AC239">AC238/AC212</f>
        <v/>
      </c>
      <c r="AD239" s="1742">
        <f t="array" ref="AD239">AD238/AD212</f>
        <v/>
      </c>
      <c r="AE239" s="1742">
        <f t="array" ref="AE239">AE238/AE212</f>
        <v/>
      </c>
      <c r="AF239" s="1742">
        <f t="array" ref="AF239">AF238/AF212</f>
        <v/>
      </c>
      <c r="AG239" s="1742">
        <f t="array" ref="AG239">AG238/AG212</f>
        <v/>
      </c>
      <c r="AH239" s="1742">
        <f t="array" ref="AH239">AH238/AH212</f>
        <v/>
      </c>
      <c r="AI239" s="1742">
        <f t="array" ref="AI239">AI238/AI212</f>
        <v/>
      </c>
      <c r="AJ239" s="1742">
        <f t="array" ref="AJ239">AJ238/AJ212</f>
        <v/>
      </c>
      <c r="AK239" s="1742">
        <f t="array" ref="AK239">AK238/AK212</f>
        <v/>
      </c>
      <c r="AL239" s="1742">
        <f t="array" ref="AL239">AL238/AL212</f>
        <v/>
      </c>
      <c r="AM239" s="1742">
        <f t="array" ref="AM239">AM238/AM212</f>
        <v/>
      </c>
      <c r="AN239" s="1742">
        <f t="array" ref="AN239">AN238/AN212</f>
        <v/>
      </c>
      <c r="AO239" s="1742">
        <f t="array" ref="AO239">AO238/AO212</f>
        <v/>
      </c>
      <c r="AP239" s="1742">
        <f t="array" ref="AP239">AP238/AP212</f>
        <v/>
      </c>
      <c r="AQ239" s="1742">
        <f t="array" ref="AQ239">AQ238/AQ212</f>
        <v/>
      </c>
      <c r="AR239" s="1742">
        <f t="array" ref="AR239">AR238/AR212</f>
        <v/>
      </c>
      <c r="AS239" s="1742">
        <f t="array" ref="AS239">AS238/AS212</f>
        <v/>
      </c>
      <c r="AT239" s="1742">
        <f t="array" ref="AT239">AT238/AT212</f>
        <v/>
      </c>
      <c r="AU239" s="1742">
        <f t="array" ref="AU239">AU238/AU212</f>
        <v/>
      </c>
      <c r="AV239" s="1742">
        <f t="array" ref="AV239">AV238/AV212</f>
        <v/>
      </c>
      <c r="AW239" s="1740">
        <f t="array" ref="AW239">AW238/AW212</f>
        <v/>
      </c>
      <c r="AX239" s="1741">
        <f t="array" ref="AX239">AX238/AX212</f>
        <v/>
      </c>
      <c r="AY239" s="1741">
        <f t="array" ref="AY239">AY238/AY212</f>
        <v/>
      </c>
      <c r="AZ239" s="1741">
        <f t="array" ref="AZ239">AZ238/AZ212</f>
        <v/>
      </c>
      <c r="BA239" s="1844">
        <f t="array" ref="BA239">BA238/BA212</f>
        <v/>
      </c>
      <c r="BB239" s="1740">
        <f t="array" ref="BB239">BB238/BB212</f>
        <v/>
      </c>
      <c r="BC239" s="1741">
        <f t="array" ref="BC239">BC238/BC212</f>
        <v/>
      </c>
      <c r="BD239" s="1741">
        <f t="array" ref="BD239">BD238/BD212</f>
        <v/>
      </c>
      <c r="BE239" s="1741">
        <f t="array" ref="BE239">BE238/BE212</f>
        <v/>
      </c>
      <c r="BF239" s="2000">
        <f t="array" ref="BF239">BF238/BF212</f>
        <v/>
      </c>
      <c r="BG239" s="33" t="n"/>
      <c r="BH239" s="33" t="n"/>
      <c r="BI239" s="33" t="n"/>
      <c r="BJ239" s="33" t="n"/>
      <c r="BK239" s="1742">
        <f t="array" ref="BK239">BK238/BK212</f>
        <v/>
      </c>
      <c r="BL239" s="33" t="n"/>
      <c r="BM239" s="33" t="n"/>
      <c r="BN239" s="33" t="n"/>
      <c r="BO239" s="33" t="n"/>
      <c r="BP239" s="1742">
        <f t="array" ref="BP239">BP238/BP212</f>
        <v/>
      </c>
      <c r="BQ239" s="33" t="n"/>
      <c r="BR239" s="33" t="n"/>
      <c r="BS239" s="33" t="n"/>
      <c r="BT239" s="33" t="n"/>
      <c r="BU239" s="1742">
        <f t="array" ref="BU239">BU238/BU212</f>
        <v/>
      </c>
      <c r="BV239" s="33" t="n"/>
      <c r="BW239" s="33" t="n"/>
      <c r="BX239" s="33" t="n"/>
      <c r="BY239" s="33" t="n"/>
      <c r="BZ239" s="1742">
        <f t="array" ref="BZ239">BZ238/BZ212</f>
        <v/>
      </c>
      <c r="CA239" s="2001">
        <f t="array" ref="CA239">AVERAGE(AV239,AQ239,AL239,AG239,AB239)</f>
        <v/>
      </c>
      <c r="CB239" s="572" t="inlineStr">
        <is>
          <t>41-43%</t>
        </is>
      </c>
      <c r="CC239" s="390">
        <f t="array" ref="CC239">(0.5*BK239)+(0.5*BP239)</f>
        <v/>
      </c>
      <c r="CD239" s="701" t="n"/>
      <c r="CE239" s="701" t="n"/>
      <c r="CF239" s="701" t="n"/>
      <c r="CG239" s="701" t="n"/>
      <c r="CH239" s="701" t="n"/>
      <c r="CI239" s="701" t="n"/>
      <c r="CJ239" s="701" t="n"/>
      <c r="CK239" s="701" t="n"/>
      <c r="CL239" s="701" t="n"/>
      <c r="CM239" s="701" t="n"/>
      <c r="CN239" s="701" t="n"/>
      <c r="CO239" s="701" t="n"/>
      <c r="CP239" s="701" t="n"/>
      <c r="CQ239" s="701" t="n"/>
      <c r="CR239" s="701" t="n"/>
      <c r="CS239" s="701" t="n"/>
      <c r="CT239" s="701" t="n"/>
      <c r="CU239" s="701" t="n"/>
      <c r="CV239" s="701" t="n"/>
      <c r="CW239" s="30" t="n"/>
    </row>
    <row r="240" ht="12.75" customHeight="1" s="1676">
      <c r="A240" s="31" t="n"/>
      <c r="B240" s="156" t="inlineStr">
        <is>
          <t>Text_183</t>
        </is>
      </c>
      <c r="C240" s="699" t="n"/>
      <c r="D240" s="1980" t="n">
        <v>0</v>
      </c>
      <c r="E240" s="1980" t="n">
        <v>0</v>
      </c>
      <c r="F240" s="1980" t="n">
        <v>0</v>
      </c>
      <c r="G240" s="1980" t="n">
        <v>0</v>
      </c>
      <c r="H240" s="1980" t="n"/>
      <c r="I240" s="1980">
        <f t="array" ref="I240">(I239-D239)*10000</f>
        <v/>
      </c>
      <c r="J240" s="1980">
        <f t="array" ref="J240">(J239-E239)*10000</f>
        <v/>
      </c>
      <c r="K240" s="1980">
        <f t="array" ref="K240">(K239-F239)*10000</f>
        <v/>
      </c>
      <c r="L240" s="1980">
        <f t="array" ref="L240">(L239-G239)*10000</f>
        <v/>
      </c>
      <c r="M240" s="1980">
        <f t="array" ref="M240">(M239-H239)*10000</f>
        <v/>
      </c>
      <c r="N240" s="1980">
        <f t="array" ref="N240">(N239-I239)*10000</f>
        <v/>
      </c>
      <c r="O240" s="1980">
        <f t="array" ref="O240">(O239-J239)*10000</f>
        <v/>
      </c>
      <c r="P240" s="1980">
        <f t="array" ref="P240">(P239-K239)*10000</f>
        <v/>
      </c>
      <c r="Q240" s="1980">
        <f t="array" ref="Q240">(Q239-L239)*10000</f>
        <v/>
      </c>
      <c r="R240" s="1980">
        <f t="array" ref="R240">(R239-M239)*10000</f>
        <v/>
      </c>
      <c r="S240" s="1980">
        <f t="array" ref="S240">(S239-N239)*10000</f>
        <v/>
      </c>
      <c r="T240" s="1980">
        <f t="array" ref="T240">(T239-O239)*10000</f>
        <v/>
      </c>
      <c r="U240" s="1980">
        <f t="array" ref="U240">(U239-P239)*10000</f>
        <v/>
      </c>
      <c r="V240" s="1980">
        <f t="array" ref="V240">(V239-Q239)*10000</f>
        <v/>
      </c>
      <c r="W240" s="1980">
        <f t="array" ref="W240">(W239-R239)*10000</f>
        <v/>
      </c>
      <c r="X240" s="1980">
        <f t="array" ref="X240">(X239-S239)*10000</f>
        <v/>
      </c>
      <c r="Y240" s="1980">
        <f t="array" ref="Y240">(Y239-T239)*10000</f>
        <v/>
      </c>
      <c r="Z240" s="1980">
        <f t="array" ref="Z240">(Z239-U239)*10000</f>
        <v/>
      </c>
      <c r="AA240" s="1980">
        <f t="array" ref="AA240">(AA239-V239)*10000</f>
        <v/>
      </c>
      <c r="AB240" s="1980">
        <f t="array" ref="AB240">(AB239-W239)*10000</f>
        <v/>
      </c>
      <c r="AC240" s="1980">
        <f t="array" ref="AC240">(AC239-X239)*10000</f>
        <v/>
      </c>
      <c r="AD240" s="1980">
        <f t="array" ref="AD240">(AD239-Y239)*10000</f>
        <v/>
      </c>
      <c r="AE240" s="1980">
        <f t="array" ref="AE240">(AE239-Z239)*10000</f>
        <v/>
      </c>
      <c r="AF240" s="1980">
        <f t="array" ref="AF240">(AF239-AA239)*10000</f>
        <v/>
      </c>
      <c r="AG240" s="1980">
        <f t="array" ref="AG240">(AG239-AB239)*10000</f>
        <v/>
      </c>
      <c r="AH240" s="1980">
        <f t="array" ref="AH240">(AH239-AC239)*10000</f>
        <v/>
      </c>
      <c r="AI240" s="1980">
        <f t="array" ref="AI240">(AI239-AD239)*10000</f>
        <v/>
      </c>
      <c r="AJ240" s="1980">
        <f t="array" ref="AJ240">(AJ239-AE239)*10000</f>
        <v/>
      </c>
      <c r="AK240" s="1980">
        <f t="array" ref="AK240">(AK239-AF239)*10000</f>
        <v/>
      </c>
      <c r="AL240" s="1980">
        <f t="array" ref="AL240">(AL239-AG239)*10000</f>
        <v/>
      </c>
      <c r="AM240" s="1980">
        <f t="array" ref="AM240">(AM239-AH239)*10000</f>
        <v/>
      </c>
      <c r="AN240" s="1980">
        <f t="array" ref="AN240">(AN239-AI239)*10000</f>
        <v/>
      </c>
      <c r="AO240" s="1980">
        <f t="array" ref="AO240">(AO239-AJ239)*10000</f>
        <v/>
      </c>
      <c r="AP240" s="1980">
        <f t="array" ref="AP240">(AP239-AK239)*10000</f>
        <v/>
      </c>
      <c r="AQ240" s="1980">
        <f t="array" ref="AQ240">(AQ239-AL239)*10000</f>
        <v/>
      </c>
      <c r="AR240" s="1980">
        <f t="array" ref="AR240">(AR239-AM239)*10000</f>
        <v/>
      </c>
      <c r="AS240" s="1980">
        <f t="array" ref="AS240">(AS239-AN239)*10000</f>
        <v/>
      </c>
      <c r="AT240" s="1980">
        <f t="array" ref="AT240">(AT239-AO239)*10000</f>
        <v/>
      </c>
      <c r="AU240" s="1980">
        <f t="array" ref="AU240">(AU239-AP239)*10000</f>
        <v/>
      </c>
      <c r="AV240" s="1980">
        <f t="array" ref="AV240">(AV239-AQ239)*10000</f>
        <v/>
      </c>
      <c r="AW240" s="1981">
        <f t="array" ref="AW240">(AW239-AR239)*10000</f>
        <v/>
      </c>
      <c r="AX240" s="1982">
        <f t="array" ref="AX240">(AX239-AS239)*10000</f>
        <v/>
      </c>
      <c r="AY240" s="1982">
        <f t="array" ref="AY240">(AY239-AT239)*10000</f>
        <v/>
      </c>
      <c r="AZ240" s="1982">
        <f t="array" ref="AZ240">(AZ239-AU239)*10000</f>
        <v/>
      </c>
      <c r="BA240" s="1983">
        <f t="array" ref="BA240">(BA239-AV239)*10000</f>
        <v/>
      </c>
      <c r="BB240" s="1981">
        <f t="array" ref="BB240">(BB239-AW239)*10000</f>
        <v/>
      </c>
      <c r="BC240" s="1982">
        <f t="array" ref="BC240">(BC239-AX239)*10000</f>
        <v/>
      </c>
      <c r="BD240" s="1982">
        <f t="array" ref="BD240">(BD239-AY239)*10000</f>
        <v/>
      </c>
      <c r="BE240" s="1982">
        <f t="array" ref="BE240">(BE239-AZ239)*10000</f>
        <v/>
      </c>
      <c r="BF240" s="1983">
        <f t="array" ref="BF240">(BF239-BA239)*10000</f>
        <v/>
      </c>
      <c r="BG240" s="699" t="n"/>
      <c r="BH240" s="699" t="n"/>
      <c r="BI240" s="699" t="n"/>
      <c r="BJ240" s="699" t="n"/>
      <c r="BK240" s="1980">
        <f t="array" ref="BK240">(BK239-BF239)*10000</f>
        <v/>
      </c>
      <c r="BL240" s="699" t="n"/>
      <c r="BM240" s="699" t="n"/>
      <c r="BN240" s="699" t="n"/>
      <c r="BO240" s="699" t="n"/>
      <c r="BP240" s="1980">
        <f t="array" ref="BP240">(BP239-BK239)*10000</f>
        <v/>
      </c>
      <c r="BQ240" s="699" t="n"/>
      <c r="BR240" s="699" t="n"/>
      <c r="BS240" s="699" t="n"/>
      <c r="BT240" s="699" t="n"/>
      <c r="BU240" s="1980">
        <f t="array" ref="BU240">(BU239-BP239)*10000</f>
        <v/>
      </c>
      <c r="BV240" s="699" t="n"/>
      <c r="BW240" s="699" t="n"/>
      <c r="BX240" s="699" t="n"/>
      <c r="BY240" s="699" t="n"/>
      <c r="BZ240" s="1980">
        <f t="array" ref="BZ240">(BZ239-BU239)*10000</f>
        <v/>
      </c>
      <c r="CA240" s="545" t="n"/>
      <c r="CB240" s="319" t="n"/>
      <c r="CC240" s="701" t="n"/>
      <c r="CD240" s="701" t="n"/>
      <c r="CE240" s="701" t="n"/>
      <c r="CF240" s="701" t="n"/>
      <c r="CG240" s="701" t="n"/>
      <c r="CH240" s="701" t="n"/>
      <c r="CI240" s="701" t="n"/>
      <c r="CJ240" s="701" t="n"/>
      <c r="CK240" s="701" t="n"/>
      <c r="CL240" s="701" t="n"/>
      <c r="CM240" s="701" t="n"/>
      <c r="CN240" s="701" t="n"/>
      <c r="CO240" s="701" t="n"/>
      <c r="CP240" s="701" t="n"/>
      <c r="CQ240" s="701" t="n"/>
      <c r="CR240" s="701" t="n"/>
      <c r="CS240" s="701" t="n"/>
      <c r="CT240" s="701" t="n"/>
      <c r="CU240" s="701" t="n"/>
      <c r="CV240" s="701" t="n"/>
      <c r="CW240" s="30" t="n"/>
    </row>
    <row r="241" ht="15" customHeight="1" s="1676">
      <c r="A241" s="31" t="n"/>
      <c r="B241" s="103" t="inlineStr">
        <is>
          <t>Text_24</t>
        </is>
      </c>
      <c r="C241" s="699" t="n"/>
      <c r="D241" s="1751" t="n">
        <v>0</v>
      </c>
      <c r="E241" s="1751" t="n">
        <v>0</v>
      </c>
      <c r="F241" s="1751" t="n">
        <v>0</v>
      </c>
      <c r="G241" s="1751" t="n">
        <v>0</v>
      </c>
      <c r="H241" s="1751" t="n"/>
      <c r="I241" s="1751">
        <f t="array" ref="I241">I238/D238-1</f>
        <v/>
      </c>
      <c r="J241" s="1751">
        <f t="array" ref="J241">J238/E238-1</f>
        <v/>
      </c>
      <c r="K241" s="1751">
        <f t="array" ref="K241">K238/F238-1</f>
        <v/>
      </c>
      <c r="L241" s="1751">
        <f t="array" ref="L241">L238/G238-1</f>
        <v/>
      </c>
      <c r="M241" s="1751">
        <f t="array" ref="M241">M238/H238-1</f>
        <v/>
      </c>
      <c r="N241" s="1751">
        <f t="array" ref="N241">N238/I238-1</f>
        <v/>
      </c>
      <c r="O241" s="1751">
        <f t="array" ref="O241">O238/J238-1</f>
        <v/>
      </c>
      <c r="P241" s="1751">
        <f t="array" ref="P241">P238/K238-1</f>
        <v/>
      </c>
      <c r="Q241" s="1751">
        <f t="array" ref="Q241">Q238/L238-1</f>
        <v/>
      </c>
      <c r="R241" s="1751">
        <f t="array" ref="R241">R238/M238-1</f>
        <v/>
      </c>
      <c r="S241" s="1751">
        <f t="array" ref="S241">S238/N238-1</f>
        <v/>
      </c>
      <c r="T241" s="1751">
        <f t="array" ref="T241">T238/O238-1</f>
        <v/>
      </c>
      <c r="U241" s="1751">
        <f t="array" ref="U241">U238/P238-1</f>
        <v/>
      </c>
      <c r="V241" s="1751">
        <f t="array" ref="V241">V238/Q238-1</f>
        <v/>
      </c>
      <c r="W241" s="1751">
        <f t="array" ref="W241">W238/R238-1</f>
        <v/>
      </c>
      <c r="X241" s="1751">
        <f t="array" ref="X241">X238/S238-1</f>
        <v/>
      </c>
      <c r="Y241" s="1751">
        <f t="array" ref="Y241">Y238/T238-1</f>
        <v/>
      </c>
      <c r="Z241" s="1751">
        <f t="array" ref="Z241">Z238/U238-1</f>
        <v/>
      </c>
      <c r="AA241" s="1751">
        <f t="array" ref="AA241">AA238/V238-1</f>
        <v/>
      </c>
      <c r="AB241" s="1751">
        <f t="array" ref="AB241">AB238/W238-1</f>
        <v/>
      </c>
      <c r="AC241" s="1751">
        <f t="array" ref="AC241">AC238/X238-1</f>
        <v/>
      </c>
      <c r="AD241" s="1751">
        <f t="array" ref="AD241">AD238/Y238-1</f>
        <v/>
      </c>
      <c r="AE241" s="1751">
        <f t="array" ref="AE241">AE238/Z238-1</f>
        <v/>
      </c>
      <c r="AF241" s="1751">
        <f t="array" ref="AF241">AF238/AA238-1</f>
        <v/>
      </c>
      <c r="AG241" s="1751">
        <f t="array" ref="AG241">AG238/AB238-1</f>
        <v/>
      </c>
      <c r="AH241" s="1751">
        <f t="array" ref="AH241">AH238/AC238-1</f>
        <v/>
      </c>
      <c r="AI241" s="1751">
        <f t="array" ref="AI241">AI238/AD238-1</f>
        <v/>
      </c>
      <c r="AJ241" s="1751">
        <f t="array" ref="AJ241">AJ238/AE238-1</f>
        <v/>
      </c>
      <c r="AK241" s="1751">
        <f t="array" ref="AK241">AK238/AF238-1</f>
        <v/>
      </c>
      <c r="AL241" s="1751">
        <f t="array" ref="AL241">AL238/AG238-1</f>
        <v/>
      </c>
      <c r="AM241" s="1751">
        <f t="array" ref="AM241">AM238/AH238-1</f>
        <v/>
      </c>
      <c r="AN241" s="1751">
        <f t="array" ref="AN241">AN238/AI238-1</f>
        <v/>
      </c>
      <c r="AO241" s="1751">
        <f t="array" ref="AO241">AO238/AJ238-1</f>
        <v/>
      </c>
      <c r="AP241" s="1751">
        <f t="array" ref="AP241">AP238/AK238-1</f>
        <v/>
      </c>
      <c r="AQ241" s="1751">
        <f t="array" ref="AQ241">AQ238/AL238-1</f>
        <v/>
      </c>
      <c r="AR241" s="1751">
        <f t="array" ref="AR241">AR238/AM238-1</f>
        <v/>
      </c>
      <c r="AS241" s="1751">
        <f t="array" ref="AS241">AS238/AN238-1</f>
        <v/>
      </c>
      <c r="AT241" s="1751">
        <f t="array" ref="AT241">AT238/AO238-1</f>
        <v/>
      </c>
      <c r="AU241" s="1751">
        <f t="array" ref="AU241">AU238/AP238-1</f>
        <v/>
      </c>
      <c r="AV241" s="1751">
        <f t="array" ref="AV241">AV238/AQ238-1</f>
        <v/>
      </c>
      <c r="AW241" s="1749">
        <f t="array" ref="AW241">AW238/AR238-1</f>
        <v/>
      </c>
      <c r="AX241" s="1750">
        <f t="array" ref="AX241">AX238/AS238-1</f>
        <v/>
      </c>
      <c r="AY241" s="1750">
        <f t="array" ref="AY241">AY238/AT238-1</f>
        <v/>
      </c>
      <c r="AZ241" s="1750">
        <f t="array" ref="AZ241">AZ238/AU238-1</f>
        <v/>
      </c>
      <c r="BA241" s="1784">
        <f t="array" ref="BA241">BA238/AV238-1</f>
        <v/>
      </c>
      <c r="BB241" s="1749">
        <f t="array" ref="BB241">BB238/AW238-1</f>
        <v/>
      </c>
      <c r="BC241" s="1750">
        <f t="array" ref="BC241">BC238/AX238-1</f>
        <v/>
      </c>
      <c r="BD241" s="1750">
        <f t="array" ref="BD241">BD238/AY238-1</f>
        <v/>
      </c>
      <c r="BE241" s="1750">
        <f t="array" ref="BE241">BE238/AZ238-1</f>
        <v/>
      </c>
      <c r="BF241" s="1784">
        <f t="array" ref="BF241">BF238/BA238-1</f>
        <v/>
      </c>
      <c r="BG241" s="699" t="n"/>
      <c r="BH241" s="699" t="n"/>
      <c r="BI241" s="699" t="n"/>
      <c r="BJ241" s="699" t="n"/>
      <c r="BK241" s="1751">
        <f t="array" ref="BK241">BK238/BF238-1</f>
        <v/>
      </c>
      <c r="BL241" s="699" t="n"/>
      <c r="BM241" s="699" t="n"/>
      <c r="BN241" s="699" t="n"/>
      <c r="BO241" s="699" t="n"/>
      <c r="BP241" s="1751">
        <f t="array" ref="BP241">BP238/BK238-1</f>
        <v/>
      </c>
      <c r="BQ241" s="699" t="n"/>
      <c r="BR241" s="699" t="n"/>
      <c r="BS241" s="699" t="n"/>
      <c r="BT241" s="699" t="n"/>
      <c r="BU241" s="1751">
        <f t="array" ref="BU241">BU238/BP238-1</f>
        <v/>
      </c>
      <c r="BV241" s="699" t="n"/>
      <c r="BW241" s="699" t="n"/>
      <c r="BX241" s="699" t="n"/>
      <c r="BY241" s="699" t="n"/>
      <c r="BZ241" s="1751">
        <f t="array" ref="BZ241">BZ238/BU238-1</f>
        <v/>
      </c>
      <c r="CA241" s="2002">
        <f t="array" ref="CA241">AVERAGE(BA242,AV242,AQ242,AL242,AG242,AB242,W242,R242)</f>
        <v/>
      </c>
      <c r="CB241" s="574" t="inlineStr">
        <is>
          <t>Text_200</t>
        </is>
      </c>
      <c r="CC241" s="701" t="n"/>
      <c r="CD241" s="701" t="n"/>
      <c r="CE241" s="701" t="n"/>
      <c r="CF241" s="701" t="n"/>
      <c r="CG241" s="701" t="n"/>
      <c r="CH241" s="701" t="n"/>
      <c r="CI241" s="701" t="n"/>
      <c r="CJ241" s="701" t="n"/>
      <c r="CK241" s="701" t="n"/>
      <c r="CL241" s="701" t="n"/>
      <c r="CM241" s="701" t="n"/>
      <c r="CN241" s="701" t="n"/>
      <c r="CO241" s="701" t="n"/>
      <c r="CP241" s="701" t="n"/>
      <c r="CQ241" s="701" t="n"/>
      <c r="CR241" s="701" t="n"/>
      <c r="CS241" s="701" t="n"/>
      <c r="CT241" s="701" t="n"/>
      <c r="CU241" s="701" t="n"/>
      <c r="CV241" s="701" t="n"/>
      <c r="CW241" s="30" t="n"/>
    </row>
    <row r="242" ht="12.75" customHeight="1" s="1676">
      <c r="A242" s="31" t="n"/>
      <c r="B242" s="270" t="inlineStr">
        <is>
          <t>Text_201</t>
        </is>
      </c>
      <c r="C242" s="699" t="n"/>
      <c r="D242" s="1751" t="n">
        <v>0</v>
      </c>
      <c r="E242" s="1751" t="n">
        <v>0</v>
      </c>
      <c r="F242" s="1751" t="n">
        <v>0</v>
      </c>
      <c r="G242" s="1751" t="n">
        <v>0</v>
      </c>
      <c r="H242" s="1751" t="n"/>
      <c r="I242" s="1751">
        <f t="array" ref="I242">(I238-D238)/(I212-D212)</f>
        <v/>
      </c>
      <c r="J242" s="1751">
        <f t="array" ref="J242">(J238-E238)/(J212-E212)</f>
        <v/>
      </c>
      <c r="K242" s="1751">
        <f t="array" ref="K242">(K238-F238)/(K212-F212)</f>
        <v/>
      </c>
      <c r="L242" s="1751">
        <f t="array" ref="L242">(L238-G238)/(L212-G212)</f>
        <v/>
      </c>
      <c r="M242" s="1751">
        <f t="array" ref="M242">(M238-H238)/(M212-H212)</f>
        <v/>
      </c>
      <c r="N242" s="1751">
        <f t="array" ref="N242">(N238-I238)/(N212-I212)</f>
        <v/>
      </c>
      <c r="O242" s="1751">
        <f t="array" ref="O242">(O238-J238)/(O212-J212)</f>
        <v/>
      </c>
      <c r="P242" s="1751">
        <f t="array" ref="P242">(P238-K238)/(P212-K212)</f>
        <v/>
      </c>
      <c r="Q242" s="1751">
        <f t="array" ref="Q242">(Q238-L238)/(Q212-L212)</f>
        <v/>
      </c>
      <c r="R242" s="1751">
        <f t="array" ref="R242">(R238-M238)/(R212-M212)</f>
        <v/>
      </c>
      <c r="S242" s="1751">
        <f t="array" ref="S242">(S238-N238)/(S212-N212)</f>
        <v/>
      </c>
      <c r="T242" s="1751">
        <f t="array" ref="T242">(T238-O238)/(T212-O212)</f>
        <v/>
      </c>
      <c r="U242" s="1751">
        <f t="array" ref="U242">(U238-P238)/(U212-P212)</f>
        <v/>
      </c>
      <c r="V242" s="1751">
        <f t="array" ref="V242">(V238-Q238)/(V212-Q212)</f>
        <v/>
      </c>
      <c r="W242" s="1751">
        <f t="array" ref="W242">(W238-R238)/(W212-R212)</f>
        <v/>
      </c>
      <c r="X242" s="1751">
        <f t="array" ref="X242">(X238-S238)/(X212-S212)</f>
        <v/>
      </c>
      <c r="Y242" s="1751">
        <f t="array" ref="Y242">(Y238-T238)/(Y212-T212)</f>
        <v/>
      </c>
      <c r="Z242" s="1751">
        <f t="array" ref="Z242">(Z238-U238)/(Z212-U212)</f>
        <v/>
      </c>
      <c r="AA242" s="1751">
        <f t="array" ref="AA242">(AA238-V238)/(AA212-V212)</f>
        <v/>
      </c>
      <c r="AB242" s="1751">
        <f t="array" ref="AB242">(AB238-W238)/(AB212-W212)</f>
        <v/>
      </c>
      <c r="AC242" s="1751">
        <f t="array" ref="AC242">(AC238-X238)/(AC212-X212)</f>
        <v/>
      </c>
      <c r="AD242" s="1751">
        <f t="array" ref="AD242">(AD238-Y238)/(AD212-Y212)</f>
        <v/>
      </c>
      <c r="AE242" s="1751">
        <f t="array" ref="AE242">(AE238-Z238)/(AE212-Z212)</f>
        <v/>
      </c>
      <c r="AF242" s="1751">
        <f t="array" ref="AF242">(AF238-AA238)/(AF212-AA212)</f>
        <v/>
      </c>
      <c r="AG242" s="1751">
        <f t="array" ref="AG242">(AG238-AB238)/(AG212-AB212)</f>
        <v/>
      </c>
      <c r="AH242" s="1751">
        <f t="array" ref="AH242">(AH238-AC238)/(AH212-AC212)</f>
        <v/>
      </c>
      <c r="AI242" s="1751">
        <f t="array" ref="AI242">(AI238-AD238)/(AI212-AD212)</f>
        <v/>
      </c>
      <c r="AJ242" s="1751">
        <f t="array" ref="AJ242">(AJ238-AE238)/(AJ212-AE212)</f>
        <v/>
      </c>
      <c r="AK242" s="1751">
        <f t="array" ref="AK242">(AK238-AF238)/(AK212-AF212)</f>
        <v/>
      </c>
      <c r="AL242" s="1751">
        <f t="array" ref="AL242">(AL238-AG238)/(AL212-AG212)</f>
        <v/>
      </c>
      <c r="AM242" s="1751">
        <f t="array" ref="AM242">(AM238-AH238)/(AM212-AH212)</f>
        <v/>
      </c>
      <c r="AN242" s="1751">
        <f t="array" ref="AN242">(AN238-AI238)/(AN212-AI212)</f>
        <v/>
      </c>
      <c r="AO242" s="1751">
        <f t="array" ref="AO242">(AO238-AJ238)/(AO212-AJ212)</f>
        <v/>
      </c>
      <c r="AP242" s="1751">
        <f t="array" ref="AP242">(AP238-AK238)/(AP212-AK212)</f>
        <v/>
      </c>
      <c r="AQ242" s="1751">
        <f t="array" ref="AQ242">(AQ238-AL238)/(AQ212-AL212)</f>
        <v/>
      </c>
      <c r="AR242" s="1751">
        <f t="array" ref="AR242">(AR238-AM238)/(AR212-AM212)</f>
        <v/>
      </c>
      <c r="AS242" s="1751">
        <f t="array" ref="AS242">(AS238-AN238)/(AS212-AN212)</f>
        <v/>
      </c>
      <c r="AT242" s="1751">
        <f t="array" ref="AT242">(AT238-AO238)/(AT212-AO212)</f>
        <v/>
      </c>
      <c r="AU242" s="1751">
        <f t="array" ref="AU242">(AU238-AP238)/(AU212-AP212)</f>
        <v/>
      </c>
      <c r="AV242" s="1751">
        <f t="array" ref="AV242">(AV238-AQ238)/(AV212-AQ212)</f>
        <v/>
      </c>
      <c r="AW242" s="1749">
        <f t="array" ref="AW242">(AW238-AR238)/(AW212-AR212)</f>
        <v/>
      </c>
      <c r="AX242" s="1750">
        <f t="array" ref="AX242">(AX238-AS238)/(AX212-AS212)</f>
        <v/>
      </c>
      <c r="AY242" s="1750">
        <f t="array" ref="AY242">(AY238-AT238)/(AY212-AT212)</f>
        <v/>
      </c>
      <c r="AZ242" s="1750">
        <f t="array" ref="AZ242">(AZ238-AU238)/(AZ212-AU212)</f>
        <v/>
      </c>
      <c r="BA242" s="1984">
        <f t="array" ref="BA242">(BA238-AV238)/(BA212-AV212)</f>
        <v/>
      </c>
      <c r="BB242" s="1749">
        <f t="array" ref="BB242">(BB238-AW238)/(BB212-AW212)</f>
        <v/>
      </c>
      <c r="BC242" s="1750">
        <f t="array" ref="BC242">(BC238-AX238)/(BC212-AX212)</f>
        <v/>
      </c>
      <c r="BD242" s="1750">
        <f t="array" ref="BD242">(BD238-AY238)/(BD212-AY212)</f>
        <v/>
      </c>
      <c r="BE242" s="1750">
        <f t="array" ref="BE242">(BE238-AZ238)/(BE212-AZ212)</f>
        <v/>
      </c>
      <c r="BF242" s="1984">
        <f t="array" ref="BF242">(BF238-BA238)/(BF212-BA212)</f>
        <v/>
      </c>
      <c r="BG242" s="699" t="n"/>
      <c r="BH242" s="699" t="n"/>
      <c r="BI242" s="699" t="n"/>
      <c r="BJ242" s="699" t="n"/>
      <c r="BK242" s="1985">
        <f t="array" ref="BK242">(BK238-BF238)/(BK212-BF212)</f>
        <v/>
      </c>
      <c r="BL242" s="539" t="n"/>
      <c r="BM242" s="539" t="n"/>
      <c r="BN242" s="539" t="n"/>
      <c r="BO242" s="539" t="n"/>
      <c r="BP242" s="1985">
        <f t="array" ref="BP242">(BP238-BK238)/(BP212-BK212)</f>
        <v/>
      </c>
      <c r="BQ242" s="539" t="n"/>
      <c r="BR242" s="539" t="n"/>
      <c r="BS242" s="539" t="n"/>
      <c r="BT242" s="539" t="n"/>
      <c r="BU242" s="1985">
        <f t="array" ref="BU242">(BU238-BP238)/(BU212-BP212)</f>
        <v/>
      </c>
      <c r="BV242" s="539" t="n"/>
      <c r="BW242" s="539" t="n"/>
      <c r="BX242" s="539" t="n"/>
      <c r="BY242" s="539" t="n"/>
      <c r="BZ242" s="1985">
        <f t="array" ref="BZ242">(BZ238-BU238)/(BZ212-BU212)</f>
        <v/>
      </c>
      <c r="CA242" s="103" t="inlineStr">
        <is>
          <t>Text_202</t>
        </is>
      </c>
      <c r="CB242" s="575" t="n"/>
      <c r="CC242" s="701" t="n"/>
      <c r="CD242" s="701" t="n"/>
      <c r="CE242" s="701" t="n"/>
      <c r="CF242" s="701" t="n"/>
      <c r="CG242" s="701" t="n"/>
      <c r="CH242" s="701" t="n"/>
      <c r="CI242" s="701" t="n"/>
      <c r="CJ242" s="701" t="n"/>
      <c r="CK242" s="701" t="n"/>
      <c r="CL242" s="701" t="n"/>
      <c r="CM242" s="701" t="n"/>
      <c r="CN242" s="701" t="n"/>
      <c r="CO242" s="701" t="n"/>
      <c r="CP242" s="701" t="n"/>
      <c r="CQ242" s="701" t="n"/>
      <c r="CR242" s="701" t="n"/>
      <c r="CS242" s="701" t="n"/>
      <c r="CT242" s="701" t="n"/>
      <c r="CU242" s="701" t="n"/>
      <c r="CV242" s="701" t="n"/>
      <c r="CW242" s="30" t="n"/>
    </row>
    <row r="243" hidden="1" ht="12.75" customHeight="1" s="1676">
      <c r="A243" s="31" t="n"/>
      <c r="B243" s="126" t="inlineStr">
        <is>
          <t>Text_203</t>
        </is>
      </c>
      <c r="C243" s="699" t="n"/>
      <c r="D243" s="1751" t="n"/>
      <c r="E243" s="1751" t="n"/>
      <c r="F243" s="1751" t="n"/>
      <c r="G243" s="1751" t="n"/>
      <c r="H243" s="1751" t="n"/>
      <c r="I243" s="1751" t="n"/>
      <c r="J243" s="1751" t="n"/>
      <c r="K243" s="1751" t="n"/>
      <c r="L243" s="1751" t="n"/>
      <c r="M243" s="1751" t="n"/>
      <c r="N243" s="1751" t="n"/>
      <c r="O243" s="1751" t="n"/>
      <c r="P243" s="1751" t="n"/>
      <c r="Q243" s="1751" t="n"/>
      <c r="R243" s="1751" t="n"/>
      <c r="S243" s="1751" t="n"/>
      <c r="T243" s="1751" t="n"/>
      <c r="U243" s="1751" t="n"/>
      <c r="V243" s="1751" t="n"/>
      <c r="W243" s="1797" t="n"/>
      <c r="X243" s="1797" t="n"/>
      <c r="Y243" s="1797" t="n"/>
      <c r="Z243" s="1797" t="n"/>
      <c r="AA243" s="1797" t="n"/>
      <c r="AB243" s="1797" t="n"/>
      <c r="AC243" s="1797" t="n"/>
      <c r="AD243" s="1797" t="n"/>
      <c r="AE243" s="1797" t="n"/>
      <c r="AF243" s="1797" t="n"/>
      <c r="AG243" s="1797" t="n"/>
      <c r="AH243" s="1797" t="n"/>
      <c r="AI243" s="1797" t="n"/>
      <c r="AJ243" s="1797" t="n"/>
      <c r="AK243" s="1973" t="n"/>
      <c r="AL243" s="1797" t="n"/>
      <c r="AM243" s="1797" t="n"/>
      <c r="AN243" s="1797" t="n"/>
      <c r="AO243" s="1797" t="n"/>
      <c r="AP243" s="1973" t="n"/>
      <c r="AQ243" s="1797" t="n"/>
      <c r="AR243" s="1797" t="n"/>
      <c r="AS243" s="1797" t="n"/>
      <c r="AT243" s="1797" t="n"/>
      <c r="AU243" s="1973" t="n"/>
      <c r="AV243" s="1797" t="n"/>
      <c r="AW243" s="1975" t="n"/>
      <c r="AX243" s="449" t="n"/>
      <c r="AY243" s="449" t="n"/>
      <c r="AZ243" s="449" t="n"/>
      <c r="BA243" s="1795" t="n"/>
      <c r="BB243" s="677" t="n"/>
      <c r="BC243" s="449" t="n"/>
      <c r="BD243" s="449" t="n"/>
      <c r="BE243" s="449" t="n"/>
      <c r="BF243" s="2003">
        <f t="array" ref="BF243">BF244*BA351</f>
        <v/>
      </c>
      <c r="BG243" s="341" t="n"/>
      <c r="BH243" s="341" t="n"/>
      <c r="BI243" s="341" t="n"/>
      <c r="BJ243" s="341" t="n"/>
      <c r="BK243" s="1973">
        <f t="array" ref="BK243">BK244*BF351</f>
        <v/>
      </c>
      <c r="BL243" s="341" t="n"/>
      <c r="BM243" s="341" t="n"/>
      <c r="BN243" s="341" t="n"/>
      <c r="BO243" s="341" t="n"/>
      <c r="BP243" s="1973">
        <f t="array" ref="BP243">BP244*BK351</f>
        <v/>
      </c>
      <c r="BQ243" s="341" t="n"/>
      <c r="BR243" s="341" t="n"/>
      <c r="BS243" s="341" t="n"/>
      <c r="BT243" s="341" t="n"/>
      <c r="BU243" s="1973">
        <f t="array" ref="BU243">BU244*BP351</f>
        <v/>
      </c>
      <c r="BV243" s="341" t="n"/>
      <c r="BW243" s="341" t="n"/>
      <c r="BX243" s="341" t="n"/>
      <c r="BY243" s="341" t="n"/>
      <c r="BZ243" s="1973">
        <f t="array" ref="BZ243">BZ244*BU351</f>
        <v/>
      </c>
      <c r="CA243" s="577" t="n"/>
      <c r="CB243" s="575" t="n"/>
      <c r="CC243" s="701" t="n"/>
      <c r="CD243" s="701" t="n"/>
      <c r="CE243" s="701" t="n"/>
      <c r="CF243" s="701" t="n"/>
      <c r="CG243" s="701" t="n"/>
      <c r="CH243" s="701" t="n"/>
      <c r="CI243" s="701" t="n"/>
      <c r="CJ243" s="701" t="n"/>
      <c r="CK243" s="701" t="n"/>
      <c r="CL243" s="701" t="n"/>
      <c r="CM243" s="701" t="n"/>
      <c r="CN243" s="701" t="n"/>
      <c r="CO243" s="701" t="n"/>
      <c r="CP243" s="701" t="n"/>
      <c r="CQ243" s="701" t="n"/>
      <c r="CR243" s="701" t="n"/>
      <c r="CS243" s="701" t="n"/>
      <c r="CT243" s="701" t="n"/>
      <c r="CU243" s="701" t="n"/>
      <c r="CV243" s="701" t="n"/>
      <c r="CW243" s="30" t="n"/>
    </row>
    <row r="244" hidden="1" ht="12.75" customHeight="1" s="1676">
      <c r="A244" s="31" t="n"/>
      <c r="B244" s="238" t="inlineStr">
        <is>
          <t>Text_204</t>
        </is>
      </c>
      <c r="C244" s="699" t="n"/>
      <c r="D244" s="1751" t="n"/>
      <c r="E244" s="1751" t="n"/>
      <c r="F244" s="1751" t="n"/>
      <c r="G244" s="1751" t="n"/>
      <c r="H244" s="1751" t="n"/>
      <c r="I244" s="1751" t="n"/>
      <c r="J244" s="1751" t="n"/>
      <c r="K244" s="1751" t="n"/>
      <c r="L244" s="1751" t="n"/>
      <c r="M244" s="1751" t="n"/>
      <c r="N244" s="1751" t="n"/>
      <c r="O244" s="1751" t="n"/>
      <c r="P244" s="1751" t="n"/>
      <c r="Q244" s="1751" t="n"/>
      <c r="R244" s="1751" t="n"/>
      <c r="S244" s="1751" t="n"/>
      <c r="T244" s="1751" t="n"/>
      <c r="U244" s="1751" t="n"/>
      <c r="V244" s="1751" t="n"/>
      <c r="W244" s="1797" t="n"/>
      <c r="X244" s="1797" t="n"/>
      <c r="Y244" s="1797" t="n"/>
      <c r="Z244" s="1797" t="n"/>
      <c r="AA244" s="1797" t="n"/>
      <c r="AB244" s="1797" t="n"/>
      <c r="AC244" s="1797" t="n"/>
      <c r="AD244" s="1797" t="n"/>
      <c r="AE244" s="1797" t="n"/>
      <c r="AF244" s="1797" t="n"/>
      <c r="AG244" s="1797" t="n"/>
      <c r="AH244" s="1797" t="n"/>
      <c r="AI244" s="1797" t="n"/>
      <c r="AJ244" s="1797" t="n"/>
      <c r="AK244" s="1973" t="n"/>
      <c r="AL244" s="1797" t="n"/>
      <c r="AM244" s="1797" t="n"/>
      <c r="AN244" s="1797" t="n"/>
      <c r="AO244" s="1797" t="n"/>
      <c r="AP244" s="1973" t="n"/>
      <c r="AQ244" s="1797" t="n"/>
      <c r="AR244" s="1720" t="n"/>
      <c r="AS244" s="1720" t="n"/>
      <c r="AT244" s="1720" t="n"/>
      <c r="AU244" s="1720" t="n"/>
      <c r="AV244" s="1720" t="n"/>
      <c r="AW244" s="1721" t="n"/>
      <c r="AX244" s="449" t="n"/>
      <c r="AY244" s="449" t="n"/>
      <c r="AZ244" s="449" t="n"/>
      <c r="BA244" s="1723" t="n"/>
      <c r="BB244" s="677" t="n"/>
      <c r="BC244" s="449" t="n"/>
      <c r="BD244" s="449" t="n"/>
      <c r="BE244" s="449" t="n"/>
      <c r="BF244" s="1855" t="n"/>
      <c r="BG244" s="699" t="n"/>
      <c r="BH244" s="699" t="n"/>
      <c r="BI244" s="699" t="n"/>
      <c r="BJ244" s="699" t="n"/>
      <c r="BK244" s="1856" t="n"/>
      <c r="BL244" s="341" t="n"/>
      <c r="BM244" s="341" t="n"/>
      <c r="BN244" s="341" t="n"/>
      <c r="BO244" s="341" t="n"/>
      <c r="BP244" s="1856" t="n"/>
      <c r="BQ244" s="341" t="n"/>
      <c r="BR244" s="341" t="n"/>
      <c r="BS244" s="341" t="n"/>
      <c r="BT244" s="341" t="n"/>
      <c r="BU244" s="1856" t="n"/>
      <c r="BV244" s="341" t="n"/>
      <c r="BW244" s="341" t="n"/>
      <c r="BX244" s="341" t="n"/>
      <c r="BY244" s="341" t="n"/>
      <c r="BZ244" s="1856" t="n"/>
      <c r="CA244" s="577" t="n"/>
      <c r="CB244" s="575" t="n"/>
      <c r="CC244" s="701" t="n"/>
      <c r="CD244" s="701" t="n"/>
      <c r="CE244" s="701" t="n"/>
      <c r="CF244" s="701" t="n"/>
      <c r="CG244" s="701" t="n"/>
      <c r="CH244" s="701" t="n"/>
      <c r="CI244" s="701" t="n"/>
      <c r="CJ244" s="701" t="n"/>
      <c r="CK244" s="701" t="n"/>
      <c r="CL244" s="701" t="n"/>
      <c r="CM244" s="701" t="n"/>
      <c r="CN244" s="701" t="n"/>
      <c r="CO244" s="701" t="n"/>
      <c r="CP244" s="701" t="n"/>
      <c r="CQ244" s="701" t="n"/>
      <c r="CR244" s="701" t="n"/>
      <c r="CS244" s="701" t="n"/>
      <c r="CT244" s="701" t="n"/>
      <c r="CU244" s="701" t="n"/>
      <c r="CV244" s="701" t="n"/>
      <c r="CW244" s="30" t="n"/>
    </row>
    <row r="245" hidden="1" ht="12.75" customHeight="1" s="1676">
      <c r="A245" s="31" t="n"/>
      <c r="B245" s="126" t="inlineStr">
        <is>
          <t>Text_205</t>
        </is>
      </c>
      <c r="C245" s="699" t="n"/>
      <c r="D245" s="1751" t="n"/>
      <c r="E245" s="1751" t="n"/>
      <c r="F245" s="1751" t="n"/>
      <c r="G245" s="1751" t="n"/>
      <c r="H245" s="1751" t="n"/>
      <c r="I245" s="1751" t="n"/>
      <c r="J245" s="1751" t="n"/>
      <c r="K245" s="1751" t="n"/>
      <c r="L245" s="1751" t="n"/>
      <c r="M245" s="1751" t="n"/>
      <c r="N245" s="1751" t="n"/>
      <c r="O245" s="1751" t="n"/>
      <c r="P245" s="1751" t="n"/>
      <c r="Q245" s="1751" t="n"/>
      <c r="R245" s="1751" t="n"/>
      <c r="S245" s="1751" t="n"/>
      <c r="T245" s="1751" t="n"/>
      <c r="U245" s="1751" t="n"/>
      <c r="V245" s="1751" t="n"/>
      <c r="W245" s="1797" t="n"/>
      <c r="X245" s="1797" t="n"/>
      <c r="Y245" s="1797" t="n"/>
      <c r="Z245" s="1797" t="n"/>
      <c r="AA245" s="1797" t="n"/>
      <c r="AB245" s="1797" t="n"/>
      <c r="AC245" s="1797" t="n"/>
      <c r="AD245" s="1797" t="n"/>
      <c r="AE245" s="1797" t="n"/>
      <c r="AF245" s="1797" t="n"/>
      <c r="AG245" s="1797" t="n"/>
      <c r="AH245" s="1797" t="n"/>
      <c r="AI245" s="1797" t="n"/>
      <c r="AJ245" s="1797" t="n"/>
      <c r="AK245" s="1973" t="n"/>
      <c r="AL245" s="1797" t="n"/>
      <c r="AM245" s="1797" t="n"/>
      <c r="AN245" s="1797" t="n"/>
      <c r="AO245" s="1797" t="n"/>
      <c r="AP245" s="1973" t="n"/>
      <c r="AQ245" s="1797" t="n"/>
      <c r="AR245" s="1797" t="n"/>
      <c r="AS245" s="1797" t="n"/>
      <c r="AT245" s="1797" t="n"/>
      <c r="AU245" s="1973" t="n"/>
      <c r="AV245" s="1797" t="n"/>
      <c r="AW245" s="1975" t="n"/>
      <c r="AX245" s="449" t="n"/>
      <c r="AY245" s="449" t="n"/>
      <c r="AZ245" s="449" t="n"/>
      <c r="BA245" s="1795" t="n"/>
      <c r="BB245" s="677" t="n"/>
      <c r="BC245" s="449" t="n"/>
      <c r="BD245" s="449" t="n"/>
      <c r="BE245" s="449" t="n"/>
      <c r="BF245" s="2003">
        <f t="array" ref="BF245">BF246*(BA353+BA354)</f>
        <v/>
      </c>
      <c r="BG245" s="341" t="n"/>
      <c r="BH245" s="341" t="n"/>
      <c r="BI245" s="341" t="n"/>
      <c r="BJ245" s="341" t="n"/>
      <c r="BK245" s="1973">
        <f t="array" ref="BK245">BK246*(BF353+BF354)</f>
        <v/>
      </c>
      <c r="BL245" s="341" t="n"/>
      <c r="BM245" s="341" t="n"/>
      <c r="BN245" s="341" t="n"/>
      <c r="BO245" s="341" t="n"/>
      <c r="BP245" s="1973">
        <f t="array" ref="BP245">BP246*(BK353+BK354)</f>
        <v/>
      </c>
      <c r="BQ245" s="341" t="n"/>
      <c r="BR245" s="341" t="n"/>
      <c r="BS245" s="341" t="n"/>
      <c r="BT245" s="341" t="n"/>
      <c r="BU245" s="1973">
        <f t="array" ref="BU245">BU246*(BP353+BP354)</f>
        <v/>
      </c>
      <c r="BV245" s="341" t="n"/>
      <c r="BW245" s="341" t="n"/>
      <c r="BX245" s="341" t="n"/>
      <c r="BY245" s="341" t="n"/>
      <c r="BZ245" s="1973">
        <f t="array" ref="BZ245">BZ246*(BU353+BU354)</f>
        <v/>
      </c>
      <c r="CA245" s="577" t="n"/>
      <c r="CB245" s="575" t="n"/>
      <c r="CC245" s="701" t="n"/>
      <c r="CD245" s="701" t="n"/>
      <c r="CE245" s="701" t="n"/>
      <c r="CF245" s="701" t="n"/>
      <c r="CG245" s="701" t="n"/>
      <c r="CH245" s="701" t="n"/>
      <c r="CI245" s="701" t="n"/>
      <c r="CJ245" s="701" t="n"/>
      <c r="CK245" s="701" t="n"/>
      <c r="CL245" s="701" t="n"/>
      <c r="CM245" s="701" t="n"/>
      <c r="CN245" s="701" t="n"/>
      <c r="CO245" s="701" t="n"/>
      <c r="CP245" s="701" t="n"/>
      <c r="CQ245" s="701" t="n"/>
      <c r="CR245" s="701" t="n"/>
      <c r="CS245" s="701" t="n"/>
      <c r="CT245" s="701" t="n"/>
      <c r="CU245" s="701" t="n"/>
      <c r="CV245" s="701" t="n"/>
      <c r="CW245" s="30" t="n"/>
    </row>
    <row r="246" hidden="1" ht="12.75" customHeight="1" s="1676">
      <c r="A246" s="31" t="n"/>
      <c r="B246" s="238" t="inlineStr">
        <is>
          <t>Text_206</t>
        </is>
      </c>
      <c r="C246" s="699" t="n"/>
      <c r="D246" s="1751" t="n"/>
      <c r="E246" s="1751" t="n"/>
      <c r="F246" s="1751" t="n"/>
      <c r="G246" s="1751" t="n"/>
      <c r="H246" s="1751" t="n"/>
      <c r="I246" s="1751" t="n"/>
      <c r="J246" s="1751" t="n"/>
      <c r="K246" s="1751" t="n"/>
      <c r="L246" s="1751" t="n"/>
      <c r="M246" s="1751" t="n"/>
      <c r="N246" s="1751" t="n"/>
      <c r="O246" s="1751" t="n"/>
      <c r="P246" s="1751" t="n"/>
      <c r="Q246" s="1751" t="n"/>
      <c r="R246" s="1751" t="n"/>
      <c r="S246" s="1751" t="n"/>
      <c r="T246" s="1751" t="n"/>
      <c r="U246" s="1751" t="n"/>
      <c r="V246" s="1751" t="n"/>
      <c r="W246" s="1797" t="n"/>
      <c r="X246" s="1797" t="n"/>
      <c r="Y246" s="1797" t="n"/>
      <c r="Z246" s="1797" t="n"/>
      <c r="AA246" s="1797" t="n"/>
      <c r="AB246" s="1797" t="n"/>
      <c r="AC246" s="1797" t="n"/>
      <c r="AD246" s="1797" t="n"/>
      <c r="AE246" s="1797" t="n"/>
      <c r="AF246" s="1797" t="n"/>
      <c r="AG246" s="1797" t="n"/>
      <c r="AH246" s="1797" t="n"/>
      <c r="AI246" s="1797" t="n"/>
      <c r="AJ246" s="1797" t="n"/>
      <c r="AK246" s="1973" t="n"/>
      <c r="AL246" s="1797" t="n"/>
      <c r="AM246" s="1797" t="n"/>
      <c r="AN246" s="1797" t="n"/>
      <c r="AO246" s="1797" t="n"/>
      <c r="AP246" s="1973" t="n"/>
      <c r="AQ246" s="1797" t="n"/>
      <c r="AR246" s="1720" t="n"/>
      <c r="AS246" s="1720" t="n"/>
      <c r="AT246" s="1720" t="n"/>
      <c r="AU246" s="1720" t="n"/>
      <c r="AV246" s="1720" t="n"/>
      <c r="AW246" s="1721" t="n"/>
      <c r="AX246" s="449" t="n"/>
      <c r="AY246" s="449" t="n"/>
      <c r="AZ246" s="449" t="n"/>
      <c r="BA246" s="1723" t="n"/>
      <c r="BB246" s="677" t="n"/>
      <c r="BC246" s="449" t="n"/>
      <c r="BD246" s="449" t="n"/>
      <c r="BE246" s="449" t="n"/>
      <c r="BF246" s="1855" t="n"/>
      <c r="BG246" s="699" t="n"/>
      <c r="BH246" s="699" t="n"/>
      <c r="BI246" s="699" t="n"/>
      <c r="BJ246" s="699" t="n"/>
      <c r="BK246" s="1856" t="n"/>
      <c r="BL246" s="341" t="n"/>
      <c r="BM246" s="341" t="n"/>
      <c r="BN246" s="341" t="n"/>
      <c r="BO246" s="341" t="n"/>
      <c r="BP246" s="1856" t="n"/>
      <c r="BQ246" s="341" t="n"/>
      <c r="BR246" s="341" t="n"/>
      <c r="BS246" s="341" t="n"/>
      <c r="BT246" s="341" t="n"/>
      <c r="BU246" s="1856" t="n"/>
      <c r="BV246" s="341" t="n"/>
      <c r="BW246" s="341" t="n"/>
      <c r="BX246" s="341" t="n"/>
      <c r="BY246" s="341" t="n"/>
      <c r="BZ246" s="1856" t="n"/>
      <c r="CA246" s="577" t="n"/>
      <c r="CB246" s="575" t="n"/>
      <c r="CC246" s="701" t="n"/>
      <c r="CD246" s="701" t="n"/>
      <c r="CE246" s="701" t="n"/>
      <c r="CF246" s="701" t="n"/>
      <c r="CG246" s="701" t="n"/>
      <c r="CH246" s="701" t="n"/>
      <c r="CI246" s="701" t="n"/>
      <c r="CJ246" s="701" t="n"/>
      <c r="CK246" s="701" t="n"/>
      <c r="CL246" s="701" t="n"/>
      <c r="CM246" s="701" t="n"/>
      <c r="CN246" s="701" t="n"/>
      <c r="CO246" s="701" t="n"/>
      <c r="CP246" s="701" t="n"/>
      <c r="CQ246" s="701" t="n"/>
      <c r="CR246" s="701" t="n"/>
      <c r="CS246" s="701" t="n"/>
      <c r="CT246" s="701" t="n"/>
      <c r="CU246" s="701" t="n"/>
      <c r="CV246" s="701" t="n"/>
      <c r="CW246" s="30" t="n"/>
    </row>
    <row r="247" ht="12.75" customHeight="1" s="1676">
      <c r="A247" s="31" t="n"/>
      <c r="B247" s="522" t="inlineStr">
        <is>
          <t>Text_207</t>
        </is>
      </c>
      <c r="C247" s="699" t="n"/>
      <c r="D247" s="1797" t="n"/>
      <c r="E247" s="1797" t="n"/>
      <c r="F247" s="1797" t="n"/>
      <c r="G247" s="1797" t="n"/>
      <c r="H247" s="1797" t="n"/>
      <c r="I247" s="1797" t="n"/>
      <c r="J247" s="1797" t="n"/>
      <c r="K247" s="1797" t="n"/>
      <c r="L247" s="1797" t="n"/>
      <c r="M247" s="1797" t="n"/>
      <c r="N247" s="1797" t="n"/>
      <c r="O247" s="1797" t="n"/>
      <c r="P247" s="1797" t="n"/>
      <c r="Q247" s="1797" t="n"/>
      <c r="R247" s="1797" t="n">
        <v>-138.046825384101</v>
      </c>
      <c r="S247" s="1751" t="n"/>
      <c r="T247" s="1751" t="n"/>
      <c r="U247" s="1751" t="n"/>
      <c r="V247" s="1751" t="n"/>
      <c r="W247" s="1797" t="n">
        <v>-97.0004123668275</v>
      </c>
      <c r="X247" s="1797" t="n"/>
      <c r="Y247" s="1797" t="n"/>
      <c r="Z247" s="1797" t="n"/>
      <c r="AA247" s="1797" t="n"/>
      <c r="AB247" s="1797" t="n">
        <v>-126.821407824926</v>
      </c>
      <c r="AC247" s="1797" t="n"/>
      <c r="AD247" s="1797" t="n"/>
      <c r="AE247" s="1797" t="n"/>
      <c r="AF247" s="1797" t="n"/>
      <c r="AG247" s="1797" t="n">
        <v>-128.58838542107</v>
      </c>
      <c r="AH247" s="1797" t="n"/>
      <c r="AI247" s="1797" t="n"/>
      <c r="AJ247" s="1797" t="n"/>
      <c r="AK247" s="1745" t="n"/>
      <c r="AL247" s="1797" t="n">
        <v>-146.28897577862</v>
      </c>
      <c r="AM247" s="1797" t="n">
        <v>-36.2655497295972</v>
      </c>
      <c r="AN247" s="1797" t="n">
        <v>-36.2799714891174</v>
      </c>
      <c r="AO247" s="1797" t="n">
        <v>-43.1037551956189</v>
      </c>
      <c r="AP247" s="1797" t="n">
        <v>-42.2268409607382</v>
      </c>
      <c r="AQ247" s="1745">
        <f t="array" ref="AQ247">AP247+AO247+AN247+AM247</f>
        <v/>
      </c>
      <c r="AR247" s="1797" t="n">
        <v>-72.8682248220013</v>
      </c>
      <c r="AS247" s="1797" t="n">
        <v>-66.48191121653799</v>
      </c>
      <c r="AT247" s="1797" t="n">
        <v>-70.9830117869169</v>
      </c>
      <c r="AU247" s="1797" t="n">
        <v>-65.4737088708785</v>
      </c>
      <c r="AV247" s="1745">
        <f t="array" ref="AV247">AU247+AT247+AS247+AR247</f>
        <v/>
      </c>
      <c r="AW247" s="1975" t="n">
        <v>-61.5606504820107</v>
      </c>
      <c r="AX247" s="1854" t="n">
        <v>-77.272437010434</v>
      </c>
      <c r="AY247" s="1854" t="n">
        <v>-85.3625311364915</v>
      </c>
      <c r="AZ247" s="1854" t="n">
        <v>-86.795240920821</v>
      </c>
      <c r="BA247" s="1748">
        <f t="array" ref="BA247">AZ247+AY247+AX247+AW247</f>
        <v/>
      </c>
      <c r="BB247" s="1975" t="n">
        <v>-80.9711076292547</v>
      </c>
      <c r="BC247" s="1854" t="n">
        <v>-71.3754870334475</v>
      </c>
      <c r="BD247" s="1874">
        <f t="array" ref="BD247">BC247</f>
        <v/>
      </c>
      <c r="BE247" s="1874">
        <f t="array" ref="BE247">BD247</f>
        <v/>
      </c>
      <c r="BF247" s="1865">
        <f t="array" ref="BF247">BE247+BD247+BC247+BB247</f>
        <v/>
      </c>
      <c r="BG247" s="699" t="n"/>
      <c r="BH247" s="699" t="n"/>
      <c r="BI247" s="699" t="n"/>
      <c r="BJ247" s="699" t="n"/>
      <c r="BK247" s="1862">
        <f t="array" ref="BK247">BF247</f>
        <v/>
      </c>
      <c r="BL247" s="699" t="n"/>
      <c r="BM247" s="699" t="n"/>
      <c r="BN247" s="699" t="n"/>
      <c r="BO247" s="699" t="n"/>
      <c r="BP247" s="1862">
        <f t="array" ref="BP247">BK247</f>
        <v/>
      </c>
      <c r="BQ247" s="699" t="n"/>
      <c r="BR247" s="699" t="n"/>
      <c r="BS247" s="699" t="n"/>
      <c r="BT247" s="699" t="n"/>
      <c r="BU247" s="1862">
        <f t="array" ref="BU247">BP247</f>
        <v/>
      </c>
      <c r="BV247" s="699" t="n"/>
      <c r="BW247" s="699" t="n"/>
      <c r="BX247" s="699" t="n"/>
      <c r="BY247" s="699" t="n"/>
      <c r="BZ247" s="1862">
        <f t="array" ref="BZ247">BU247</f>
        <v/>
      </c>
      <c r="CA247" s="167" t="inlineStr">
        <is>
          <t>Text_208</t>
        </is>
      </c>
      <c r="CB247" s="575" t="n"/>
      <c r="CC247" s="701" t="n"/>
      <c r="CD247" s="701" t="n"/>
      <c r="CE247" s="701" t="n"/>
      <c r="CF247" s="701" t="n"/>
      <c r="CG247" s="701" t="n"/>
      <c r="CH247" s="701" t="n"/>
      <c r="CI247" s="701" t="n"/>
      <c r="CJ247" s="701" t="n"/>
      <c r="CK247" s="701" t="n"/>
      <c r="CL247" s="701" t="n"/>
      <c r="CM247" s="701" t="n"/>
      <c r="CN247" s="701" t="n"/>
      <c r="CO247" s="701" t="n"/>
      <c r="CP247" s="701" t="n"/>
      <c r="CQ247" s="701" t="n"/>
      <c r="CR247" s="701" t="n"/>
      <c r="CS247" s="701" t="n"/>
      <c r="CT247" s="701" t="n"/>
      <c r="CU247" s="701" t="n"/>
      <c r="CV247" s="701" t="n"/>
      <c r="CW247" s="30" t="n"/>
    </row>
    <row r="248" ht="12.75" customHeight="1" s="1676">
      <c r="A248" s="31" t="n"/>
      <c r="B248" s="167" t="inlineStr">
        <is>
          <t>Text_209</t>
        </is>
      </c>
      <c r="C248" s="699" t="n"/>
      <c r="D248" s="699" t="n"/>
      <c r="E248" s="699" t="n"/>
      <c r="F248" s="699" t="n"/>
      <c r="G248" s="699" t="n"/>
      <c r="H248" s="165" t="n"/>
      <c r="I248" s="699" t="n"/>
      <c r="J248" s="699" t="n"/>
      <c r="K248" s="699" t="n"/>
      <c r="L248" s="699" t="n"/>
      <c r="M248" s="1751">
        <f t="array" ref="M248">M247/((M354+H354)/2)</f>
        <v/>
      </c>
      <c r="N248" s="699" t="n"/>
      <c r="O248" s="699" t="n"/>
      <c r="P248" s="699" t="n"/>
      <c r="Q248" s="699" t="n"/>
      <c r="R248" s="1751">
        <f t="array" ref="R248">R247/((R354+M354)/2)</f>
        <v/>
      </c>
      <c r="S248" s="1751" t="n"/>
      <c r="T248" s="1751" t="n"/>
      <c r="U248" s="1751" t="n"/>
      <c r="V248" s="1751" t="n"/>
      <c r="W248" s="1751">
        <f t="array" ref="W248">W247/((W354+R354)/2)</f>
        <v/>
      </c>
      <c r="X248" s="1751" t="n"/>
      <c r="Y248" s="1751" t="n"/>
      <c r="Z248" s="1751" t="n"/>
      <c r="AA248" s="1751" t="n"/>
      <c r="AB248" s="1751">
        <f t="array" ref="AB248">AB247/((AB354+W354)/2)</f>
        <v/>
      </c>
      <c r="AC248" s="1751" t="n"/>
      <c r="AD248" s="1751" t="n"/>
      <c r="AE248" s="1751" t="n"/>
      <c r="AF248" s="1751" t="n"/>
      <c r="AG248" s="1751">
        <f t="array" ref="AG248">AG247/((AG354+AB354)/2)</f>
        <v/>
      </c>
      <c r="AH248" s="1751" t="n"/>
      <c r="AI248" s="1751" t="n"/>
      <c r="AJ248" s="1751" t="n"/>
      <c r="AK248" s="1751" t="n"/>
      <c r="AL248" s="1751">
        <f t="array" ref="AL248">AL247/((AL354+AG354)/2)</f>
        <v/>
      </c>
      <c r="AM248" s="1751" t="n"/>
      <c r="AN248" s="1751" t="n"/>
      <c r="AO248" s="1751" t="n"/>
      <c r="AP248" s="1751" t="n"/>
      <c r="AQ248" s="1751">
        <f t="array" ref="AQ248">AQ247/((AQ354+AL354)/2)</f>
        <v/>
      </c>
      <c r="AR248" s="1751" t="n"/>
      <c r="AS248" s="1751" t="n"/>
      <c r="AT248" s="1745" t="n"/>
      <c r="AU248" s="1751" t="n"/>
      <c r="AV248" s="1751">
        <f t="array" ref="AV248">AV247/((AV354+AQ354)/2)</f>
        <v/>
      </c>
      <c r="AW248" s="1749" t="n"/>
      <c r="AX248" s="1750" t="n"/>
      <c r="AY248" s="1874" t="n"/>
      <c r="AZ248" s="1750" t="n"/>
      <c r="BA248" s="1784">
        <f t="array" ref="BA248">BA247/((BA354+AV354)/2)</f>
        <v/>
      </c>
      <c r="BB248" s="1749" t="n"/>
      <c r="BC248" s="1750" t="n"/>
      <c r="BD248" s="1750" t="n"/>
      <c r="BE248" s="1750" t="n"/>
      <c r="BF248" s="1784">
        <f t="array" ref="BF248">BF247/((BF354+BA354)/2)</f>
        <v/>
      </c>
      <c r="BG248" s="526" t="n"/>
      <c r="BH248" s="526" t="n"/>
      <c r="BI248" s="526" t="n"/>
      <c r="BJ248" s="526" t="n"/>
      <c r="BK248" s="1751">
        <f t="array" ref="BK248">BK247/((BK354+BF354)/2)</f>
        <v/>
      </c>
      <c r="BL248" s="1751" t="n"/>
      <c r="BM248" s="1751" t="n"/>
      <c r="BN248" s="1751" t="n"/>
      <c r="BO248" s="1751" t="n"/>
      <c r="BP248" s="1751">
        <f t="array" ref="BP248">BP247/((BP354+BK354)/2)</f>
        <v/>
      </c>
      <c r="BQ248" s="1751" t="n"/>
      <c r="BR248" s="1751" t="n"/>
      <c r="BS248" s="1751" t="n"/>
      <c r="BT248" s="1751" t="n"/>
      <c r="BU248" s="1751">
        <f t="array" ref="BU248">BU247/((BU354+BP354)/2)</f>
        <v/>
      </c>
      <c r="BV248" s="1751" t="n"/>
      <c r="BW248" s="1751" t="n"/>
      <c r="BX248" s="1751" t="n"/>
      <c r="BY248" s="1751" t="n"/>
      <c r="BZ248" s="1751">
        <f t="array" ref="BZ248">BZ247/((BZ354+BU354)/2)</f>
        <v/>
      </c>
      <c r="CA248" s="103" t="inlineStr">
        <is>
          <t>Text_210</t>
        </is>
      </c>
      <c r="CB248" s="575" t="n"/>
      <c r="CC248" s="701" t="n"/>
      <c r="CD248" s="701" t="n"/>
      <c r="CE248" s="701" t="n"/>
      <c r="CF248" s="701" t="n"/>
      <c r="CG248" s="701" t="n"/>
      <c r="CH248" s="701" t="n"/>
      <c r="CI248" s="701" t="n"/>
      <c r="CJ248" s="701" t="n"/>
      <c r="CK248" s="701" t="n"/>
      <c r="CL248" s="701" t="n"/>
      <c r="CM248" s="701" t="n"/>
      <c r="CN248" s="701" t="n"/>
      <c r="CO248" s="701" t="n"/>
      <c r="CP248" s="701" t="n"/>
      <c r="CQ248" s="701" t="n"/>
      <c r="CR248" s="701" t="n"/>
      <c r="CS248" s="701" t="n"/>
      <c r="CT248" s="701" t="n"/>
      <c r="CU248" s="701" t="n"/>
      <c r="CV248" s="701" t="n"/>
      <c r="CW248" s="30" t="n"/>
    </row>
    <row r="249" ht="12.75" customHeight="1" s="1676">
      <c r="A249" s="31" t="n"/>
      <c r="B249" s="522" t="inlineStr">
        <is>
          <t>Text_211</t>
        </is>
      </c>
      <c r="C249" s="699" t="n"/>
      <c r="D249" s="699" t="n"/>
      <c r="E249" s="699" t="n"/>
      <c r="F249" s="699" t="n"/>
      <c r="G249" s="699" t="n"/>
      <c r="H249" s="1797" t="n"/>
      <c r="I249" s="699" t="n"/>
      <c r="J249" s="699" t="n"/>
      <c r="K249" s="699" t="n"/>
      <c r="L249" s="699" t="n"/>
      <c r="M249" s="1797" t="n"/>
      <c r="N249" s="699" t="n"/>
      <c r="O249" s="699" t="n"/>
      <c r="P249" s="699" t="n"/>
      <c r="Q249" s="699" t="n"/>
      <c r="R249" s="1797" t="n">
        <v>19.2667994612389</v>
      </c>
      <c r="S249" s="1751" t="n"/>
      <c r="T249" s="1751" t="n"/>
      <c r="U249" s="1751" t="n"/>
      <c r="V249" s="1751" t="n"/>
      <c r="W249" s="1797" t="n">
        <v>30.7146603898089</v>
      </c>
      <c r="X249" s="1797" t="n"/>
      <c r="Y249" s="1797" t="n"/>
      <c r="Z249" s="1797" t="n"/>
      <c r="AA249" s="1797" t="n"/>
      <c r="AB249" s="1797" t="n">
        <v>31.2000080935946</v>
      </c>
      <c r="AC249" s="1797" t="n"/>
      <c r="AD249" s="1797" t="n"/>
      <c r="AE249" s="1797" t="n"/>
      <c r="AF249" s="1797" t="n"/>
      <c r="AG249" s="1797" t="n">
        <v>-2.16986778089185</v>
      </c>
      <c r="AH249" s="1797" t="n"/>
      <c r="AI249" s="1797" t="n"/>
      <c r="AJ249" s="1797" t="n"/>
      <c r="AK249" s="1745" t="n"/>
      <c r="AL249" s="1797" t="n">
        <v>27.4412975380407</v>
      </c>
      <c r="AM249" s="1797" t="n">
        <v>-13.4623864198528</v>
      </c>
      <c r="AN249" s="1797" t="n">
        <v>-1.18479815464762</v>
      </c>
      <c r="AO249" s="1797">
        <f t="array" ref="AO249">-8.644-AO288</f>
        <v/>
      </c>
      <c r="AP249" s="1797">
        <f t="array" ref="AP249">19.38-AP288</f>
        <v/>
      </c>
      <c r="AQ249" s="1745">
        <f t="array" ref="AQ249">AP249+AO249+AN249+AM249</f>
        <v/>
      </c>
      <c r="AR249" s="1797">
        <f t="array" ref="AR249">47.006-21.417</f>
        <v/>
      </c>
      <c r="AS249" s="1797" t="n">
        <v>18.6536141605659</v>
      </c>
      <c r="AT249" s="1797">
        <f t="array" ref="AT249">14.864-AT288</f>
        <v/>
      </c>
      <c r="AU249" s="1797" t="n">
        <v>25.1090146790821</v>
      </c>
      <c r="AV249" s="1745">
        <f t="array" ref="AV249">AU249+AT249+AS249+AR249</f>
        <v/>
      </c>
      <c r="AW249" s="1975" t="n">
        <v>27.8931097104816</v>
      </c>
      <c r="AX249" s="1854" t="n">
        <v>35.5608225566502</v>
      </c>
      <c r="AY249" s="1854">
        <f t="array" ref="AY249">45.622-AY288</f>
        <v/>
      </c>
      <c r="AZ249" s="1854" t="n">
        <v>56.8898235797943</v>
      </c>
      <c r="BA249" s="1748">
        <f t="array" ref="BA249">AZ249+AY249+AX249+AW249</f>
        <v/>
      </c>
      <c r="BB249" s="1975" t="n">
        <v>44.5065472501326</v>
      </c>
      <c r="BC249" s="1854" t="n">
        <v>52.5586689899058</v>
      </c>
      <c r="BD249" s="1854" t="n">
        <v>29.0625491905396</v>
      </c>
      <c r="BE249" s="1854" t="n">
        <v>43.9155597136709</v>
      </c>
      <c r="BF249" s="1748">
        <f t="array" ref="BF249">BE249+BD249+BC249+BB249</f>
        <v/>
      </c>
      <c r="BG249" s="699" t="n"/>
      <c r="BH249" s="699" t="n"/>
      <c r="BI249" s="699" t="n"/>
      <c r="BJ249" s="699" t="n"/>
      <c r="BK249" s="1862" t="n">
        <v>80.30251499912571</v>
      </c>
      <c r="BL249" s="699" t="n"/>
      <c r="BM249" s="699" t="n"/>
      <c r="BN249" s="699" t="n"/>
      <c r="BO249" s="699" t="n"/>
      <c r="BP249" s="1862" t="n">
        <v>105.898988566184</v>
      </c>
      <c r="BQ249" s="699" t="n"/>
      <c r="BR249" s="699" t="n"/>
      <c r="BS249" s="699" t="n"/>
      <c r="BT249" s="699" t="n"/>
      <c r="BU249" s="1862" t="n">
        <v>115.921221958</v>
      </c>
      <c r="BV249" s="699" t="n"/>
      <c r="BW249" s="699" t="n"/>
      <c r="BX249" s="699" t="n"/>
      <c r="BY249" s="699" t="n"/>
      <c r="BZ249" s="1862" t="n">
        <v>89.739291863052</v>
      </c>
      <c r="CA249" s="2002">
        <f t="array" ref="CA249">AVERAGE(BZ242,BU242,BP242,BK242,BF242)</f>
        <v/>
      </c>
      <c r="CB249" s="574" t="inlineStr">
        <is>
          <t>Text_212</t>
        </is>
      </c>
      <c r="CC249" s="701" t="n"/>
      <c r="CD249" s="701" t="n"/>
      <c r="CE249" s="701" t="n"/>
      <c r="CF249" s="701" t="n"/>
      <c r="CG249" s="701" t="n"/>
      <c r="CH249" s="701" t="n"/>
      <c r="CI249" s="701" t="n"/>
      <c r="CJ249" s="701" t="n"/>
      <c r="CK249" s="701" t="n"/>
      <c r="CL249" s="701" t="n"/>
      <c r="CM249" s="701" t="n"/>
      <c r="CN249" s="701" t="n"/>
      <c r="CO249" s="701" t="n"/>
      <c r="CP249" s="701" t="n"/>
      <c r="CQ249" s="701" t="n"/>
      <c r="CR249" s="701" t="n"/>
      <c r="CS249" s="701" t="n"/>
      <c r="CT249" s="701" t="n"/>
      <c r="CU249" s="701" t="n"/>
      <c r="CV249" s="701" t="n"/>
      <c r="CW249" s="30" t="n"/>
    </row>
    <row r="250" ht="14.25" customHeight="1" s="1676">
      <c r="A250" s="13" t="n"/>
      <c r="B250" s="525" t="inlineStr">
        <is>
          <t>Text_213</t>
        </is>
      </c>
      <c r="C250" s="526" t="n"/>
      <c r="D250" s="1882">
        <f t="array" ref="D250">D247+D238</f>
        <v/>
      </c>
      <c r="E250" s="1882">
        <f t="array" ref="E250">E247+E238</f>
        <v/>
      </c>
      <c r="F250" s="1882">
        <f t="array" ref="F250">F247+F238</f>
        <v/>
      </c>
      <c r="G250" s="1882">
        <f t="array" ref="G250">G247+G238</f>
        <v/>
      </c>
      <c r="H250" s="1882" t="n"/>
      <c r="I250" s="1882">
        <f t="array" ref="I250">I247+I238</f>
        <v/>
      </c>
      <c r="J250" s="1882">
        <f t="array" ref="J250">J247+J238</f>
        <v/>
      </c>
      <c r="K250" s="1882">
        <f t="array" ref="K250">K247+K238</f>
        <v/>
      </c>
      <c r="L250" s="1882">
        <f t="array" ref="L250">L247+L238</f>
        <v/>
      </c>
      <c r="M250" s="1882">
        <f t="array" ref="M250">M247+M238+M249</f>
        <v/>
      </c>
      <c r="N250" s="1882" t="n"/>
      <c r="O250" s="1882" t="n"/>
      <c r="P250" s="1882" t="n"/>
      <c r="Q250" s="1882" t="n"/>
      <c r="R250" s="1882">
        <f t="array" ref="R250">R247+R238+R249</f>
        <v/>
      </c>
      <c r="S250" s="1882" t="n"/>
      <c r="T250" s="1882" t="n"/>
      <c r="U250" s="1882" t="n"/>
      <c r="V250" s="1882" t="n"/>
      <c r="W250" s="1882">
        <f t="array" ref="W250">W247+W238+W249</f>
        <v/>
      </c>
      <c r="X250" s="1882" t="n"/>
      <c r="Y250" s="1882" t="n"/>
      <c r="Z250" s="1882" t="n"/>
      <c r="AA250" s="1882" t="n"/>
      <c r="AB250" s="1882">
        <f t="array" ref="AB250">AB247+AB238+AB249</f>
        <v/>
      </c>
      <c r="AC250" s="1882">
        <f t="array" ref="AC250">AC247+AC238+AC249</f>
        <v/>
      </c>
      <c r="AD250" s="1882">
        <f t="array" ref="AD250">AD247+AD238+AD249</f>
        <v/>
      </c>
      <c r="AE250" s="1882">
        <f t="array" ref="AE250">AE247+AE238+AE249</f>
        <v/>
      </c>
      <c r="AF250" s="1882">
        <f t="array" ref="AF250">AF247+AF238+AF249</f>
        <v/>
      </c>
      <c r="AG250" s="1882">
        <f t="array" ref="AG250">AG247+AG238+AG249</f>
        <v/>
      </c>
      <c r="AH250" s="1882">
        <f t="array" ref="AH250">AH247+AH238+AH249</f>
        <v/>
      </c>
      <c r="AI250" s="1882">
        <f t="array" ref="AI250">AI247+AI238+AI249</f>
        <v/>
      </c>
      <c r="AJ250" s="1882">
        <f t="array" ref="AJ250">AJ247+AJ238+AJ249</f>
        <v/>
      </c>
      <c r="AK250" s="1882">
        <f t="array" ref="AK250">AK247+AK238+AK249</f>
        <v/>
      </c>
      <c r="AL250" s="1882">
        <f t="array" ref="AL250">AL247+AL238+AL249</f>
        <v/>
      </c>
      <c r="AM250" s="1882">
        <f t="array" ref="AM250">AM247+AM238+AM249</f>
        <v/>
      </c>
      <c r="AN250" s="1882">
        <f t="array" ref="AN250">AN247+AN238+AN249</f>
        <v/>
      </c>
      <c r="AO250" s="1882">
        <f t="array" ref="AO250">AO247+AO238+AO249</f>
        <v/>
      </c>
      <c r="AP250" s="1882">
        <f t="array" ref="AP250">AP247+AP238+AP249</f>
        <v/>
      </c>
      <c r="AQ250" s="1882">
        <f t="array" ref="AQ250">AQ247+AQ238+AQ249</f>
        <v/>
      </c>
      <c r="AR250" s="1882">
        <f t="array" ref="AR250">AR247+AR238+AR249</f>
        <v/>
      </c>
      <c r="AS250" s="1882">
        <f t="array" ref="AS250">AS247+AS238+AS249</f>
        <v/>
      </c>
      <c r="AT250" s="1882">
        <f t="array" ref="AT250">AT247+AT238+AT249</f>
        <v/>
      </c>
      <c r="AU250" s="1882">
        <f t="array" ref="AU250">AU247+AU238+AU249</f>
        <v/>
      </c>
      <c r="AV250" s="1882">
        <f t="array" ref="AV250">AV247+AV238+AV249</f>
        <v/>
      </c>
      <c r="AW250" s="2004">
        <f t="array" ref="AW250">AW247+AW238+AW249</f>
        <v/>
      </c>
      <c r="AX250" s="2005">
        <f t="array" ref="AX250">AX247+AX238+AX249</f>
        <v/>
      </c>
      <c r="AY250" s="2005">
        <f t="array" ref="AY250">AY247+AY238+AY249</f>
        <v/>
      </c>
      <c r="AZ250" s="2005">
        <f t="array" ref="AZ250">AZ247+AZ238+AZ249</f>
        <v/>
      </c>
      <c r="BA250" s="1881">
        <f t="array" ref="BA250">BA247+BA238+BA249</f>
        <v/>
      </c>
      <c r="BB250" s="2004">
        <f t="array" ref="BB250">BB247+BB238+BB249</f>
        <v/>
      </c>
      <c r="BC250" s="2005">
        <f t="array" ref="BC250">BC247+BC238+BC249</f>
        <v/>
      </c>
      <c r="BD250" s="2005">
        <f t="array" ref="BD250">BD247+BD238+BD249</f>
        <v/>
      </c>
      <c r="BE250" s="2005">
        <f t="array" ref="BE250">BE247+BE238+BE249</f>
        <v/>
      </c>
      <c r="BF250" s="1881">
        <f t="array" ref="BF250">BF247+BF238+BF249</f>
        <v/>
      </c>
      <c r="BG250" s="526" t="n"/>
      <c r="BH250" s="526" t="n"/>
      <c r="BI250" s="526" t="n"/>
      <c r="BJ250" s="526" t="n"/>
      <c r="BK250" s="1882">
        <f t="array" ref="BK250">BK247+BK238+BK249</f>
        <v/>
      </c>
      <c r="BL250" s="526" t="n"/>
      <c r="BM250" s="526" t="n"/>
      <c r="BN250" s="526" t="n"/>
      <c r="BO250" s="526" t="n"/>
      <c r="BP250" s="1882">
        <f t="array" ref="BP250">BP247+BP238+BP249</f>
        <v/>
      </c>
      <c r="BQ250" s="526" t="n"/>
      <c r="BR250" s="526" t="n"/>
      <c r="BS250" s="526" t="n"/>
      <c r="BT250" s="526" t="n"/>
      <c r="BU250" s="1882">
        <f t="array" ref="BU250">BU247+BU238+BU249</f>
        <v/>
      </c>
      <c r="BV250" s="526" t="n"/>
      <c r="BW250" s="526" t="n"/>
      <c r="BX250" s="526" t="n"/>
      <c r="BY250" s="526" t="n"/>
      <c r="BZ250" s="1882">
        <f t="array" ref="BZ250">BZ247+BZ238+BZ249</f>
        <v/>
      </c>
      <c r="CA250" s="561" t="n"/>
      <c r="CB250" s="319" t="n"/>
      <c r="CC250" s="701" t="n"/>
      <c r="CD250" s="701" t="n"/>
      <c r="CE250" s="701" t="n"/>
      <c r="CF250" s="701" t="n"/>
      <c r="CG250" s="701" t="n"/>
      <c r="CH250" s="701" t="n"/>
      <c r="CI250" s="701" t="n"/>
      <c r="CJ250" s="701" t="n"/>
      <c r="CK250" s="701" t="n"/>
      <c r="CL250" s="701" t="n"/>
      <c r="CM250" s="701" t="n"/>
      <c r="CN250" s="701" t="n"/>
      <c r="CO250" s="701" t="n"/>
      <c r="CP250" s="701" t="n"/>
      <c r="CQ250" s="701" t="n"/>
      <c r="CR250" s="701" t="n"/>
      <c r="CS250" s="701" t="n"/>
      <c r="CT250" s="701" t="n"/>
      <c r="CU250" s="701" t="n"/>
      <c r="CV250" s="701" t="n"/>
      <c r="CW250" s="30" t="n"/>
    </row>
    <row r="251" ht="12.75" customHeight="1" s="1676">
      <c r="A251" s="31" t="n"/>
      <c r="B251" s="183" t="inlineStr">
        <is>
          <t>Text_214</t>
        </is>
      </c>
      <c r="C251" s="699" t="n"/>
      <c r="D251" s="1713" t="n"/>
      <c r="E251" s="1713" t="n"/>
      <c r="F251" s="1713" t="n"/>
      <c r="G251" s="1713" t="n"/>
      <c r="H251" s="1714" t="n"/>
      <c r="I251" s="1761" t="n">
        <v>38.3441525368316</v>
      </c>
      <c r="J251" s="1761" t="n">
        <v>29.3291424612061</v>
      </c>
      <c r="K251" s="1761" t="n">
        <v>41.8908349442648</v>
      </c>
      <c r="L251" s="1761" t="n">
        <v>55.2546673084573</v>
      </c>
      <c r="M251" s="2006" t="n"/>
      <c r="N251" s="1761" t="n"/>
      <c r="O251" s="1761" t="n"/>
      <c r="P251" s="1761" t="n"/>
      <c r="Q251" s="1761" t="n"/>
      <c r="R251" s="1797">
        <f t="array" ref="R251">-5.406-3.064+R290</f>
        <v/>
      </c>
      <c r="S251" s="2006" t="n"/>
      <c r="T251" s="2006" t="n"/>
      <c r="U251" s="2006" t="n"/>
      <c r="V251" s="2006" t="n"/>
      <c r="W251" s="1797">
        <f t="array" ref="W251">-2.707+441.676+W290</f>
        <v/>
      </c>
      <c r="X251" s="2006" t="n"/>
      <c r="Y251" s="2006" t="n"/>
      <c r="Z251" s="2006" t="n"/>
      <c r="AA251" s="2006" t="n"/>
      <c r="AB251" s="1797">
        <f t="array" ref="AB251">-54.643-9.406+AB290</f>
        <v/>
      </c>
      <c r="AC251" s="1761" t="n">
        <v>39.8311709507578</v>
      </c>
      <c r="AD251" s="1761" t="n">
        <v>65.7532967278857</v>
      </c>
      <c r="AE251" s="1761" t="n">
        <v>59.8903365541668</v>
      </c>
      <c r="AF251" s="1761" t="n">
        <v>36.6904890597046</v>
      </c>
      <c r="AG251" s="1797">
        <f t="array" ref="AG251">-83.402-34.915+AG290</f>
        <v/>
      </c>
      <c r="AH251" s="1761" t="n">
        <v>58.3190611534768</v>
      </c>
      <c r="AI251" s="1761" t="n">
        <v>90.3583428425337</v>
      </c>
      <c r="AJ251" s="1761" t="n">
        <v>95.5394978606938</v>
      </c>
      <c r="AK251" s="1761" t="n">
        <v>73.1066625243044</v>
      </c>
      <c r="AL251" s="1797">
        <f t="array" ref="AL251">-69.341+35.521+AL290</f>
        <v/>
      </c>
      <c r="AM251" s="1797">
        <f t="array" ref="AM251">-19.684-397+AM290</f>
        <v/>
      </c>
      <c r="AN251" s="1797">
        <f t="array" ref="AN251">-16.758+96.016+AN290</f>
        <v/>
      </c>
      <c r="AO251" s="1797">
        <f t="array" ref="AO251">-18.803+1.457+AO290</f>
        <v/>
      </c>
      <c r="AP251" s="1797">
        <f t="array" ref="AP251">-19.465+13.496+AP290</f>
        <v/>
      </c>
      <c r="AQ251" s="1973">
        <f t="array" ref="AQ251">AP251+AO251+AN251+AM251</f>
        <v/>
      </c>
      <c r="AR251" s="1797">
        <f t="array" ref="AR251">-27.282-75.476+AR290</f>
        <v/>
      </c>
      <c r="AS251" s="1797">
        <f t="array" ref="AS251">-19.293+21.511+AS290</f>
        <v/>
      </c>
      <c r="AT251" s="1797">
        <f t="array" ref="AT251">-22.942+1.688+AT290</f>
        <v/>
      </c>
      <c r="AU251" s="1797">
        <f t="array" ref="AU251">-20.892+6.203+AU290</f>
        <v/>
      </c>
      <c r="AV251" s="1973">
        <f t="array" ref="AV251">AU251+AT251+AS251+AR251</f>
        <v/>
      </c>
      <c r="AW251" s="1975">
        <f t="array" ref="AW251">-20.399+2.255+AW290</f>
        <v/>
      </c>
      <c r="AX251" s="1854">
        <f t="array" ref="AX251">-22.806-0.103+AX290</f>
        <v/>
      </c>
      <c r="AY251" s="1854">
        <f t="array" ref="AY251">AY290-19.879+2.386</f>
        <v/>
      </c>
      <c r="AZ251" s="1854">
        <f t="array" ref="AZ251">AZ290-23.227+3.092</f>
        <v/>
      </c>
      <c r="BA251" s="2003">
        <f t="array" ref="BA251">AZ251+AY251+AX251+AW251</f>
        <v/>
      </c>
      <c r="BB251" s="1975">
        <f t="array" ref="BB251">-19.486+2.233+BB290</f>
        <v/>
      </c>
      <c r="BC251" s="1854">
        <f t="array" ref="BC251">-23.16-2.812+BC290</f>
        <v/>
      </c>
      <c r="BD251" s="2007">
        <f t="array" ref="BD251">-BD252*BD250</f>
        <v/>
      </c>
      <c r="BE251" s="2007">
        <f t="array" ref="BE251">-BE252*BE250</f>
        <v/>
      </c>
      <c r="BF251" s="2003">
        <f t="array" ref="BF251">BE251+BD251+BC251+BB251</f>
        <v/>
      </c>
      <c r="BG251" s="341" t="n"/>
      <c r="BH251" s="341" t="n"/>
      <c r="BI251" s="341" t="n"/>
      <c r="BJ251" s="341" t="n"/>
      <c r="BK251" s="1973">
        <f t="array" ref="BK251">-BK252*BK250</f>
        <v/>
      </c>
      <c r="BL251" s="341" t="n"/>
      <c r="BM251" s="341" t="n"/>
      <c r="BN251" s="341" t="n"/>
      <c r="BO251" s="341" t="n"/>
      <c r="BP251" s="1973">
        <f t="array" ref="BP251">-BP252*BP250</f>
        <v/>
      </c>
      <c r="BQ251" s="341" t="n"/>
      <c r="BR251" s="341" t="n"/>
      <c r="BS251" s="341" t="n"/>
      <c r="BT251" s="341" t="n"/>
      <c r="BU251" s="1973">
        <f t="array" ref="BU251">-BU252*BU250</f>
        <v/>
      </c>
      <c r="BV251" s="341" t="n"/>
      <c r="BW251" s="341" t="n"/>
      <c r="BX251" s="341" t="n"/>
      <c r="BY251" s="341" t="n"/>
      <c r="BZ251" s="1973">
        <f t="array" ref="BZ251">-BZ252*BZ250</f>
        <v/>
      </c>
      <c r="CA251" s="561" t="n"/>
      <c r="CB251" s="319" t="n"/>
      <c r="CC251" s="701" t="n"/>
      <c r="CD251" s="701" t="n"/>
      <c r="CE251" s="701" t="n"/>
      <c r="CF251" s="701" t="n"/>
      <c r="CG251" s="701" t="n"/>
      <c r="CH251" s="701" t="n"/>
      <c r="CI251" s="701" t="n"/>
      <c r="CJ251" s="701" t="n"/>
      <c r="CK251" s="701" t="n"/>
      <c r="CL251" s="701" t="n"/>
      <c r="CM251" s="701" t="n"/>
      <c r="CN251" s="701" t="n"/>
      <c r="CO251" s="701" t="n"/>
      <c r="CP251" s="701" t="n"/>
      <c r="CQ251" s="701" t="n"/>
      <c r="CR251" s="701" t="n"/>
      <c r="CS251" s="701" t="n"/>
      <c r="CT251" s="701" t="n"/>
      <c r="CU251" s="701" t="n"/>
      <c r="CV251" s="701" t="n"/>
      <c r="CW251" s="30" t="n"/>
    </row>
    <row r="252" ht="12.75" customHeight="1" s="1676">
      <c r="A252" s="31" t="n"/>
      <c r="B252" s="270" t="inlineStr">
        <is>
          <t>Text_215</t>
        </is>
      </c>
      <c r="C252" s="699" t="n"/>
      <c r="D252" s="1751">
        <f t="array" ref="D252">D291</f>
        <v/>
      </c>
      <c r="E252" s="1751">
        <f t="array" ref="E252">E291</f>
        <v/>
      </c>
      <c r="F252" s="1751">
        <f t="array" ref="F252">F291</f>
        <v/>
      </c>
      <c r="G252" s="1751">
        <f t="array" ref="G252">G291</f>
        <v/>
      </c>
      <c r="H252" s="1751" t="n"/>
      <c r="I252" s="1751">
        <f t="array" ref="I252">I291</f>
        <v/>
      </c>
      <c r="J252" s="1751">
        <f t="array" ref="J252">J291</f>
        <v/>
      </c>
      <c r="K252" s="1751">
        <f t="array" ref="K252">K291</f>
        <v/>
      </c>
      <c r="L252" s="1751">
        <f t="array" ref="L252">L291</f>
        <v/>
      </c>
      <c r="M252" s="1751">
        <f t="array" ref="M252">M291</f>
        <v/>
      </c>
      <c r="N252" s="1751" t="n"/>
      <c r="O252" s="1751" t="n"/>
      <c r="P252" s="1751" t="n"/>
      <c r="Q252" s="1751" t="n"/>
      <c r="R252" s="1751">
        <f t="array" ref="R252">-R251/R250</f>
        <v/>
      </c>
      <c r="S252" s="1751" t="n"/>
      <c r="T252" s="1751" t="n"/>
      <c r="U252" s="1751" t="n"/>
      <c r="V252" s="1751" t="n"/>
      <c r="W252" s="1751">
        <f t="array" ref="W252">-W251/W250</f>
        <v/>
      </c>
      <c r="X252" s="1751" t="n"/>
      <c r="Y252" s="1751" t="n"/>
      <c r="Z252" s="1751" t="n"/>
      <c r="AA252" s="1751" t="n"/>
      <c r="AB252" s="1751">
        <f t="array" ref="AB252">-AB251/AB250</f>
        <v/>
      </c>
      <c r="AC252" s="1751">
        <f t="array" ref="AC252">AC291</f>
        <v/>
      </c>
      <c r="AD252" s="1751">
        <f t="array" ref="AD252">-AD251/AD250</f>
        <v/>
      </c>
      <c r="AE252" s="1751">
        <f t="array" ref="AE252">-AE251/AE250</f>
        <v/>
      </c>
      <c r="AF252" s="1751">
        <f t="array" ref="AF252">-AF251/AF250</f>
        <v/>
      </c>
      <c r="AG252" s="1751">
        <f t="array" ref="AG252">-AG251/AG250</f>
        <v/>
      </c>
      <c r="AH252" s="1751">
        <f t="array" ref="AH252">-AH251/AH250</f>
        <v/>
      </c>
      <c r="AI252" s="1751">
        <f t="array" ref="AI252">-AI251/AI250</f>
        <v/>
      </c>
      <c r="AJ252" s="1751">
        <f t="array" ref="AJ252">-AJ251/AJ250</f>
        <v/>
      </c>
      <c r="AK252" s="1751">
        <f t="array" ref="AK252">-AK251/AK250</f>
        <v/>
      </c>
      <c r="AL252" s="1751">
        <f t="array" ref="AL252">-AL251/AL250</f>
        <v/>
      </c>
      <c r="AM252" s="1751">
        <f t="array" ref="AM252">-AM251/AM250</f>
        <v/>
      </c>
      <c r="AN252" s="1751">
        <f t="array" ref="AN252">-AN251/AN250</f>
        <v/>
      </c>
      <c r="AO252" s="1751">
        <f t="array" ref="AO252">-AO251/AO250</f>
        <v/>
      </c>
      <c r="AP252" s="1751">
        <f t="array" ref="AP252">-AP251/AP250</f>
        <v/>
      </c>
      <c r="AQ252" s="1751">
        <f t="array" ref="AQ252">-AQ251/AQ250</f>
        <v/>
      </c>
      <c r="AR252" s="1751">
        <f t="array" ref="AR252">-AR251/AR250</f>
        <v/>
      </c>
      <c r="AS252" s="1751">
        <f t="array" ref="AS252">-AS251/AS250</f>
        <v/>
      </c>
      <c r="AT252" s="1751">
        <f t="array" ref="AT252">-AT251/AT250</f>
        <v/>
      </c>
      <c r="AU252" s="1751">
        <f t="array" ref="AU252">-AU251/AU250</f>
        <v/>
      </c>
      <c r="AV252" s="1751">
        <f t="array" ref="AV252">-AV251/AV250</f>
        <v/>
      </c>
      <c r="AW252" s="1749">
        <f t="array" ref="AW252">-AW251/AW250</f>
        <v/>
      </c>
      <c r="AX252" s="1750">
        <f t="array" ref="AX252">-AX251/AX250</f>
        <v/>
      </c>
      <c r="AY252" s="1750">
        <f t="array" ref="AY252">-AY251/AY250</f>
        <v/>
      </c>
      <c r="AZ252" s="1750">
        <f t="array" ref="AZ252">-AZ251/AZ250</f>
        <v/>
      </c>
      <c r="BA252" s="1784">
        <f t="array" ref="BA252">-BA251/BA250</f>
        <v/>
      </c>
      <c r="BB252" s="1749">
        <f t="array" ref="BB252">-BB251/BB250</f>
        <v/>
      </c>
      <c r="BC252" s="1750">
        <f t="array" ref="BC252">-BC251/BC250</f>
        <v/>
      </c>
      <c r="BD252" s="1804" t="n">
        <v>0.136986008099596</v>
      </c>
      <c r="BE252" s="1804" t="n">
        <v>0.138890712136018</v>
      </c>
      <c r="BF252" s="1784">
        <f t="array" ref="BF252">-BF251/BF250</f>
        <v/>
      </c>
      <c r="BG252" s="1859" t="n"/>
      <c r="BH252" s="1859" t="n"/>
      <c r="BI252" s="1859" t="n"/>
      <c r="BJ252" s="1859" t="n"/>
      <c r="BK252" s="1856" t="n">
        <v>0.135755648013693</v>
      </c>
      <c r="BL252" s="1859" t="n"/>
      <c r="BM252" s="1859" t="n"/>
      <c r="BN252" s="1859" t="n"/>
      <c r="BO252" s="1859" t="n"/>
      <c r="BP252" s="1856" t="n">
        <v>0.13838624989514</v>
      </c>
      <c r="BQ252" s="1859" t="n"/>
      <c r="BR252" s="1859" t="n"/>
      <c r="BS252" s="1859" t="n"/>
      <c r="BT252" s="1859" t="n"/>
      <c r="BU252" s="1856" t="n">
        <v>0.13294187374229</v>
      </c>
      <c r="BV252" s="1859" t="n"/>
      <c r="BW252" s="1859" t="n"/>
      <c r="BX252" s="1859" t="n"/>
      <c r="BY252" s="1859" t="n"/>
      <c r="BZ252" s="1856" t="n">
        <v>0.134048121191314</v>
      </c>
      <c r="CA252" s="103" t="inlineStr">
        <is>
          <t>Text_216</t>
        </is>
      </c>
      <c r="CB252" s="319" t="n"/>
      <c r="CC252" s="701" t="n"/>
      <c r="CD252" s="701" t="n"/>
      <c r="CE252" s="701" t="n"/>
      <c r="CF252" s="701" t="n"/>
      <c r="CG252" s="701" t="n"/>
      <c r="CH252" s="701" t="n"/>
      <c r="CI252" s="701" t="n"/>
      <c r="CJ252" s="701" t="n"/>
      <c r="CK252" s="701" t="n"/>
      <c r="CL252" s="701" t="n"/>
      <c r="CM252" s="701" t="n"/>
      <c r="CN252" s="701" t="n"/>
      <c r="CO252" s="701" t="n"/>
      <c r="CP252" s="701" t="n"/>
      <c r="CQ252" s="701" t="n"/>
      <c r="CR252" s="701" t="n"/>
      <c r="CS252" s="701" t="n"/>
      <c r="CT252" s="701" t="n"/>
      <c r="CU252" s="701" t="n"/>
      <c r="CV252" s="701" t="n"/>
      <c r="CW252" s="30" t="n"/>
    </row>
    <row r="253" ht="13.15" customHeight="1" s="1676">
      <c r="A253" s="13" t="n"/>
      <c r="B253" s="525" t="inlineStr">
        <is>
          <t>Text_217</t>
        </is>
      </c>
      <c r="C253" s="526" t="n"/>
      <c r="D253" s="1882">
        <f t="array" ref="D253">D251+D250</f>
        <v/>
      </c>
      <c r="E253" s="1882">
        <f t="array" ref="E253">E251+E250</f>
        <v/>
      </c>
      <c r="F253" s="1882">
        <f t="array" ref="F253">F251+F250</f>
        <v/>
      </c>
      <c r="G253" s="1882">
        <f t="array" ref="G253">G251+G250</f>
        <v/>
      </c>
      <c r="H253" s="1882" t="n"/>
      <c r="I253" s="1882">
        <f t="array" ref="I253">I251+I250</f>
        <v/>
      </c>
      <c r="J253" s="1882">
        <f t="array" ref="J253">J251+J250</f>
        <v/>
      </c>
      <c r="K253" s="1882">
        <f t="array" ref="K253">K251+K250</f>
        <v/>
      </c>
      <c r="L253" s="1882">
        <f t="array" ref="L253">L251+L250</f>
        <v/>
      </c>
      <c r="M253" s="1882">
        <f t="array" ref="M253">M251+M250</f>
        <v/>
      </c>
      <c r="N253" s="1882" t="n"/>
      <c r="O253" s="1882" t="n"/>
      <c r="P253" s="1882" t="n"/>
      <c r="Q253" s="1882" t="n"/>
      <c r="R253" s="1882">
        <f t="array" ref="R253">R251+R250</f>
        <v/>
      </c>
      <c r="S253" s="1882" t="n"/>
      <c r="T253" s="1882" t="n"/>
      <c r="U253" s="1882" t="n"/>
      <c r="V253" s="1882" t="n"/>
      <c r="W253" s="1882">
        <f t="array" ref="W253">W251+W250</f>
        <v/>
      </c>
      <c r="X253" s="1882" t="n"/>
      <c r="Y253" s="1882" t="n"/>
      <c r="Z253" s="1882" t="n"/>
      <c r="AA253" s="1882" t="n"/>
      <c r="AB253" s="1882">
        <f t="array" ref="AB253">AB251+AB250</f>
        <v/>
      </c>
      <c r="AC253" s="1882">
        <f t="array" ref="AC253">AC251+AC250</f>
        <v/>
      </c>
      <c r="AD253" s="1882">
        <f t="array" ref="AD253">AD251+AD250</f>
        <v/>
      </c>
      <c r="AE253" s="1882">
        <f t="array" ref="AE253">AE251+AE250</f>
        <v/>
      </c>
      <c r="AF253" s="1882">
        <f t="array" ref="AF253">AF251+AF250</f>
        <v/>
      </c>
      <c r="AG253" s="1882">
        <f t="array" ref="AG253">AG251+AG250</f>
        <v/>
      </c>
      <c r="AH253" s="1882">
        <f t="array" ref="AH253">AH251+AH250</f>
        <v/>
      </c>
      <c r="AI253" s="1882">
        <f t="array" ref="AI253">AI251+AI250</f>
        <v/>
      </c>
      <c r="AJ253" s="1882">
        <f t="array" ref="AJ253">AJ251+AJ250</f>
        <v/>
      </c>
      <c r="AK253" s="1882">
        <f t="array" ref="AK253">AK251+AK250</f>
        <v/>
      </c>
      <c r="AL253" s="1882">
        <f t="array" ref="AL253">AL251+AL250</f>
        <v/>
      </c>
      <c r="AM253" s="1882">
        <f t="array" ref="AM253">AM251+AM250</f>
        <v/>
      </c>
      <c r="AN253" s="1882">
        <f t="array" ref="AN253">AN251+AN250</f>
        <v/>
      </c>
      <c r="AO253" s="1882">
        <f t="array" ref="AO253">AO251+AO250</f>
        <v/>
      </c>
      <c r="AP253" s="1882">
        <f t="array" ref="AP253">AP251+AP250</f>
        <v/>
      </c>
      <c r="AQ253" s="1882">
        <f t="array" ref="AQ253">AQ251+AQ250</f>
        <v/>
      </c>
      <c r="AR253" s="1882">
        <f t="array" ref="AR253">AR251+AR250</f>
        <v/>
      </c>
      <c r="AS253" s="1882">
        <f t="array" ref="AS253">AS251+AS250</f>
        <v/>
      </c>
      <c r="AT253" s="1882">
        <f t="array" ref="AT253">AT251+AT250</f>
        <v/>
      </c>
      <c r="AU253" s="1882">
        <f t="array" ref="AU253">AU251+AU250</f>
        <v/>
      </c>
      <c r="AV253" s="1882">
        <f t="array" ref="AV253">AV251+AV250</f>
        <v/>
      </c>
      <c r="AW253" s="2004">
        <f t="array" ref="AW253">AW251+AW250</f>
        <v/>
      </c>
      <c r="AX253" s="2005">
        <f t="array" ref="AX253">AX251+AX250</f>
        <v/>
      </c>
      <c r="AY253" s="2005">
        <f t="array" ref="AY253">AY251+AY250</f>
        <v/>
      </c>
      <c r="AZ253" s="2005">
        <f t="array" ref="AZ253">AZ251+AZ250</f>
        <v/>
      </c>
      <c r="BA253" s="1881">
        <f t="array" ref="BA253">BA251+BA250</f>
        <v/>
      </c>
      <c r="BB253" s="2004">
        <f t="array" ref="BB253">BB251+BB250</f>
        <v/>
      </c>
      <c r="BC253" s="2005">
        <f t="array" ref="BC253">BC251+BC250</f>
        <v/>
      </c>
      <c r="BD253" s="2005">
        <f t="array" ref="BD253">BD251+BD250</f>
        <v/>
      </c>
      <c r="BE253" s="2005">
        <f t="array" ref="BE253">BE251+BE250</f>
        <v/>
      </c>
      <c r="BF253" s="1881">
        <f t="array" ref="BF253">BF251+BF250</f>
        <v/>
      </c>
      <c r="BG253" s="526" t="n"/>
      <c r="BH253" s="526" t="n"/>
      <c r="BI253" s="526" t="n"/>
      <c r="BJ253" s="526" t="n"/>
      <c r="BK253" s="1882">
        <f t="array" ref="BK253">BK251+BK250</f>
        <v/>
      </c>
      <c r="BL253" s="526" t="n"/>
      <c r="BM253" s="526" t="n"/>
      <c r="BN253" s="526" t="n"/>
      <c r="BO253" s="526" t="n"/>
      <c r="BP253" s="1882">
        <f t="array" ref="BP253">BP251+BP250</f>
        <v/>
      </c>
      <c r="BQ253" s="526" t="n"/>
      <c r="BR253" s="526" t="n"/>
      <c r="BS253" s="526" t="n"/>
      <c r="BT253" s="526" t="n"/>
      <c r="BU253" s="1882">
        <f t="array" ref="BU253">BU251+BU250</f>
        <v/>
      </c>
      <c r="BV253" s="526" t="n"/>
      <c r="BW253" s="526" t="n"/>
      <c r="BX253" s="526" t="n"/>
      <c r="BY253" s="526" t="n"/>
      <c r="BZ253" s="1882">
        <f t="array" ref="BZ253">BZ251+BZ250</f>
        <v/>
      </c>
      <c r="CA253" s="561" t="n"/>
      <c r="CB253" s="319" t="n"/>
      <c r="CC253" s="701" t="n"/>
      <c r="CD253" s="701" t="n"/>
      <c r="CE253" s="701" t="n"/>
      <c r="CF253" s="701" t="n"/>
      <c r="CG253" s="701" t="n"/>
      <c r="CH253" s="701" t="n"/>
      <c r="CI253" s="701" t="n"/>
      <c r="CJ253" s="701" t="n"/>
      <c r="CK253" s="701" t="n"/>
      <c r="CL253" s="701" t="n"/>
      <c r="CM253" s="701" t="n"/>
      <c r="CN253" s="701" t="n"/>
      <c r="CO253" s="701" t="n"/>
      <c r="CP253" s="701" t="n"/>
      <c r="CQ253" s="701" t="n"/>
      <c r="CR253" s="701" t="n"/>
      <c r="CS253" s="701" t="n"/>
      <c r="CT253" s="701" t="n"/>
      <c r="CU253" s="701" t="n"/>
      <c r="CV253" s="701" t="n"/>
      <c r="CW253" s="30" t="n"/>
    </row>
    <row r="254" hidden="1" ht="13.15" customHeight="1" s="1676">
      <c r="A254" s="31" t="n"/>
      <c r="B254" s="522" t="inlineStr">
        <is>
          <t>Text_218</t>
        </is>
      </c>
      <c r="C254" s="699" t="n"/>
      <c r="D254" s="699" t="n"/>
      <c r="E254" s="699" t="n"/>
      <c r="F254" s="699" t="n"/>
      <c r="G254" s="699" t="n"/>
      <c r="H254" s="699" t="n"/>
      <c r="I254" s="699" t="n"/>
      <c r="J254" s="699" t="n"/>
      <c r="K254" s="699" t="n"/>
      <c r="L254" s="699" t="n"/>
      <c r="M254" s="699" t="n"/>
      <c r="N254" s="699" t="n"/>
      <c r="O254" s="699" t="n"/>
      <c r="P254" s="699" t="n"/>
      <c r="Q254" s="699" t="n"/>
      <c r="R254" s="699" t="n"/>
      <c r="S254" s="699" t="n"/>
      <c r="T254" s="699" t="n"/>
      <c r="U254" s="699" t="n"/>
      <c r="V254" s="699" t="n"/>
      <c r="W254" s="699" t="n"/>
      <c r="X254" s="699" t="n"/>
      <c r="Y254" s="699" t="n"/>
      <c r="Z254" s="699" t="n"/>
      <c r="AA254" s="699" t="n"/>
      <c r="AB254" s="699" t="n"/>
      <c r="AC254" s="699" t="n"/>
      <c r="AD254" s="699" t="n"/>
      <c r="AE254" s="699" t="n"/>
      <c r="AF254" s="699" t="n"/>
      <c r="AG254" s="699" t="n"/>
      <c r="AH254" s="699" t="n"/>
      <c r="AI254" s="699" t="n"/>
      <c r="AJ254" s="699" t="n"/>
      <c r="AK254" s="699" t="n"/>
      <c r="AL254" s="699" t="n"/>
      <c r="AM254" s="699" t="n"/>
      <c r="AN254" s="699" t="n"/>
      <c r="AO254" s="699" t="n"/>
      <c r="AP254" s="699" t="n"/>
      <c r="AQ254" s="699" t="n"/>
      <c r="AR254" s="699" t="n"/>
      <c r="AS254" s="1745" t="n"/>
      <c r="AT254" s="1745" t="n"/>
      <c r="AU254" s="1745" t="n"/>
      <c r="AV254" s="699" t="n"/>
      <c r="AW254" s="456" t="n"/>
      <c r="AX254" s="701" t="n"/>
      <c r="AY254" s="701" t="n"/>
      <c r="AZ254" s="701" t="n"/>
      <c r="BA254" s="381" t="n"/>
      <c r="BB254" s="456" t="n"/>
      <c r="BC254" s="701" t="n"/>
      <c r="BD254" s="701" t="n"/>
      <c r="BE254" s="381" t="n"/>
      <c r="BF254" s="699" t="n"/>
      <c r="BG254" s="699" t="n"/>
      <c r="BH254" s="699" t="n"/>
      <c r="BI254" s="699" t="n"/>
      <c r="BJ254" s="699" t="n"/>
      <c r="BK254" s="699" t="n"/>
      <c r="BL254" s="699" t="n"/>
      <c r="BM254" s="699" t="n"/>
      <c r="BN254" s="699" t="n"/>
      <c r="BO254" s="699" t="n"/>
      <c r="BP254" s="699" t="n"/>
      <c r="BQ254" s="699" t="n"/>
      <c r="BR254" s="699" t="n"/>
      <c r="BS254" s="699" t="n"/>
      <c r="BT254" s="699" t="n"/>
      <c r="BU254" s="699" t="n"/>
      <c r="BV254" s="699" t="n"/>
      <c r="BW254" s="699" t="n"/>
      <c r="BX254" s="699" t="n"/>
      <c r="BY254" s="699" t="n"/>
      <c r="BZ254" s="699" t="n"/>
      <c r="CA254" s="561" t="n"/>
      <c r="CB254" s="319" t="n"/>
      <c r="CC254" s="701" t="n"/>
      <c r="CD254" s="701" t="n"/>
      <c r="CE254" s="701" t="n"/>
      <c r="CF254" s="701" t="n"/>
      <c r="CG254" s="701" t="n"/>
      <c r="CH254" s="701" t="n"/>
      <c r="CI254" s="701" t="n"/>
      <c r="CJ254" s="701" t="n"/>
      <c r="CK254" s="701" t="n"/>
      <c r="CL254" s="701" t="n"/>
      <c r="CM254" s="701" t="n"/>
      <c r="CN254" s="701" t="n"/>
      <c r="CO254" s="701" t="n"/>
      <c r="CP254" s="701" t="n"/>
      <c r="CQ254" s="701" t="n"/>
      <c r="CR254" s="701" t="n"/>
      <c r="CS254" s="701" t="n"/>
      <c r="CT254" s="701" t="n"/>
      <c r="CU254" s="701" t="n"/>
      <c r="CV254" s="701" t="n"/>
      <c r="CW254" s="30" t="n"/>
    </row>
    <row r="255" ht="12.75" customHeight="1" s="1676">
      <c r="A255" s="31" t="n"/>
      <c r="B255" s="462" t="inlineStr">
        <is>
          <t>Text_219</t>
        </is>
      </c>
      <c r="C255" s="805" t="n"/>
      <c r="D255" s="1726" t="n"/>
      <c r="E255" s="1726" t="n"/>
      <c r="F255" s="1726" t="n"/>
      <c r="G255" s="1726" t="n"/>
      <c r="H255" s="1727" t="n"/>
      <c r="I255" s="1928" t="n"/>
      <c r="J255" s="1928" t="n"/>
      <c r="K255" s="1928" t="n"/>
      <c r="L255" s="1928" t="n"/>
      <c r="M255" s="2008" t="n"/>
      <c r="N255" s="2008" t="n"/>
      <c r="O255" s="2008" t="n"/>
      <c r="P255" s="2008" t="n"/>
      <c r="Q255" s="2008" t="n"/>
      <c r="R255" s="2008" t="n">
        <v>0</v>
      </c>
      <c r="S255" s="2008" t="n"/>
      <c r="T255" s="2008" t="n"/>
      <c r="U255" s="2008" t="n"/>
      <c r="V255" s="2008" t="n"/>
      <c r="W255" s="2008" t="n">
        <v>0</v>
      </c>
      <c r="X255" s="2008" t="n"/>
      <c r="Y255" s="2008" t="n"/>
      <c r="Z255" s="2008" t="n">
        <v>-0.0832784747792488</v>
      </c>
      <c r="AA255" s="2008" t="n">
        <v>-0.5314102556414</v>
      </c>
      <c r="AB255" s="2008" t="n">
        <v>0.56855015384758</v>
      </c>
      <c r="AC255" s="2008" t="n">
        <v>-0.130157770177617</v>
      </c>
      <c r="AD255" s="2008" t="n">
        <v>-0.241885426123379</v>
      </c>
      <c r="AE255" s="2008" t="n">
        <v>-0.4703435474307</v>
      </c>
      <c r="AF255" s="2008" t="n">
        <v>-0.935942108883105</v>
      </c>
      <c r="AG255" s="2008" t="n">
        <v>1.83180625168057</v>
      </c>
      <c r="AH255" s="1928" t="n">
        <v>-0.427846170722188</v>
      </c>
      <c r="AI255" s="1928" t="n">
        <v>-0.251684607840679</v>
      </c>
      <c r="AJ255" s="1928" t="n">
        <v>-0.331787646459153</v>
      </c>
      <c r="AK255" s="1928" t="n">
        <v>0.0848149689835377</v>
      </c>
      <c r="AL255" s="2008" t="n">
        <v>0.951721799882321</v>
      </c>
      <c r="AM255" s="1928" t="n">
        <v>0.0708939789921362</v>
      </c>
      <c r="AN255" s="1928" t="n">
        <v>0.07673960957659121</v>
      </c>
      <c r="AO255" s="1928" t="n">
        <v>0.0848094693242008</v>
      </c>
      <c r="AP255" s="1928" t="n">
        <v>0.0230785434877063</v>
      </c>
      <c r="AQ255" s="1928" t="n">
        <v>0.256743758690573</v>
      </c>
      <c r="AR255" s="1928" t="n">
        <v>0.0731221475687595</v>
      </c>
      <c r="AS255" s="1928" t="n">
        <v>0</v>
      </c>
      <c r="AT255" s="1928" t="n">
        <v>0</v>
      </c>
      <c r="AU255" s="1928" t="n">
        <v>0</v>
      </c>
      <c r="AV255" s="1928" t="n">
        <v>0.07140378951521489</v>
      </c>
      <c r="AW255" s="2009" t="n">
        <v>0.0767678517504061</v>
      </c>
      <c r="AX255" s="1930" t="n">
        <v>0</v>
      </c>
      <c r="AY255" s="1930" t="n">
        <v>0</v>
      </c>
      <c r="AZ255" s="1930" t="n">
        <v>0</v>
      </c>
      <c r="BA255" s="2010">
        <f t="array" ref="BA255">AZ255+AY255+AX255+AW255</f>
        <v/>
      </c>
      <c r="BB255" s="2009" t="n">
        <v>0.07565315900634249</v>
      </c>
      <c r="BC255" s="1930" t="n">
        <v>0</v>
      </c>
      <c r="BD255" s="1728" t="n"/>
      <c r="BE255" s="2011" t="n"/>
      <c r="BF255" s="1934">
        <f t="array" ref="BF255">BE255+BD255+BC255+BB255</f>
        <v/>
      </c>
      <c r="BG255" s="586" t="n"/>
      <c r="BH255" s="586" t="n"/>
      <c r="BI255" s="586" t="n"/>
      <c r="BJ255" s="586" t="n"/>
      <c r="BK255" s="1934" t="n">
        <v>0</v>
      </c>
      <c r="BL255" s="586" t="n"/>
      <c r="BM255" s="586" t="n"/>
      <c r="BN255" s="586" t="n"/>
      <c r="BO255" s="586" t="n"/>
      <c r="BP255" s="1934" t="n">
        <v>0</v>
      </c>
      <c r="BQ255" s="586" t="n"/>
      <c r="BR255" s="586" t="n"/>
      <c r="BS255" s="586" t="n"/>
      <c r="BT255" s="586" t="n"/>
      <c r="BU255" s="1934" t="n">
        <v>0</v>
      </c>
      <c r="BV255" s="586" t="n"/>
      <c r="BW255" s="586" t="n"/>
      <c r="BX255" s="586" t="n"/>
      <c r="BY255" s="586" t="n"/>
      <c r="BZ255" s="1934" t="n">
        <v>0</v>
      </c>
      <c r="CA255" s="561" t="n"/>
      <c r="CB255" s="319" t="n"/>
      <c r="CC255" s="701" t="n"/>
      <c r="CD255" s="701" t="n"/>
      <c r="CE255" s="701" t="n"/>
      <c r="CF255" s="701" t="n"/>
      <c r="CG255" s="701" t="n"/>
      <c r="CH255" s="701" t="n"/>
      <c r="CI255" s="701" t="n"/>
      <c r="CJ255" s="701" t="n"/>
      <c r="CK255" s="701" t="n"/>
      <c r="CL255" s="701" t="n"/>
      <c r="CM255" s="701" t="n"/>
      <c r="CN255" s="701" t="n"/>
      <c r="CO255" s="701" t="n"/>
      <c r="CP255" s="701" t="n"/>
      <c r="CQ255" s="701" t="n"/>
      <c r="CR255" s="701" t="n"/>
      <c r="CS255" s="701" t="n"/>
      <c r="CT255" s="701" t="n"/>
      <c r="CU255" s="701" t="n"/>
      <c r="CV255" s="701" t="n"/>
      <c r="CW255" s="30" t="n"/>
    </row>
    <row r="256" ht="12.75" customHeight="1" s="1676">
      <c r="A256" s="13" t="n"/>
      <c r="B256" s="250" t="inlineStr">
        <is>
          <t>Text_220</t>
        </is>
      </c>
      <c r="C256" s="711" t="n"/>
      <c r="D256" s="1806">
        <f t="array" ref="D256">D255+D253</f>
        <v/>
      </c>
      <c r="E256" s="1806">
        <f t="array" ref="E256">E255+E253</f>
        <v/>
      </c>
      <c r="F256" s="1806">
        <f t="array" ref="F256">F255+F253</f>
        <v/>
      </c>
      <c r="G256" s="1806">
        <f t="array" ref="G256">G255+G253</f>
        <v/>
      </c>
      <c r="H256" s="1807" t="n"/>
      <c r="I256" s="1806">
        <f t="array" ref="I256">I255+I253</f>
        <v/>
      </c>
      <c r="J256" s="1806">
        <f t="array" ref="J256">J255+J253</f>
        <v/>
      </c>
      <c r="K256" s="1806">
        <f t="array" ref="K256">K255+K253</f>
        <v/>
      </c>
      <c r="L256" s="1806">
        <f t="array" ref="L256">L255+L253</f>
        <v/>
      </c>
      <c r="M256" s="1807">
        <f t="array" ref="M256">M255+M253</f>
        <v/>
      </c>
      <c r="N256" s="1806" t="n"/>
      <c r="O256" s="1806" t="n"/>
      <c r="P256" s="1806" t="n"/>
      <c r="Q256" s="1806" t="n"/>
      <c r="R256" s="1807">
        <f t="array" ref="R256">R255+R253</f>
        <v/>
      </c>
      <c r="S256" s="1806" t="n"/>
      <c r="T256" s="1806" t="n"/>
      <c r="U256" s="1806" t="n"/>
      <c r="V256" s="1806" t="n"/>
      <c r="W256" s="1807">
        <f t="array" ref="W256">W255+W253</f>
        <v/>
      </c>
      <c r="X256" s="1807" t="n"/>
      <c r="Y256" s="1807" t="n"/>
      <c r="Z256" s="1807" t="n"/>
      <c r="AA256" s="1807" t="n"/>
      <c r="AB256" s="1807">
        <f t="array" ref="AB256">AB255+AB253</f>
        <v/>
      </c>
      <c r="AC256" s="1807" t="n">
        <v>0</v>
      </c>
      <c r="AD256" s="1807" t="n">
        <v>0</v>
      </c>
      <c r="AE256" s="1807" t="n">
        <v>0</v>
      </c>
      <c r="AF256" s="1807" t="n">
        <v>0</v>
      </c>
      <c r="AG256" s="1807">
        <f t="array" ref="AG256">AG255+AG253</f>
        <v/>
      </c>
      <c r="AH256" s="1807">
        <f t="array" ref="AH256">AH255+AH253</f>
        <v/>
      </c>
      <c r="AI256" s="1807">
        <f t="array" ref="AI256">AI255+AI253</f>
        <v/>
      </c>
      <c r="AJ256" s="1807">
        <f t="array" ref="AJ256">AJ255+AJ253</f>
        <v/>
      </c>
      <c r="AK256" s="1807">
        <f t="array" ref="AK256">AK255+AK253</f>
        <v/>
      </c>
      <c r="AL256" s="1807">
        <f t="array" ref="AL256">AL255+AL253</f>
        <v/>
      </c>
      <c r="AM256" s="1807">
        <f t="array" ref="AM256">AM255+AM253</f>
        <v/>
      </c>
      <c r="AN256" s="1807">
        <f t="array" ref="AN256">AN255+AN253</f>
        <v/>
      </c>
      <c r="AO256" s="1807">
        <f t="array" ref="AO256">AO255+AO253</f>
        <v/>
      </c>
      <c r="AP256" s="1807">
        <f t="array" ref="AP256">AP255+AP253</f>
        <v/>
      </c>
      <c r="AQ256" s="1807">
        <f t="array" ref="AQ256">AQ255+AQ253</f>
        <v/>
      </c>
      <c r="AR256" s="1807">
        <f t="array" ref="AR256">AR255+AR253</f>
        <v/>
      </c>
      <c r="AS256" s="1807">
        <f t="array" ref="AS256">AS255+AS253</f>
        <v/>
      </c>
      <c r="AT256" s="1807">
        <f t="array" ref="AT256">AT255+AT253</f>
        <v/>
      </c>
      <c r="AU256" s="1807">
        <f t="array" ref="AU256">AU255+AU253</f>
        <v/>
      </c>
      <c r="AV256" s="1806">
        <f t="array" ref="AV256">AV255+AV253</f>
        <v/>
      </c>
      <c r="AW256" s="1808">
        <f t="array" ref="AW256">AW255+AW253</f>
        <v/>
      </c>
      <c r="AX256" s="1809">
        <f t="array" ref="AX256">AX255+AX253</f>
        <v/>
      </c>
      <c r="AY256" s="1809">
        <f t="array" ref="AY256">AY255+AY253</f>
        <v/>
      </c>
      <c r="AZ256" s="1809">
        <f t="array" ref="AZ256">AZ255+AZ253</f>
        <v/>
      </c>
      <c r="BA256" s="2012">
        <f t="array" ref="BA256">BA255+BA253</f>
        <v/>
      </c>
      <c r="BB256" s="1808">
        <f t="array" ref="BB256">BB255+BB253</f>
        <v/>
      </c>
      <c r="BC256" s="1809">
        <f t="array" ref="BC256">BC255+BC253</f>
        <v/>
      </c>
      <c r="BD256" s="1809">
        <f t="array" ref="BD256">BD255+BD253</f>
        <v/>
      </c>
      <c r="BE256" s="1809">
        <f t="array" ref="BE256">BE255+BE253</f>
        <v/>
      </c>
      <c r="BF256" s="2012">
        <f t="array" ref="BF256">BF255+BF253</f>
        <v/>
      </c>
      <c r="BG256" s="711" t="n"/>
      <c r="BH256" s="711" t="n"/>
      <c r="BI256" s="711" t="n"/>
      <c r="BJ256" s="711" t="n"/>
      <c r="BK256" s="1806">
        <f t="array" ref="BK256">BK255+BK253</f>
        <v/>
      </c>
      <c r="BL256" s="711" t="n"/>
      <c r="BM256" s="711" t="n"/>
      <c r="BN256" s="711" t="n"/>
      <c r="BO256" s="711" t="n"/>
      <c r="BP256" s="1806">
        <f t="array" ref="BP256">BP255+BP253</f>
        <v/>
      </c>
      <c r="BQ256" s="711" t="n"/>
      <c r="BR256" s="711" t="n"/>
      <c r="BS256" s="711" t="n"/>
      <c r="BT256" s="711" t="n"/>
      <c r="BU256" s="1806">
        <f t="array" ref="BU256">BU255+BU253</f>
        <v/>
      </c>
      <c r="BV256" s="711" t="n"/>
      <c r="BW256" s="711" t="n"/>
      <c r="BX256" s="711" t="n"/>
      <c r="BY256" s="711" t="n"/>
      <c r="BZ256" s="1806">
        <f t="array" ref="BZ256">BZ255+BZ253</f>
        <v/>
      </c>
      <c r="CA256" s="561" t="n"/>
      <c r="CB256" s="319" t="n"/>
      <c r="CC256" s="701" t="n"/>
      <c r="CD256" s="701" t="n"/>
      <c r="CE256" s="701" t="n"/>
      <c r="CF256" s="701" t="n"/>
      <c r="CG256" s="701" t="n"/>
      <c r="CH256" s="701" t="n"/>
      <c r="CI256" s="701" t="n"/>
      <c r="CJ256" s="701" t="n"/>
      <c r="CK256" s="701" t="n"/>
      <c r="CL256" s="701" t="n"/>
      <c r="CM256" s="701" t="n"/>
      <c r="CN256" s="701" t="n"/>
      <c r="CO256" s="701" t="n"/>
      <c r="CP256" s="701" t="n"/>
      <c r="CQ256" s="701" t="n"/>
      <c r="CR256" s="701" t="n"/>
      <c r="CS256" s="701" t="n"/>
      <c r="CT256" s="701" t="n"/>
      <c r="CU256" s="701" t="n"/>
      <c r="CV256" s="701" t="n"/>
      <c r="CW256" s="30" t="n"/>
    </row>
    <row r="257" ht="12.75" customHeight="1" s="1676">
      <c r="A257" s="31" t="n"/>
      <c r="B257" s="293" t="inlineStr">
        <is>
          <t>Text_180</t>
        </is>
      </c>
      <c r="C257" s="33" t="n"/>
      <c r="D257" s="1736" t="n"/>
      <c r="E257" s="1736" t="n"/>
      <c r="F257" s="1736" t="n"/>
      <c r="G257" s="1736" t="n"/>
      <c r="H257" s="1742" t="n"/>
      <c r="I257" s="1736" t="n"/>
      <c r="J257" s="1736" t="n"/>
      <c r="K257" s="1736" t="n"/>
      <c r="L257" s="1736" t="n"/>
      <c r="M257" s="1742">
        <f t="array" ref="M257">M256/M212</f>
        <v/>
      </c>
      <c r="N257" s="1736" t="n"/>
      <c r="O257" s="1736" t="n"/>
      <c r="P257" s="1736" t="n"/>
      <c r="Q257" s="1736" t="n"/>
      <c r="R257" s="1742">
        <f t="array" ref="R257">R256/R212</f>
        <v/>
      </c>
      <c r="S257" s="1736" t="n"/>
      <c r="T257" s="1736" t="n"/>
      <c r="U257" s="1736" t="n"/>
      <c r="V257" s="1736" t="n"/>
      <c r="W257" s="1742">
        <f t="array" ref="W257">W256/W212</f>
        <v/>
      </c>
      <c r="X257" s="1736" t="n"/>
      <c r="Y257" s="1736" t="n"/>
      <c r="Z257" s="1736" t="n"/>
      <c r="AA257" s="1736" t="n"/>
      <c r="AB257" s="1742">
        <f t="array" ref="AB257">AB256/AB212</f>
        <v/>
      </c>
      <c r="AC257" s="1742">
        <f t="array" ref="AC257">AC256/AC212</f>
        <v/>
      </c>
      <c r="AD257" s="1742">
        <f t="array" ref="AD257">AD256/AD212</f>
        <v/>
      </c>
      <c r="AE257" s="1742">
        <f t="array" ref="AE257">AE256/AE212</f>
        <v/>
      </c>
      <c r="AF257" s="1742">
        <f t="array" ref="AF257">AF256/AF212</f>
        <v/>
      </c>
      <c r="AG257" s="1742">
        <f t="array" ref="AG257">AG256/AG212</f>
        <v/>
      </c>
      <c r="AH257" s="1742">
        <f t="array" ref="AH257">AH256/AH212</f>
        <v/>
      </c>
      <c r="AI257" s="1742">
        <f t="array" ref="AI257">AI256/AI212</f>
        <v/>
      </c>
      <c r="AJ257" s="1742">
        <f t="array" ref="AJ257">AJ256/AJ212</f>
        <v/>
      </c>
      <c r="AK257" s="1742">
        <f t="array" ref="AK257">AK256/AK212</f>
        <v/>
      </c>
      <c r="AL257" s="1742">
        <f t="array" ref="AL257">AL256/AL212</f>
        <v/>
      </c>
      <c r="AM257" s="1742">
        <f t="array" ref="AM257">AM256/AM212</f>
        <v/>
      </c>
      <c r="AN257" s="1742">
        <f t="array" ref="AN257">AN256/AN212</f>
        <v/>
      </c>
      <c r="AO257" s="1742">
        <f t="array" ref="AO257">AO256/AO212</f>
        <v/>
      </c>
      <c r="AP257" s="1742">
        <f t="array" ref="AP257">AP256/AP212</f>
        <v/>
      </c>
      <c r="AQ257" s="1742">
        <f t="array" ref="AQ257">AQ256/AQ212</f>
        <v/>
      </c>
      <c r="AR257" s="1742">
        <f t="array" ref="AR257">AR256/AR212</f>
        <v/>
      </c>
      <c r="AS257" s="1742">
        <f t="array" ref="AS257">AS256/AS212</f>
        <v/>
      </c>
      <c r="AT257" s="1742">
        <f t="array" ref="AT257">AT256/AT212</f>
        <v/>
      </c>
      <c r="AU257" s="1742">
        <f t="array" ref="AU257">AU256/AU212</f>
        <v/>
      </c>
      <c r="AV257" s="1742">
        <f t="array" ref="AV257">AV256/AV212</f>
        <v/>
      </c>
      <c r="AW257" s="1740">
        <f t="array" ref="AW257">AW256/AW212</f>
        <v/>
      </c>
      <c r="AX257" s="1741">
        <f t="array" ref="AX257">AX256/AX212</f>
        <v/>
      </c>
      <c r="AY257" s="1741">
        <f t="array" ref="AY257">AY256/AY212</f>
        <v/>
      </c>
      <c r="AZ257" s="1741">
        <f t="array" ref="AZ257">AZ256/AZ212</f>
        <v/>
      </c>
      <c r="BA257" s="1844">
        <f t="array" ref="BA257">BA256/BA212</f>
        <v/>
      </c>
      <c r="BB257" s="1740">
        <f t="array" ref="BB257">BB256/BB212</f>
        <v/>
      </c>
      <c r="BC257" s="1741">
        <f t="array" ref="BC257">BC256/BC212</f>
        <v/>
      </c>
      <c r="BD257" s="1741">
        <f t="array" ref="BD257">BD256/BD212</f>
        <v/>
      </c>
      <c r="BE257" s="1741">
        <f t="array" ref="BE257">BE256/BE212</f>
        <v/>
      </c>
      <c r="BF257" s="1844">
        <f t="array" ref="BF257">BF256/BF212</f>
        <v/>
      </c>
      <c r="BG257" s="33" t="n"/>
      <c r="BH257" s="33" t="n"/>
      <c r="BI257" s="33" t="n"/>
      <c r="BJ257" s="33" t="n"/>
      <c r="BK257" s="1742">
        <f t="array" ref="BK257">BK256/BK212</f>
        <v/>
      </c>
      <c r="BL257" s="33" t="n"/>
      <c r="BM257" s="33" t="n"/>
      <c r="BN257" s="33" t="n"/>
      <c r="BO257" s="33" t="n"/>
      <c r="BP257" s="1742">
        <f t="array" ref="BP257">BP256/BP212</f>
        <v/>
      </c>
      <c r="BQ257" s="33" t="n"/>
      <c r="BR257" s="33" t="n"/>
      <c r="BS257" s="33" t="n"/>
      <c r="BT257" s="33" t="n"/>
      <c r="BU257" s="1742">
        <f t="array" ref="BU257">BU256/BU212</f>
        <v/>
      </c>
      <c r="BV257" s="33" t="n"/>
      <c r="BW257" s="33" t="n"/>
      <c r="BX257" s="33" t="n"/>
      <c r="BY257" s="33" t="n"/>
      <c r="BZ257" s="1742">
        <f t="array" ref="BZ257">BZ256/BZ212</f>
        <v/>
      </c>
      <c r="CA257" s="699" t="n"/>
      <c r="CB257" s="319" t="n"/>
      <c r="CC257" s="701" t="n"/>
      <c r="CD257" s="701" t="n"/>
      <c r="CE257" s="701" t="n"/>
      <c r="CF257" s="701" t="n"/>
      <c r="CG257" s="701" t="n"/>
      <c r="CH257" s="701" t="n"/>
      <c r="CI257" s="701" t="n"/>
      <c r="CJ257" s="701" t="n"/>
      <c r="CK257" s="701" t="n"/>
      <c r="CL257" s="701" t="n"/>
      <c r="CM257" s="701" t="n"/>
      <c r="CN257" s="701" t="n"/>
      <c r="CO257" s="701" t="n"/>
      <c r="CP257" s="701" t="n"/>
      <c r="CQ257" s="701" t="n"/>
      <c r="CR257" s="701" t="n"/>
      <c r="CS257" s="701" t="n"/>
      <c r="CT257" s="701" t="n"/>
      <c r="CU257" s="701" t="n"/>
      <c r="CV257" s="701" t="n"/>
      <c r="CW257" s="30" t="n"/>
    </row>
    <row r="258" ht="12.75" customHeight="1" s="1676">
      <c r="A258" s="31" t="n"/>
      <c r="B258" s="551" t="inlineStr">
        <is>
          <t>Text_24</t>
        </is>
      </c>
      <c r="C258" s="699" t="n"/>
      <c r="D258" s="699" t="n"/>
      <c r="E258" s="699" t="n"/>
      <c r="F258" s="699" t="n"/>
      <c r="G258" s="699" t="n"/>
      <c r="H258" s="1956" t="n"/>
      <c r="I258" s="699" t="n"/>
      <c r="J258" s="699" t="n"/>
      <c r="K258" s="699" t="n"/>
      <c r="L258" s="699" t="n"/>
      <c r="M258" s="1956">
        <f t="array" ref="M258">M256/H256-1</f>
        <v/>
      </c>
      <c r="N258" s="699" t="n"/>
      <c r="O258" s="699" t="n"/>
      <c r="P258" s="699" t="n"/>
      <c r="Q258" s="699" t="n"/>
      <c r="R258" s="1956">
        <f t="array" ref="R258">R256/M256-1</f>
        <v/>
      </c>
      <c r="S258" s="699" t="n"/>
      <c r="T258" s="699" t="n"/>
      <c r="U258" s="699" t="n"/>
      <c r="V258" s="699" t="n"/>
      <c r="W258" s="1956">
        <f t="array" ref="W258">W256/R256-1</f>
        <v/>
      </c>
      <c r="X258" s="1956" t="n"/>
      <c r="Y258" s="1956" t="n"/>
      <c r="Z258" s="1956" t="n"/>
      <c r="AA258" s="1956" t="n"/>
      <c r="AB258" s="1956">
        <f t="array" ref="AB258">AB256/W256-1</f>
        <v/>
      </c>
      <c r="AC258" s="1956" t="n"/>
      <c r="AD258" s="1956" t="n"/>
      <c r="AE258" s="1956" t="n"/>
      <c r="AF258" s="1956" t="n"/>
      <c r="AG258" s="1956">
        <f t="array" ref="AG258">AG256/AB256-1</f>
        <v/>
      </c>
      <c r="AH258" s="1956" t="n"/>
      <c r="AI258" s="1956" t="n"/>
      <c r="AJ258" s="1956" t="n"/>
      <c r="AK258" s="1956" t="n"/>
      <c r="AL258" s="1956">
        <f t="array" ref="AL258">AL256/AG256-1</f>
        <v/>
      </c>
      <c r="AM258" s="1956">
        <f t="array" ref="AM258">AM256/AH256-1</f>
        <v/>
      </c>
      <c r="AN258" s="1956">
        <f t="array" ref="AN258">AN256/AI256-1</f>
        <v/>
      </c>
      <c r="AO258" s="1956">
        <f t="array" ref="AO258">AO256/AJ256-1</f>
        <v/>
      </c>
      <c r="AP258" s="1956">
        <f t="array" ref="AP258">AP256/AK256-1</f>
        <v/>
      </c>
      <c r="AQ258" s="1956">
        <f t="array" ref="AQ258">AQ256/AL256-1</f>
        <v/>
      </c>
      <c r="AR258" s="1956">
        <f t="array" ref="AR258">AR256/AM256-1</f>
        <v/>
      </c>
      <c r="AS258" s="1956">
        <f t="array" ref="AS258">AS256/AN256-1</f>
        <v/>
      </c>
      <c r="AT258" s="1956">
        <f t="array" ref="AT258">AT256/AO256-1</f>
        <v/>
      </c>
      <c r="AU258" s="1956">
        <f t="array" ref="AU258">AU256/AP256-1</f>
        <v/>
      </c>
      <c r="AV258" s="1956">
        <f t="array" ref="AV258">AV256/AQ256-1</f>
        <v/>
      </c>
      <c r="AW258" s="1958">
        <f t="array" ref="AW258">AW256/AR256-1</f>
        <v/>
      </c>
      <c r="AX258" s="1957">
        <f t="array" ref="AX258">AX256/AS256-1</f>
        <v/>
      </c>
      <c r="AY258" s="1957">
        <f t="array" ref="AY258">AY256/AT256-1</f>
        <v/>
      </c>
      <c r="AZ258" s="1957">
        <f t="array" ref="AZ258">AZ256/AU256-1</f>
        <v/>
      </c>
      <c r="BA258" s="1959">
        <f t="array" ref="BA258">BA256/AV256-1</f>
        <v/>
      </c>
      <c r="BB258" s="1958">
        <f t="array" ref="BB258">BB256/AW256-1</f>
        <v/>
      </c>
      <c r="BC258" s="1957">
        <f t="array" ref="BC258">BC256/AX256-1</f>
        <v/>
      </c>
      <c r="BD258" s="1957">
        <f t="array" ref="BD258">BD256/AY256-1</f>
        <v/>
      </c>
      <c r="BE258" s="1957">
        <f t="array" ref="BE258">BE256/AZ256-1</f>
        <v/>
      </c>
      <c r="BF258" s="1959">
        <f t="array" ref="BF258">BF256/BA256-1</f>
        <v/>
      </c>
      <c r="BG258" s="699" t="n"/>
      <c r="BH258" s="699" t="n"/>
      <c r="BI258" s="699" t="n"/>
      <c r="BJ258" s="699" t="n"/>
      <c r="BK258" s="1956">
        <f t="array" ref="BK258">BK256/BF256-1</f>
        <v/>
      </c>
      <c r="BL258" s="699" t="n"/>
      <c r="BM258" s="699" t="n"/>
      <c r="BN258" s="699" t="n"/>
      <c r="BO258" s="699" t="n"/>
      <c r="BP258" s="1956">
        <f t="array" ref="BP258">BP256/BK256-1</f>
        <v/>
      </c>
      <c r="BQ258" s="699" t="n"/>
      <c r="BR258" s="699" t="n"/>
      <c r="BS258" s="699" t="n"/>
      <c r="BT258" s="699" t="n"/>
      <c r="BU258" s="1956">
        <f t="array" ref="BU258">BU256/BP256-1</f>
        <v/>
      </c>
      <c r="BV258" s="699" t="n"/>
      <c r="BW258" s="699" t="n"/>
      <c r="BX258" s="699" t="n"/>
      <c r="BY258" s="699" t="n"/>
      <c r="BZ258" s="1956">
        <f t="array" ref="BZ258">BZ256/BU256-1</f>
        <v/>
      </c>
      <c r="CA258" s="699" t="n"/>
      <c r="CB258" s="319" t="n"/>
      <c r="CC258" s="701" t="n"/>
      <c r="CD258" s="701" t="n"/>
      <c r="CE258" s="701" t="n"/>
      <c r="CF258" s="701" t="n"/>
      <c r="CG258" s="701" t="n"/>
      <c r="CH258" s="701" t="n"/>
      <c r="CI258" s="701" t="n"/>
      <c r="CJ258" s="701" t="n"/>
      <c r="CK258" s="701" t="n"/>
      <c r="CL258" s="701" t="n"/>
      <c r="CM258" s="701" t="n"/>
      <c r="CN258" s="701" t="n"/>
      <c r="CO258" s="701" t="n"/>
      <c r="CP258" s="701" t="n"/>
      <c r="CQ258" s="701" t="n"/>
      <c r="CR258" s="701" t="n"/>
      <c r="CS258" s="701" t="n"/>
      <c r="CT258" s="701" t="n"/>
      <c r="CU258" s="701" t="n"/>
      <c r="CV258" s="701" t="n"/>
      <c r="CW258" s="30" t="n"/>
    </row>
    <row r="259" hidden="1" ht="12.75" customHeight="1" s="1676">
      <c r="A259" s="31" t="n"/>
      <c r="B259" s="588" t="inlineStr">
        <is>
          <t>Text_221</t>
        </is>
      </c>
      <c r="C259" s="699" t="n"/>
      <c r="D259" s="699" t="n"/>
      <c r="E259" s="699" t="n"/>
      <c r="F259" s="699" t="n"/>
      <c r="G259" s="699" t="n"/>
      <c r="H259" s="66" t="n"/>
      <c r="I259" s="699" t="n"/>
      <c r="J259" s="699" t="n"/>
      <c r="K259" s="699" t="n"/>
      <c r="L259" s="699" t="n"/>
      <c r="M259" s="66" t="n"/>
      <c r="N259" s="699" t="n"/>
      <c r="O259" s="699" t="n"/>
      <c r="P259" s="699" t="n"/>
      <c r="Q259" s="699" t="n"/>
      <c r="R259" s="66" t="n"/>
      <c r="S259" s="699" t="n"/>
      <c r="T259" s="699" t="n"/>
      <c r="U259" s="699" t="n"/>
      <c r="V259" s="699" t="n"/>
      <c r="W259" s="66" t="n"/>
      <c r="X259" s="66" t="n"/>
      <c r="Y259" s="66" t="n"/>
      <c r="Z259" s="66" t="n"/>
      <c r="AA259" s="66" t="n"/>
      <c r="AB259" s="66" t="n"/>
      <c r="AC259" s="66" t="n"/>
      <c r="AD259" s="66" t="n"/>
      <c r="AE259" s="66" t="n"/>
      <c r="AF259" s="66" t="n"/>
      <c r="AG259" s="66" t="n"/>
      <c r="AH259" s="66" t="n"/>
      <c r="AI259" s="66" t="n"/>
      <c r="AJ259" s="66" t="n"/>
      <c r="AK259" s="66" t="n"/>
      <c r="AL259" s="66" t="n"/>
      <c r="AM259" s="66" t="n"/>
      <c r="AN259" s="66" t="n"/>
      <c r="AO259" s="66" t="n"/>
      <c r="AP259" s="66" t="n"/>
      <c r="AQ259" s="2013" t="n"/>
      <c r="AR259" s="2013">
        <f t="array" ref="AR259">AQ263</f>
        <v/>
      </c>
      <c r="AS259" s="2013">
        <f t="array" ref="AS259">AR263</f>
        <v/>
      </c>
      <c r="AT259" s="2013">
        <f t="array" ref="AT259">AS263</f>
        <v/>
      </c>
      <c r="AU259" s="2013">
        <f t="array" ref="AU259">AT263</f>
        <v/>
      </c>
      <c r="AV259" s="2013">
        <f t="array" ref="AV259">AQ263</f>
        <v/>
      </c>
      <c r="AW259" s="2014">
        <f t="array" ref="AW259">AV263</f>
        <v/>
      </c>
      <c r="AX259" s="2015" t="n"/>
      <c r="AY259" s="2015" t="n"/>
      <c r="AZ259" s="2015" t="n"/>
      <c r="BA259" s="2016">
        <f t="array" ref="BA259">AV263</f>
        <v/>
      </c>
      <c r="BB259" s="2017" t="n"/>
      <c r="BC259" s="2015" t="n"/>
      <c r="BD259" s="2015" t="n"/>
      <c r="BE259" s="2018" t="n"/>
      <c r="BF259" s="2013">
        <f t="array" ref="BF259">BA263</f>
        <v/>
      </c>
      <c r="BG259" s="2019" t="n"/>
      <c r="BH259" s="2019" t="n"/>
      <c r="BI259" s="2019" t="n"/>
      <c r="BJ259" s="2019" t="n"/>
      <c r="BK259" s="2013">
        <f t="array" ref="BK259">BF263</f>
        <v/>
      </c>
      <c r="BL259" s="2019" t="n"/>
      <c r="BM259" s="2019" t="n"/>
      <c r="BN259" s="2019" t="n"/>
      <c r="BO259" s="2019" t="n"/>
      <c r="BP259" s="2013">
        <f t="array" ref="BP259">BK263</f>
        <v/>
      </c>
      <c r="BQ259" s="2019" t="n"/>
      <c r="BR259" s="2019" t="n"/>
      <c r="BS259" s="2019" t="n"/>
      <c r="BT259" s="2019" t="n"/>
      <c r="BU259" s="2013">
        <f t="array" ref="BU259">BP263</f>
        <v/>
      </c>
      <c r="BV259" s="2019" t="n"/>
      <c r="BW259" s="2019" t="n"/>
      <c r="BX259" s="2019" t="n"/>
      <c r="BY259" s="2019" t="n"/>
      <c r="BZ259" s="2013">
        <f t="array" ref="BZ259">BU263</f>
        <v/>
      </c>
      <c r="CA259" s="699" t="n"/>
      <c r="CB259" s="319" t="n"/>
      <c r="CC259" s="701" t="n"/>
      <c r="CD259" s="701" t="n"/>
      <c r="CE259" s="701" t="n"/>
      <c r="CF259" s="701" t="n"/>
      <c r="CG259" s="701" t="n"/>
      <c r="CH259" s="701" t="n"/>
      <c r="CI259" s="701" t="n"/>
      <c r="CJ259" s="701" t="n"/>
      <c r="CK259" s="701" t="n"/>
      <c r="CL259" s="701" t="n"/>
      <c r="CM259" s="701" t="n"/>
      <c r="CN259" s="701" t="n"/>
      <c r="CO259" s="701" t="n"/>
      <c r="CP259" s="701" t="n"/>
      <c r="CQ259" s="701" t="n"/>
      <c r="CR259" s="701" t="n"/>
      <c r="CS259" s="701" t="n"/>
      <c r="CT259" s="701" t="n"/>
      <c r="CU259" s="701" t="n"/>
      <c r="CV259" s="701" t="n"/>
      <c r="CW259" s="30" t="n"/>
    </row>
    <row r="260" hidden="1" ht="12.75" customHeight="1" s="1676">
      <c r="A260" s="31" t="n"/>
      <c r="B260" s="257" t="inlineStr">
        <is>
          <t>Text_222</t>
        </is>
      </c>
      <c r="C260" s="699" t="n"/>
      <c r="D260" s="1751" t="n"/>
      <c r="E260" s="1751" t="n"/>
      <c r="F260" s="1751" t="n"/>
      <c r="G260" s="1751" t="n"/>
      <c r="H260" s="1704" t="n"/>
      <c r="I260" s="1751" t="n"/>
      <c r="J260" s="1751" t="n"/>
      <c r="K260" s="1751" t="n"/>
      <c r="L260" s="1751" t="n"/>
      <c r="M260" s="1704" t="n"/>
      <c r="N260" s="1751" t="n"/>
      <c r="O260" s="1751" t="n"/>
      <c r="P260" s="1751" t="n"/>
      <c r="Q260" s="1751" t="n"/>
      <c r="R260" s="1704" t="n"/>
      <c r="S260" s="1751" t="n"/>
      <c r="T260" s="1751" t="n"/>
      <c r="U260" s="1751" t="n"/>
      <c r="V260" s="1751" t="n"/>
      <c r="W260" s="1704" t="n"/>
      <c r="X260" s="1704" t="n"/>
      <c r="Y260" s="1704" t="n"/>
      <c r="Z260" s="1704" t="n"/>
      <c r="AA260" s="1704" t="n"/>
      <c r="AB260" s="1704" t="n"/>
      <c r="AC260" s="1704" t="n"/>
      <c r="AD260" s="1704" t="n"/>
      <c r="AE260" s="1704" t="n"/>
      <c r="AF260" s="1704" t="n"/>
      <c r="AG260" s="1704" t="n"/>
      <c r="AH260" s="1704" t="n"/>
      <c r="AI260" s="1704" t="n"/>
      <c r="AJ260" s="1704" t="n"/>
      <c r="AK260" s="1704" t="n"/>
      <c r="AL260" s="1704" t="n"/>
      <c r="AM260" s="1704" t="n"/>
      <c r="AN260" s="1704" t="n"/>
      <c r="AO260" s="1704" t="n"/>
      <c r="AP260" s="1704" t="n"/>
      <c r="AQ260" s="2020" t="n"/>
      <c r="AR260" s="2020">
        <f t="array" ref="AR260">AR263-AR262-AR259</f>
        <v/>
      </c>
      <c r="AS260" s="2020">
        <f t="array" ref="AS260">AS263-AS262-AS259</f>
        <v/>
      </c>
      <c r="AT260" s="2020">
        <f t="array" ref="AT260">AT263-AT262-AT259</f>
        <v/>
      </c>
      <c r="AU260" s="2020">
        <f t="array" ref="AU260">AV260-AT260-AS260-AR260</f>
        <v/>
      </c>
      <c r="AV260" s="2020">
        <f t="array" ref="AV260">AV259*AV261</f>
        <v/>
      </c>
      <c r="AW260" s="2017">
        <f t="array" ref="AW260">AW263-AW262-AW259</f>
        <v/>
      </c>
      <c r="AX260" s="2015" t="n"/>
      <c r="AY260" s="2015" t="n"/>
      <c r="AZ260" s="2015" t="n"/>
      <c r="BA260" s="2018">
        <f t="array" ref="BA260">BA259*0.01</f>
        <v/>
      </c>
      <c r="BB260" s="2017" t="n"/>
      <c r="BC260" s="2015" t="n"/>
      <c r="BD260" s="2015" t="n"/>
      <c r="BE260" s="2018" t="n"/>
      <c r="BF260" s="2020">
        <f t="array" ref="BF260">BF259*0.01</f>
        <v/>
      </c>
      <c r="BG260" s="2019" t="n"/>
      <c r="BH260" s="2019" t="n"/>
      <c r="BI260" s="2019" t="n"/>
      <c r="BJ260" s="2019" t="n"/>
      <c r="BK260" s="2020">
        <f t="array" ref="BK260">BK259*0.01</f>
        <v/>
      </c>
      <c r="BL260" s="2019" t="n"/>
      <c r="BM260" s="2019" t="n"/>
      <c r="BN260" s="2019" t="n"/>
      <c r="BO260" s="2019" t="n"/>
      <c r="BP260" s="2020">
        <f t="array" ref="BP260">BP259*0.01</f>
        <v/>
      </c>
      <c r="BQ260" s="2019" t="n"/>
      <c r="BR260" s="2019" t="n"/>
      <c r="BS260" s="2019" t="n"/>
      <c r="BT260" s="2019" t="n"/>
      <c r="BU260" s="2020">
        <f t="array" ref="BU260">BU259*0.01</f>
        <v/>
      </c>
      <c r="BV260" s="2019" t="n"/>
      <c r="BW260" s="2019" t="n"/>
      <c r="BX260" s="2019" t="n"/>
      <c r="BY260" s="2019" t="n"/>
      <c r="BZ260" s="2020">
        <f t="array" ref="BZ260">BZ259*0.01</f>
        <v/>
      </c>
      <c r="CA260" s="699" t="n"/>
      <c r="CB260" s="319" t="n"/>
      <c r="CC260" s="701" t="n"/>
      <c r="CD260" s="701" t="n"/>
      <c r="CE260" s="701" t="n"/>
      <c r="CF260" s="701" t="n"/>
      <c r="CG260" s="701" t="n"/>
      <c r="CH260" s="701" t="n"/>
      <c r="CI260" s="701" t="n"/>
      <c r="CJ260" s="701" t="n"/>
      <c r="CK260" s="701" t="n"/>
      <c r="CL260" s="701" t="n"/>
      <c r="CM260" s="701" t="n"/>
      <c r="CN260" s="701" t="n"/>
      <c r="CO260" s="701" t="n"/>
      <c r="CP260" s="701" t="n"/>
      <c r="CQ260" s="701" t="n"/>
      <c r="CR260" s="701" t="n"/>
      <c r="CS260" s="701" t="n"/>
      <c r="CT260" s="701" t="n"/>
      <c r="CU260" s="701" t="n"/>
      <c r="CV260" s="701" t="n"/>
      <c r="CW260" s="30" t="n"/>
    </row>
    <row r="261" hidden="1" ht="12.75" customHeight="1" s="1676">
      <c r="A261" s="31" t="n"/>
      <c r="B261" s="257" t="inlineStr">
        <is>
          <t>Text_223</t>
        </is>
      </c>
      <c r="C261" s="699" t="n"/>
      <c r="D261" s="1751" t="n"/>
      <c r="E261" s="1751" t="n"/>
      <c r="F261" s="1751" t="n"/>
      <c r="G261" s="1751" t="n"/>
      <c r="H261" s="1704" t="n"/>
      <c r="I261" s="1751" t="n"/>
      <c r="J261" s="1751" t="n"/>
      <c r="K261" s="1751" t="n"/>
      <c r="L261" s="1751" t="n"/>
      <c r="M261" s="1704" t="n"/>
      <c r="N261" s="1751" t="n"/>
      <c r="O261" s="1751" t="n"/>
      <c r="P261" s="1751" t="n"/>
      <c r="Q261" s="1751" t="n"/>
      <c r="R261" s="1704" t="n"/>
      <c r="S261" s="1751" t="n"/>
      <c r="T261" s="1751" t="n"/>
      <c r="U261" s="1751" t="n"/>
      <c r="V261" s="1751" t="n"/>
      <c r="W261" s="1704" t="n"/>
      <c r="X261" s="1704" t="n"/>
      <c r="Y261" s="1704" t="n"/>
      <c r="Z261" s="1704" t="n"/>
      <c r="AA261" s="1704" t="n"/>
      <c r="AB261" s="1704" t="n"/>
      <c r="AC261" s="1704" t="n"/>
      <c r="AD261" s="1704" t="n"/>
      <c r="AE261" s="1704" t="n"/>
      <c r="AF261" s="1704" t="n"/>
      <c r="AG261" s="1704" t="n"/>
      <c r="AH261" s="1704" t="n"/>
      <c r="AI261" s="1704" t="n"/>
      <c r="AJ261" s="1704" t="n"/>
      <c r="AK261" s="1704" t="n"/>
      <c r="AL261" s="1704" t="n"/>
      <c r="AM261" s="1704" t="n"/>
      <c r="AN261" s="1704" t="n"/>
      <c r="AO261" s="1704" t="n"/>
      <c r="AP261" s="1704" t="n"/>
      <c r="AQ261" s="1704" t="n"/>
      <c r="AR261" s="1704">
        <f t="array" ref="AR261">AR260/AR259</f>
        <v/>
      </c>
      <c r="AS261" s="1704">
        <f t="array" ref="AS261">AS260/AS259</f>
        <v/>
      </c>
      <c r="AT261" s="1704">
        <f t="array" ref="AT261">AT260/AT259</f>
        <v/>
      </c>
      <c r="AU261" s="1704">
        <f t="array" ref="AU261">AU260/AU259</f>
        <v/>
      </c>
      <c r="AV261" s="2021" t="n"/>
      <c r="AW261" s="1705">
        <f t="array" ref="AW261">AW260/AW259</f>
        <v/>
      </c>
      <c r="AX261" s="2022" t="n"/>
      <c r="AY261" s="2021" t="n"/>
      <c r="AZ261" s="2023" t="n"/>
      <c r="BA261" s="2022" t="n"/>
      <c r="BB261" s="2021" t="n"/>
      <c r="BC261" s="2021" t="n"/>
      <c r="BD261" s="2021" t="n"/>
      <c r="BE261" s="2021" t="n"/>
      <c r="BF261" s="2021" t="n"/>
      <c r="BG261" s="1856" t="n"/>
      <c r="BH261" s="1856" t="n"/>
      <c r="BI261" s="1856" t="n"/>
      <c r="BJ261" s="1856" t="n"/>
      <c r="BK261" s="2021" t="n"/>
      <c r="BL261" s="1856" t="n"/>
      <c r="BM261" s="1856" t="n"/>
      <c r="BN261" s="1856" t="n"/>
      <c r="BO261" s="1856" t="n"/>
      <c r="BP261" s="2021" t="n"/>
      <c r="BQ261" s="1856" t="n"/>
      <c r="BR261" s="1856" t="n"/>
      <c r="BS261" s="1856" t="n"/>
      <c r="BT261" s="1856" t="n"/>
      <c r="BU261" s="2021" t="n"/>
      <c r="BV261" s="1856" t="n"/>
      <c r="BW261" s="1856" t="n"/>
      <c r="BX261" s="1856" t="n"/>
      <c r="BY261" s="1856" t="n"/>
      <c r="BZ261" s="2021" t="n"/>
      <c r="CA261" s="699" t="n"/>
      <c r="CB261" s="319" t="n"/>
      <c r="CC261" s="701" t="n"/>
      <c r="CD261" s="701" t="n"/>
      <c r="CE261" s="701" t="n"/>
      <c r="CF261" s="701" t="n"/>
      <c r="CG261" s="701" t="n"/>
      <c r="CH261" s="701" t="n"/>
      <c r="CI261" s="701" t="n"/>
      <c r="CJ261" s="701" t="n"/>
      <c r="CK261" s="701" t="n"/>
      <c r="CL261" s="701" t="n"/>
      <c r="CM261" s="701" t="n"/>
      <c r="CN261" s="701" t="n"/>
      <c r="CO261" s="701" t="n"/>
      <c r="CP261" s="701" t="n"/>
      <c r="CQ261" s="701" t="n"/>
      <c r="CR261" s="701" t="n"/>
      <c r="CS261" s="701" t="n"/>
      <c r="CT261" s="701" t="n"/>
      <c r="CU261" s="701" t="n"/>
      <c r="CV261" s="701" t="n"/>
      <c r="CW261" s="30" t="n"/>
    </row>
    <row r="262" hidden="1" ht="12.75" customHeight="1" s="1676">
      <c r="A262" s="31" t="n"/>
      <c r="B262" s="257" t="inlineStr">
        <is>
          <t>Text_224</t>
        </is>
      </c>
      <c r="C262" s="699" t="n"/>
      <c r="D262" s="1751" t="n"/>
      <c r="E262" s="1751" t="n"/>
      <c r="F262" s="1751" t="n"/>
      <c r="G262" s="1751" t="n"/>
      <c r="H262" s="1704" t="n"/>
      <c r="I262" s="1751" t="n"/>
      <c r="J262" s="1751" t="n"/>
      <c r="K262" s="1751" t="n"/>
      <c r="L262" s="1751" t="n"/>
      <c r="M262" s="1704" t="n"/>
      <c r="N262" s="1751" t="n"/>
      <c r="O262" s="1751" t="n"/>
      <c r="P262" s="1751" t="n"/>
      <c r="Q262" s="1751" t="n"/>
      <c r="R262" s="1704" t="n"/>
      <c r="S262" s="1751" t="n"/>
      <c r="T262" s="1751" t="n"/>
      <c r="U262" s="1751" t="n"/>
      <c r="V262" s="1751" t="n"/>
      <c r="W262" s="1704" t="n"/>
      <c r="X262" s="1704" t="n"/>
      <c r="Y262" s="1704" t="n"/>
      <c r="Z262" s="1704" t="n"/>
      <c r="AA262" s="1704" t="n"/>
      <c r="AB262" s="1704" t="n"/>
      <c r="AC262" s="1704" t="n"/>
      <c r="AD262" s="1704" t="n"/>
      <c r="AE262" s="1704" t="n"/>
      <c r="AF262" s="1704" t="n"/>
      <c r="AG262" s="1704" t="n"/>
      <c r="AH262" s="1704" t="n"/>
      <c r="AI262" s="1704" t="n"/>
      <c r="AJ262" s="1704" t="n"/>
      <c r="AK262" s="1704" t="n"/>
      <c r="AL262" s="1704" t="n"/>
      <c r="AM262" s="1704" t="n"/>
      <c r="AN262" s="1704" t="n"/>
      <c r="AO262" s="1704" t="n"/>
      <c r="AP262" s="1704" t="n"/>
      <c r="AQ262" s="2024" t="n"/>
      <c r="AR262" s="2024" t="n"/>
      <c r="AS262" s="2024" t="n"/>
      <c r="AT262" s="2024" t="n"/>
      <c r="AU262" s="2020">
        <f t="array" ref="AU262">AU265/AU266</f>
        <v/>
      </c>
      <c r="AV262" s="2020">
        <f t="array" ref="AV262">SUM(AR262:AU262)</f>
        <v/>
      </c>
      <c r="AW262" s="2025" t="n"/>
      <c r="AX262" s="2015" t="n"/>
      <c r="AY262" s="2015" t="n"/>
      <c r="AZ262" s="2015" t="n"/>
      <c r="BA262" s="2018">
        <f t="array" ref="BA262">BA265/BA266</f>
        <v/>
      </c>
      <c r="BB262" s="2017" t="n"/>
      <c r="BC262" s="2015" t="n"/>
      <c r="BD262" s="2015" t="n"/>
      <c r="BE262" s="2018" t="n"/>
      <c r="BF262" s="2020">
        <f t="array" ref="BF262">BF265/BF266</f>
        <v/>
      </c>
      <c r="BG262" s="2019" t="n"/>
      <c r="BH262" s="2019" t="n"/>
      <c r="BI262" s="2019" t="n"/>
      <c r="BJ262" s="2019" t="n"/>
      <c r="BK262" s="2020">
        <f t="array" ref="BK262">BK265/BK266</f>
        <v/>
      </c>
      <c r="BL262" s="2019" t="n"/>
      <c r="BM262" s="2019" t="n"/>
      <c r="BN262" s="2019" t="n"/>
      <c r="BO262" s="2019" t="n"/>
      <c r="BP262" s="2020">
        <f t="array" ref="BP262">BP265/BP266</f>
        <v/>
      </c>
      <c r="BQ262" s="2019" t="n"/>
      <c r="BR262" s="2019" t="n"/>
      <c r="BS262" s="2019" t="n"/>
      <c r="BT262" s="2019" t="n"/>
      <c r="BU262" s="2020">
        <f t="array" ref="BU262">BU265/BU266</f>
        <v/>
      </c>
      <c r="BV262" s="2019" t="n"/>
      <c r="BW262" s="2019" t="n"/>
      <c r="BX262" s="2019" t="n"/>
      <c r="BY262" s="2019" t="n"/>
      <c r="BZ262" s="2020">
        <f t="array" ref="BZ262">BZ265/BZ266</f>
        <v/>
      </c>
      <c r="CA262" s="270" t="inlineStr">
        <is>
          <t>Text_225</t>
        </is>
      </c>
      <c r="CB262" s="319" t="n"/>
      <c r="CC262" s="701" t="n"/>
      <c r="CD262" s="701" t="n"/>
      <c r="CE262" s="701" t="n"/>
      <c r="CF262" s="701" t="n"/>
      <c r="CG262" s="701" t="n"/>
      <c r="CH262" s="701" t="n"/>
      <c r="CI262" s="701" t="n"/>
      <c r="CJ262" s="701" t="n"/>
      <c r="CK262" s="701" t="n"/>
      <c r="CL262" s="701" t="n"/>
      <c r="CM262" s="701" t="n"/>
      <c r="CN262" s="701" t="n"/>
      <c r="CO262" s="701" t="n"/>
      <c r="CP262" s="701" t="n"/>
      <c r="CQ262" s="701" t="n"/>
      <c r="CR262" s="701" t="n"/>
      <c r="CS262" s="701" t="n"/>
      <c r="CT262" s="701" t="n"/>
      <c r="CU262" s="701" t="n"/>
      <c r="CV262" s="701" t="n"/>
      <c r="CW262" s="30" t="n"/>
    </row>
    <row r="263" hidden="1" ht="12.75" customHeight="1" s="1676">
      <c r="A263" s="31" t="n"/>
      <c r="B263" s="257" t="inlineStr">
        <is>
          <t>Text_226</t>
        </is>
      </c>
      <c r="C263" s="699" t="n"/>
      <c r="D263" s="1751" t="n"/>
      <c r="E263" s="1751" t="n"/>
      <c r="F263" s="1751" t="n"/>
      <c r="G263" s="1751" t="n"/>
      <c r="H263" s="1704" t="n"/>
      <c r="I263" s="1751" t="n"/>
      <c r="J263" s="1751" t="n"/>
      <c r="K263" s="1751" t="n"/>
      <c r="L263" s="1751" t="n"/>
      <c r="M263" s="1704" t="n"/>
      <c r="N263" s="1751" t="n"/>
      <c r="O263" s="1751" t="n"/>
      <c r="P263" s="1751" t="n"/>
      <c r="Q263" s="1751" t="n"/>
      <c r="R263" s="1704" t="n"/>
      <c r="S263" s="1751" t="n"/>
      <c r="T263" s="1751" t="n"/>
      <c r="U263" s="1751" t="n"/>
      <c r="V263" s="1751" t="n"/>
      <c r="W263" s="1704" t="n"/>
      <c r="X263" s="1704" t="n"/>
      <c r="Y263" s="1704" t="n"/>
      <c r="Z263" s="1704" t="n"/>
      <c r="AA263" s="1704" t="n"/>
      <c r="AB263" s="1704" t="n"/>
      <c r="AC263" s="1704" t="n"/>
      <c r="AD263" s="1704" t="n"/>
      <c r="AE263" s="1704" t="n"/>
      <c r="AF263" s="1704" t="n"/>
      <c r="AG263" s="1704" t="n"/>
      <c r="AH263" s="1704" t="n"/>
      <c r="AI263" s="1704" t="n"/>
      <c r="AJ263" s="1704" t="n"/>
      <c r="AK263" s="1704" t="n"/>
      <c r="AL263" s="1961" t="n"/>
      <c r="AM263" s="1704" t="n"/>
      <c r="AN263" s="1704" t="n"/>
      <c r="AO263" s="1704" t="n"/>
      <c r="AP263" s="1704" t="n"/>
      <c r="AQ263" s="2024" t="n"/>
      <c r="AR263" s="2024" t="n"/>
      <c r="AS263" s="2024" t="n"/>
      <c r="AT263" s="2024" t="n"/>
      <c r="AU263" s="2013">
        <f t="array" ref="AU263">AU259+AU260+AU262</f>
        <v/>
      </c>
      <c r="AV263" s="2013">
        <f t="array" ref="AV263">AV259+AV260+AV262</f>
        <v/>
      </c>
      <c r="AW263" s="2025" t="n"/>
      <c r="AX263" s="2015" t="n"/>
      <c r="AY263" s="2015" t="n"/>
      <c r="AZ263" s="2015" t="n"/>
      <c r="BA263" s="2016">
        <f t="array" ref="BA263">BA259+BA260+BA262</f>
        <v/>
      </c>
      <c r="BB263" s="2017" t="n"/>
      <c r="BC263" s="2015" t="n"/>
      <c r="BD263" s="2015" t="n"/>
      <c r="BE263" s="2018" t="n"/>
      <c r="BF263" s="2013">
        <f t="array" ref="BF263">BF259+BF260+BF262</f>
        <v/>
      </c>
      <c r="BG263" s="2019" t="n"/>
      <c r="BH263" s="2019" t="n"/>
      <c r="BI263" s="2019" t="n"/>
      <c r="BJ263" s="2019" t="n"/>
      <c r="BK263" s="2013">
        <f t="array" ref="BK263">BK259+BK260+BK262</f>
        <v/>
      </c>
      <c r="BL263" s="2019" t="n"/>
      <c r="BM263" s="2019" t="n"/>
      <c r="BN263" s="2019" t="n"/>
      <c r="BO263" s="2019" t="n"/>
      <c r="BP263" s="2013">
        <f t="array" ref="BP263">BP259+BP260+BP262</f>
        <v/>
      </c>
      <c r="BQ263" s="2019" t="n"/>
      <c r="BR263" s="2019" t="n"/>
      <c r="BS263" s="2019" t="n"/>
      <c r="BT263" s="2019" t="n"/>
      <c r="BU263" s="2013">
        <f t="array" ref="BU263">BU259+BU260+BU262</f>
        <v/>
      </c>
      <c r="BV263" s="2019" t="n"/>
      <c r="BW263" s="2019" t="n"/>
      <c r="BX263" s="2019" t="n"/>
      <c r="BY263" s="2019" t="n"/>
      <c r="BZ263" s="2013">
        <f t="array" ref="BZ263">BZ259+BZ260+BZ262</f>
        <v/>
      </c>
      <c r="CA263" s="699" t="n"/>
      <c r="CB263" s="319" t="n"/>
      <c r="CC263" s="701" t="n"/>
      <c r="CD263" s="701" t="n"/>
      <c r="CE263" s="701" t="n"/>
      <c r="CF263" s="701" t="n"/>
      <c r="CG263" s="701" t="n"/>
      <c r="CH263" s="701" t="n"/>
      <c r="CI263" s="701" t="n"/>
      <c r="CJ263" s="701" t="n"/>
      <c r="CK263" s="701" t="n"/>
      <c r="CL263" s="701" t="n"/>
      <c r="CM263" s="701" t="n"/>
      <c r="CN263" s="701" t="n"/>
      <c r="CO263" s="701" t="n"/>
      <c r="CP263" s="701" t="n"/>
      <c r="CQ263" s="701" t="n"/>
      <c r="CR263" s="701" t="n"/>
      <c r="CS263" s="701" t="n"/>
      <c r="CT263" s="701" t="n"/>
      <c r="CU263" s="701" t="n"/>
      <c r="CV263" s="701" t="n"/>
      <c r="CW263" s="30" t="n"/>
    </row>
    <row r="264" hidden="1" ht="12.75" customHeight="1" s="1676">
      <c r="A264" s="31" t="n"/>
      <c r="B264" s="588" t="inlineStr">
        <is>
          <t>Text_227</t>
        </is>
      </c>
      <c r="C264" s="699" t="n"/>
      <c r="D264" s="1751" t="n"/>
      <c r="E264" s="1751" t="n"/>
      <c r="F264" s="1751" t="n"/>
      <c r="G264" s="1751" t="n"/>
      <c r="H264" s="1704" t="n"/>
      <c r="I264" s="1751" t="n"/>
      <c r="J264" s="1751" t="n"/>
      <c r="K264" s="1751" t="n"/>
      <c r="L264" s="1751" t="n"/>
      <c r="M264" s="1704" t="n"/>
      <c r="N264" s="1751" t="n"/>
      <c r="O264" s="1751" t="n"/>
      <c r="P264" s="1751" t="n"/>
      <c r="Q264" s="1751" t="n"/>
      <c r="R264" s="1704" t="n"/>
      <c r="S264" s="1751" t="n"/>
      <c r="T264" s="1751" t="n"/>
      <c r="U264" s="1751" t="n"/>
      <c r="V264" s="1751" t="n"/>
      <c r="W264" s="1704" t="n"/>
      <c r="X264" s="1704" t="n"/>
      <c r="Y264" s="1704" t="n"/>
      <c r="Z264" s="1704" t="n"/>
      <c r="AA264" s="1704" t="n"/>
      <c r="AB264" s="1704" t="n"/>
      <c r="AC264" s="1704" t="n"/>
      <c r="AD264" s="1704" t="n"/>
      <c r="AE264" s="1704" t="n"/>
      <c r="AF264" s="1704" t="n"/>
      <c r="AG264" s="1704" t="n"/>
      <c r="AH264" s="1704" t="n"/>
      <c r="AI264" s="1704" t="n"/>
      <c r="AJ264" s="1704" t="n"/>
      <c r="AK264" s="1704" t="n"/>
      <c r="AL264" s="1704" t="n"/>
      <c r="AM264" s="1704" t="n"/>
      <c r="AN264" s="1704" t="n"/>
      <c r="AO264" s="1704" t="n"/>
      <c r="AP264" s="1704" t="n"/>
      <c r="AQ264" s="1704" t="n"/>
      <c r="AR264" s="1807">
        <f t="array" ref="AR264">AVERAGE(AR259,AR263)</f>
        <v/>
      </c>
      <c r="AS264" s="1807">
        <f t="array" ref="AS264">AVERAGE(AS259,AS263)</f>
        <v/>
      </c>
      <c r="AT264" s="1807">
        <f t="array" ref="AT264">AVERAGE(AT259,AT263)</f>
        <v/>
      </c>
      <c r="AU264" s="1807">
        <f t="array" ref="AU264">AVERAGE(AU259,AU263)</f>
        <v/>
      </c>
      <c r="AV264" s="1807">
        <f t="array" ref="AV264">AVERAGE(AR264:AU264)</f>
        <v/>
      </c>
      <c r="AW264" s="1808">
        <f t="array" ref="AW264">AVERAGE(AW259,AW263)</f>
        <v/>
      </c>
      <c r="AX264" s="602" t="n"/>
      <c r="AY264" s="602" t="n"/>
      <c r="AZ264" s="602" t="n"/>
      <c r="BA264" s="1810">
        <f t="array" ref="BA264">AVERAGE(BA259,BA263)</f>
        <v/>
      </c>
      <c r="BB264" s="603" t="n"/>
      <c r="BC264" s="602" t="n"/>
      <c r="BD264" s="602" t="n"/>
      <c r="BE264" s="604" t="n"/>
      <c r="BF264" s="1807">
        <f t="array" ref="BF264">AVERAGE(BF259,BF263)</f>
        <v/>
      </c>
      <c r="BG264" s="605" t="n"/>
      <c r="BH264" s="605" t="n"/>
      <c r="BI264" s="605" t="n"/>
      <c r="BJ264" s="605" t="n"/>
      <c r="BK264" s="1807">
        <f t="array" ref="BK264">AVERAGE(BK259,BK263)</f>
        <v/>
      </c>
      <c r="BL264" s="605" t="n"/>
      <c r="BM264" s="605" t="n"/>
      <c r="BN264" s="605" t="n"/>
      <c r="BO264" s="605" t="n"/>
      <c r="BP264" s="1807">
        <f t="array" ref="BP264">AVERAGE(BP259,BP263)</f>
        <v/>
      </c>
      <c r="BQ264" s="605" t="n"/>
      <c r="BR264" s="605" t="n"/>
      <c r="BS264" s="605" t="n"/>
      <c r="BT264" s="605" t="n"/>
      <c r="BU264" s="1807">
        <f t="array" ref="BU264">AVERAGE(BU259,BU263)</f>
        <v/>
      </c>
      <c r="BV264" s="605" t="n"/>
      <c r="BW264" s="605" t="n"/>
      <c r="BX264" s="605" t="n"/>
      <c r="BY264" s="605" t="n"/>
      <c r="BZ264" s="1807">
        <f t="array" ref="BZ264">AVERAGE(BZ259,BZ263)</f>
        <v/>
      </c>
      <c r="CA264" s="699" t="n"/>
      <c r="CB264" s="319" t="n"/>
      <c r="CC264" s="701" t="n"/>
      <c r="CD264" s="701" t="n"/>
      <c r="CE264" s="701" t="n"/>
      <c r="CF264" s="701" t="n"/>
      <c r="CG264" s="701" t="n"/>
      <c r="CH264" s="701" t="n"/>
      <c r="CI264" s="701" t="n"/>
      <c r="CJ264" s="701" t="n"/>
      <c r="CK264" s="701" t="n"/>
      <c r="CL264" s="701" t="n"/>
      <c r="CM264" s="701" t="n"/>
      <c r="CN264" s="701" t="n"/>
      <c r="CO264" s="701" t="n"/>
      <c r="CP264" s="701" t="n"/>
      <c r="CQ264" s="701" t="n"/>
      <c r="CR264" s="701" t="n"/>
      <c r="CS264" s="701" t="n"/>
      <c r="CT264" s="701" t="n"/>
      <c r="CU264" s="701" t="n"/>
      <c r="CV264" s="701" t="n"/>
      <c r="CW264" s="30" t="n"/>
    </row>
    <row r="265" hidden="1" ht="12.75" customHeight="1" s="1676">
      <c r="A265" s="31" t="n"/>
      <c r="B265" s="257" t="inlineStr">
        <is>
          <t>Text_228</t>
        </is>
      </c>
      <c r="C265" s="699" t="n"/>
      <c r="D265" s="1751" t="n"/>
      <c r="E265" s="1751" t="n"/>
      <c r="F265" s="1751" t="n"/>
      <c r="G265" s="1751" t="n"/>
      <c r="H265" s="1704" t="n"/>
      <c r="I265" s="1751" t="n"/>
      <c r="J265" s="1751" t="n"/>
      <c r="K265" s="1751" t="n"/>
      <c r="L265" s="1751" t="n"/>
      <c r="M265" s="1704" t="n"/>
      <c r="N265" s="1751" t="n"/>
      <c r="O265" s="1751" t="n"/>
      <c r="P265" s="1751" t="n"/>
      <c r="Q265" s="1751" t="n"/>
      <c r="R265" s="1704" t="n"/>
      <c r="S265" s="1751" t="n"/>
      <c r="T265" s="1751" t="n"/>
      <c r="U265" s="1751" t="n"/>
      <c r="V265" s="1751" t="n"/>
      <c r="W265" s="1704" t="n"/>
      <c r="X265" s="1704" t="n"/>
      <c r="Y265" s="1704" t="n"/>
      <c r="Z265" s="1704" t="n"/>
      <c r="AA265" s="1704" t="n"/>
      <c r="AB265" s="1704" t="n"/>
      <c r="AC265" s="1704" t="n"/>
      <c r="AD265" s="1704" t="n"/>
      <c r="AE265" s="1704" t="n"/>
      <c r="AF265" s="1704" t="n"/>
      <c r="AG265" s="1704" t="n"/>
      <c r="AH265" s="1704" t="n"/>
      <c r="AI265" s="1704" t="n"/>
      <c r="AJ265" s="1704" t="n"/>
      <c r="AK265" s="1704" t="n"/>
      <c r="AL265" s="1704" t="n"/>
      <c r="AM265" s="1704" t="n"/>
      <c r="AN265" s="1704" t="n"/>
      <c r="AO265" s="1704" t="n"/>
      <c r="AP265" s="1704" t="n"/>
      <c r="AQ265" s="1704" t="n"/>
      <c r="AR265" s="2026">
        <f t="array" ref="AR265">AR334</f>
        <v/>
      </c>
      <c r="AS265" s="2026">
        <f t="array" ref="AS265">AS334</f>
        <v/>
      </c>
      <c r="AT265" s="2026">
        <f t="array" ref="AT265">AT334</f>
        <v/>
      </c>
      <c r="AU265" s="2026">
        <f t="array" ref="AU265">AU334</f>
        <v/>
      </c>
      <c r="AV265" s="2026">
        <f t="array" ref="AV265">AV334</f>
        <v/>
      </c>
      <c r="AW265" s="2027">
        <f t="array" ref="AW265">AW334</f>
        <v/>
      </c>
      <c r="AX265" s="2028">
        <f t="array" ref="AX265">AX334</f>
        <v/>
      </c>
      <c r="AY265" s="2028">
        <f t="array" ref="AY265">AY334</f>
        <v/>
      </c>
      <c r="AZ265" s="2028">
        <f t="array" ref="AZ265">AZ334</f>
        <v/>
      </c>
      <c r="BA265" s="2029">
        <f t="array" ref="BA265">BA334</f>
        <v/>
      </c>
      <c r="BB265" s="2027">
        <f t="array" ref="BB265">BB334</f>
        <v/>
      </c>
      <c r="BC265" s="2028">
        <f t="array" ref="BC265">BC334</f>
        <v/>
      </c>
      <c r="BD265" s="2028">
        <f t="array" ref="BD265">BD334</f>
        <v/>
      </c>
      <c r="BE265" s="2029">
        <f t="array" ref="BE265">BE334</f>
        <v/>
      </c>
      <c r="BF265" s="2026">
        <f t="array" ref="BF265">BF334</f>
        <v/>
      </c>
      <c r="BG265" s="610">
        <f t="array" ref="BG265">BG334</f>
        <v/>
      </c>
      <c r="BH265" s="610">
        <f t="array" ref="BH265">BH334</f>
        <v/>
      </c>
      <c r="BI265" s="610">
        <f t="array" ref="BI265">BI334</f>
        <v/>
      </c>
      <c r="BJ265" s="610">
        <f t="array" ref="BJ265">BJ334</f>
        <v/>
      </c>
      <c r="BK265" s="2026">
        <f t="array" ref="BK265">BK334</f>
        <v/>
      </c>
      <c r="BL265" s="610">
        <f t="array" ref="BL265">BL334</f>
        <v/>
      </c>
      <c r="BM265" s="610">
        <f t="array" ref="BM265">BM334</f>
        <v/>
      </c>
      <c r="BN265" s="610">
        <f t="array" ref="BN265">BN334</f>
        <v/>
      </c>
      <c r="BO265" s="610">
        <f t="array" ref="BO265">BO334</f>
        <v/>
      </c>
      <c r="BP265" s="2026">
        <f t="array" ref="BP265">BP334</f>
        <v/>
      </c>
      <c r="BQ265" s="610">
        <f t="array" ref="BQ265">BQ334</f>
        <v/>
      </c>
      <c r="BR265" s="610">
        <f t="array" ref="BR265">BR334</f>
        <v/>
      </c>
      <c r="BS265" s="610">
        <f t="array" ref="BS265">BS334</f>
        <v/>
      </c>
      <c r="BT265" s="610">
        <f t="array" ref="BT265">BT334</f>
        <v/>
      </c>
      <c r="BU265" s="2026">
        <f t="array" ref="BU265">BU334</f>
        <v/>
      </c>
      <c r="BV265" s="610">
        <f t="array" ref="BV265">BV334</f>
        <v/>
      </c>
      <c r="BW265" s="610">
        <f t="array" ref="BW265">BW334</f>
        <v/>
      </c>
      <c r="BX265" s="610">
        <f t="array" ref="BX265">BX334</f>
        <v/>
      </c>
      <c r="BY265" s="610">
        <f t="array" ref="BY265">BY334</f>
        <v/>
      </c>
      <c r="BZ265" s="2026">
        <f t="array" ref="BZ265">BZ334</f>
        <v/>
      </c>
      <c r="CA265" s="699" t="n"/>
      <c r="CB265" s="319" t="n"/>
      <c r="CC265" s="701" t="n"/>
      <c r="CD265" s="701" t="n"/>
      <c r="CE265" s="701" t="n"/>
      <c r="CF265" s="701" t="n"/>
      <c r="CG265" s="701" t="n"/>
      <c r="CH265" s="701" t="n"/>
      <c r="CI265" s="701" t="n"/>
      <c r="CJ265" s="701" t="n"/>
      <c r="CK265" s="701" t="n"/>
      <c r="CL265" s="701" t="n"/>
      <c r="CM265" s="701" t="n"/>
      <c r="CN265" s="701" t="n"/>
      <c r="CO265" s="701" t="n"/>
      <c r="CP265" s="701" t="n"/>
      <c r="CQ265" s="701" t="n"/>
      <c r="CR265" s="701" t="n"/>
      <c r="CS265" s="701" t="n"/>
      <c r="CT265" s="701" t="n"/>
      <c r="CU265" s="701" t="n"/>
      <c r="CV265" s="701" t="n"/>
      <c r="CW265" s="30" t="n"/>
    </row>
    <row r="266" hidden="1" ht="12.75" customHeight="1" s="1676">
      <c r="A266" s="31" t="n"/>
      <c r="B266" s="257" t="inlineStr">
        <is>
          <t>Text_229</t>
        </is>
      </c>
      <c r="C266" s="699" t="n"/>
      <c r="D266" s="1751" t="n"/>
      <c r="E266" s="1751" t="n"/>
      <c r="F266" s="1751" t="n"/>
      <c r="G266" s="1751" t="n"/>
      <c r="H266" s="1704" t="n"/>
      <c r="I266" s="1751" t="n"/>
      <c r="J266" s="1751" t="n"/>
      <c r="K266" s="1751" t="n"/>
      <c r="L266" s="1751" t="n"/>
      <c r="M266" s="1704" t="n"/>
      <c r="N266" s="1751" t="n"/>
      <c r="O266" s="1751" t="n"/>
      <c r="P266" s="1751" t="n"/>
      <c r="Q266" s="1751" t="n"/>
      <c r="R266" s="1704" t="n"/>
      <c r="S266" s="1751" t="n"/>
      <c r="T266" s="1751" t="n"/>
      <c r="U266" s="1751" t="n"/>
      <c r="V266" s="1751" t="n"/>
      <c r="W266" s="1704" t="n"/>
      <c r="X266" s="1704" t="n"/>
      <c r="Y266" s="1704" t="n"/>
      <c r="Z266" s="1704" t="n"/>
      <c r="AA266" s="1704" t="n"/>
      <c r="AB266" s="1704" t="n"/>
      <c r="AC266" s="1704" t="n"/>
      <c r="AD266" s="1704" t="n"/>
      <c r="AE266" s="1704" t="n"/>
      <c r="AF266" s="1704" t="n"/>
      <c r="AG266" s="1704" t="n"/>
      <c r="AH266" s="1704" t="n"/>
      <c r="AI266" s="1704" t="n"/>
      <c r="AJ266" s="1704" t="n"/>
      <c r="AK266" s="1704" t="n"/>
      <c r="AL266" s="1704" t="n"/>
      <c r="AM266" s="1704" t="n"/>
      <c r="AN266" s="1704" t="n"/>
      <c r="AO266" s="1704" t="n"/>
      <c r="AP266" s="1704" t="n"/>
      <c r="AQ266" s="1704" t="n"/>
      <c r="AR266" s="1997" t="n"/>
      <c r="AS266" s="1997" t="n"/>
      <c r="AT266" s="1997" t="n"/>
      <c r="AU266" s="2030" t="n"/>
      <c r="AV266" s="2030">
        <f t="array" ref="AV266">AV265/AV262</f>
        <v/>
      </c>
      <c r="AW266" s="2031" t="n"/>
      <c r="AX266" s="613" t="n"/>
      <c r="AY266" s="613" t="n"/>
      <c r="AZ266" s="613" t="n"/>
      <c r="BA266" s="2032">
        <f t="array" ref="BA266">AU266*1.1</f>
        <v/>
      </c>
      <c r="BB266" s="615" t="n"/>
      <c r="BC266" s="613" t="n"/>
      <c r="BD266" s="613" t="n"/>
      <c r="BE266" s="616" t="n"/>
      <c r="BF266" s="2030">
        <f t="array" ref="BF266">BA266*1.1</f>
        <v/>
      </c>
      <c r="BG266" s="617" t="n"/>
      <c r="BH266" s="617" t="n"/>
      <c r="BI266" s="617" t="n"/>
      <c r="BJ266" s="617" t="n"/>
      <c r="BK266" s="2030">
        <f t="array" ref="BK266">BF266*1.1</f>
        <v/>
      </c>
      <c r="BL266" s="617" t="n"/>
      <c r="BM266" s="617" t="n"/>
      <c r="BN266" s="617" t="n"/>
      <c r="BO266" s="617" t="n"/>
      <c r="BP266" s="2030">
        <f t="array" ref="BP266">BK266*1.1</f>
        <v/>
      </c>
      <c r="BQ266" s="617" t="n"/>
      <c r="BR266" s="617" t="n"/>
      <c r="BS266" s="617" t="n"/>
      <c r="BT266" s="617" t="n"/>
      <c r="BU266" s="2030">
        <f t="array" ref="BU266">BP266*1.1</f>
        <v/>
      </c>
      <c r="BV266" s="617" t="n"/>
      <c r="BW266" s="617" t="n"/>
      <c r="BX266" s="617" t="n"/>
      <c r="BY266" s="617" t="n"/>
      <c r="BZ266" s="2030">
        <f t="array" ref="BZ266">BU266*1.1</f>
        <v/>
      </c>
      <c r="CA266" s="699" t="n"/>
      <c r="CB266" s="319" t="n"/>
      <c r="CC266" s="701" t="n"/>
      <c r="CD266" s="701" t="n"/>
      <c r="CE266" s="701" t="n"/>
      <c r="CF266" s="701" t="n"/>
      <c r="CG266" s="701" t="n"/>
      <c r="CH266" s="701" t="n"/>
      <c r="CI266" s="701" t="n"/>
      <c r="CJ266" s="701" t="n"/>
      <c r="CK266" s="701" t="n"/>
      <c r="CL266" s="701" t="n"/>
      <c r="CM266" s="701" t="n"/>
      <c r="CN266" s="701" t="n"/>
      <c r="CO266" s="701" t="n"/>
      <c r="CP266" s="701" t="n"/>
      <c r="CQ266" s="701" t="n"/>
      <c r="CR266" s="701" t="n"/>
      <c r="CS266" s="701" t="n"/>
      <c r="CT266" s="701" t="n"/>
      <c r="CU266" s="701" t="n"/>
      <c r="CV266" s="701" t="n"/>
      <c r="CW266" s="30" t="n"/>
    </row>
    <row r="267" hidden="1" ht="12.75" customHeight="1" s="1676">
      <c r="A267" s="31" t="n"/>
      <c r="B267" s="2033" t="n"/>
      <c r="C267" s="699" t="n"/>
      <c r="D267" s="699" t="n"/>
      <c r="E267" s="699" t="n"/>
      <c r="F267" s="699" t="n"/>
      <c r="G267" s="699" t="n"/>
      <c r="H267" s="1704" t="n"/>
      <c r="I267" s="699" t="n"/>
      <c r="J267" s="699" t="n"/>
      <c r="K267" s="699" t="n"/>
      <c r="L267" s="699" t="n"/>
      <c r="M267" s="1704" t="n"/>
      <c r="N267" s="699" t="n"/>
      <c r="O267" s="699" t="n"/>
      <c r="P267" s="699" t="n"/>
      <c r="Q267" s="699" t="n"/>
      <c r="R267" s="1704" t="n"/>
      <c r="S267" s="699" t="n"/>
      <c r="T267" s="699" t="n"/>
      <c r="U267" s="699" t="n"/>
      <c r="V267" s="699" t="n"/>
      <c r="W267" s="1704" t="n"/>
      <c r="X267" s="1704" t="n"/>
      <c r="Y267" s="1704" t="n"/>
      <c r="Z267" s="1704" t="n"/>
      <c r="AA267" s="1704" t="n"/>
      <c r="AB267" s="1704" t="n"/>
      <c r="AC267" s="1704" t="n"/>
      <c r="AD267" s="1704" t="n"/>
      <c r="AE267" s="1704" t="n"/>
      <c r="AF267" s="1704" t="n"/>
      <c r="AG267" s="1704" t="n"/>
      <c r="AH267" s="1704" t="n"/>
      <c r="AI267" s="1704" t="n"/>
      <c r="AJ267" s="1704" t="n"/>
      <c r="AK267" s="1704" t="n"/>
      <c r="AL267" s="1704" t="n"/>
      <c r="AM267" s="1704" t="n"/>
      <c r="AN267" s="1704" t="n"/>
      <c r="AO267" s="1704" t="n"/>
      <c r="AP267" s="1704" t="n"/>
      <c r="AQ267" s="1704" t="n"/>
      <c r="AR267" s="1704" t="n"/>
      <c r="AS267" s="1704" t="n"/>
      <c r="AT267" s="1704" t="n"/>
      <c r="AU267" s="1704" t="n"/>
      <c r="AV267" s="1704" t="n"/>
      <c r="AW267" s="72" t="n"/>
      <c r="AX267" s="69" t="n"/>
      <c r="AY267" s="69" t="n"/>
      <c r="AZ267" s="69" t="n"/>
      <c r="BA267" s="1707" t="n"/>
      <c r="BB267" s="72" t="n"/>
      <c r="BC267" s="69" t="n"/>
      <c r="BD267" s="69" t="n"/>
      <c r="BE267" s="73" t="n"/>
      <c r="BF267" s="1704" t="n"/>
      <c r="BG267" s="699" t="n"/>
      <c r="BH267" s="699" t="n"/>
      <c r="BI267" s="699" t="n"/>
      <c r="BJ267" s="699" t="n"/>
      <c r="BK267" s="1704" t="n"/>
      <c r="BL267" s="699" t="n"/>
      <c r="BM267" s="699" t="n"/>
      <c r="BN267" s="699" t="n"/>
      <c r="BO267" s="699" t="n"/>
      <c r="BP267" s="1704" t="n"/>
      <c r="BQ267" s="699" t="n"/>
      <c r="BR267" s="699" t="n"/>
      <c r="BS267" s="699" t="n"/>
      <c r="BT267" s="699" t="n"/>
      <c r="BU267" s="1704" t="n"/>
      <c r="BV267" s="699" t="n"/>
      <c r="BW267" s="699" t="n"/>
      <c r="BX267" s="699" t="n"/>
      <c r="BY267" s="699" t="n"/>
      <c r="BZ267" s="1704" t="n"/>
      <c r="CA267" s="699" t="n"/>
      <c r="CB267" s="319" t="n"/>
      <c r="CC267" s="701" t="n"/>
      <c r="CD267" s="701" t="n"/>
      <c r="CE267" s="701" t="n"/>
      <c r="CF267" s="701" t="n"/>
      <c r="CG267" s="701" t="n"/>
      <c r="CH267" s="701" t="n"/>
      <c r="CI267" s="701" t="n"/>
      <c r="CJ267" s="701" t="n"/>
      <c r="CK267" s="701" t="n"/>
      <c r="CL267" s="701" t="n"/>
      <c r="CM267" s="701" t="n"/>
      <c r="CN267" s="701" t="n"/>
      <c r="CO267" s="701" t="n"/>
      <c r="CP267" s="701" t="n"/>
      <c r="CQ267" s="701" t="n"/>
      <c r="CR267" s="701" t="n"/>
      <c r="CS267" s="701" t="n"/>
      <c r="CT267" s="701" t="n"/>
      <c r="CU267" s="701" t="n"/>
      <c r="CV267" s="701" t="n"/>
      <c r="CW267" s="30" t="n"/>
    </row>
    <row r="268" ht="12.75" customHeight="1" s="1676">
      <c r="A268" s="31" t="n"/>
      <c r="B268" s="619" t="inlineStr">
        <is>
          <t>Text_230</t>
        </is>
      </c>
      <c r="C268" s="699" t="n"/>
      <c r="D268" s="1797" t="n"/>
      <c r="E268" s="1797" t="n"/>
      <c r="F268" s="1797" t="n"/>
      <c r="G268" s="1797" t="n"/>
      <c r="H268" s="1954" t="n"/>
      <c r="I268" s="1797" t="n">
        <v>171.678616272859</v>
      </c>
      <c r="J268" s="1797" t="n">
        <v>177.781988753097</v>
      </c>
      <c r="K268" s="1797" t="n">
        <v>138.049687790453</v>
      </c>
      <c r="L268" s="1797" t="n">
        <v>130.531161947662</v>
      </c>
      <c r="M268" s="1971" t="n">
        <v>126.168604379665</v>
      </c>
      <c r="N268" s="1797" t="n">
        <v>164.995347357083</v>
      </c>
      <c r="O268" s="1797" t="n">
        <v>163.032018452776</v>
      </c>
      <c r="P268" s="1797" t="n">
        <v>159.676909098207</v>
      </c>
      <c r="Q268" s="1797" t="n">
        <v>139.869875061719</v>
      </c>
      <c r="R268" s="1971" t="n">
        <v>149.640111746938</v>
      </c>
      <c r="S268" s="1797" t="n">
        <v>162.752538296763</v>
      </c>
      <c r="T268" s="1797" t="n">
        <v>156.384492851272</v>
      </c>
      <c r="U268" s="1797" t="n">
        <v>186.701936701396</v>
      </c>
      <c r="V268" s="1797" t="n">
        <v>133.091650825274</v>
      </c>
      <c r="W268" s="1971" t="n">
        <v>168.55002817885</v>
      </c>
      <c r="X268" s="1971" t="n">
        <v>149.280305401566</v>
      </c>
      <c r="Y268" s="1971" t="n">
        <v>147.778286004681</v>
      </c>
      <c r="Z268" s="1971" t="n">
        <v>169.957477225156</v>
      </c>
      <c r="AA268" s="1971" t="n">
        <v>172.903941740209</v>
      </c>
      <c r="AB268" s="1971" t="n">
        <v>186.717788634083</v>
      </c>
      <c r="AC268" s="1971" t="n">
        <v>135.1079154214</v>
      </c>
      <c r="AD268" s="1971" t="n">
        <v>132.382162700654</v>
      </c>
      <c r="AE268" s="1971" t="n">
        <v>170.071754469132</v>
      </c>
      <c r="AF268" s="1971" t="n">
        <v>159.969312459678</v>
      </c>
      <c r="AG268" s="1971" t="n">
        <v>142.626260363965</v>
      </c>
      <c r="AH268" s="1971" t="n">
        <v>129.157727614391</v>
      </c>
      <c r="AI268" s="1971" t="n">
        <v>128.704302055996</v>
      </c>
      <c r="AJ268" s="1971" t="n">
        <v>178.051780285686</v>
      </c>
      <c r="AK268" s="1971" t="n">
        <v>134.11685461182</v>
      </c>
      <c r="AL268" s="1971" t="n">
        <v>143.195430139241</v>
      </c>
      <c r="AM268" s="1971" t="n">
        <v>135.674627900495</v>
      </c>
      <c r="AN268" s="1971" t="n">
        <v>142.478218501354</v>
      </c>
      <c r="AO268" s="1971" t="n">
        <v>124.285457147645</v>
      </c>
      <c r="AP268" s="1971" t="n">
        <v>149.349009259453</v>
      </c>
      <c r="AQ268" s="1971" t="n">
        <v>124.458904459152</v>
      </c>
      <c r="AR268" s="1971" t="n">
        <v>158.868705259175</v>
      </c>
      <c r="AS268" s="1971" t="n">
        <v>126.248513384745</v>
      </c>
      <c r="AT268" s="1971" t="n">
        <v>140.07149704278</v>
      </c>
      <c r="AU268" s="1971" t="n">
        <v>157.68202598072</v>
      </c>
      <c r="AV268" s="1971" t="n">
        <v>147.883435436088</v>
      </c>
      <c r="AW268" s="2034" t="n">
        <v>138.210335031616</v>
      </c>
      <c r="AX268" s="2035" t="n">
        <v>126.015149025402</v>
      </c>
      <c r="AY268" s="2035" t="n">
        <v>125.939176069942</v>
      </c>
      <c r="AZ268" s="2035" t="n">
        <v>143.577821987944</v>
      </c>
      <c r="BA268" s="1970" t="n">
        <v>162.096716737792</v>
      </c>
      <c r="BB268" s="2034" t="n">
        <v>142.817255156503</v>
      </c>
      <c r="BC268" s="2035" t="n">
        <v>136.408635875077</v>
      </c>
      <c r="BD268" s="2036">
        <f t="array" ref="BD268">BC268*1.001+((BD334*99%)/BD339)</f>
        <v/>
      </c>
      <c r="BE268" s="2036">
        <f t="array" ref="BE268">BD268*1.001+((BE334*99%)/BE339)</f>
        <v/>
      </c>
      <c r="BF268" s="2037">
        <f t="array" ref="BF268">AVERAGE(BB268:BE268)</f>
        <v/>
      </c>
      <c r="BG268" s="699" t="n"/>
      <c r="BH268" s="699" t="n"/>
      <c r="BI268" s="699" t="n"/>
      <c r="BJ268" s="699" t="n"/>
      <c r="BK268" s="2038">
        <f t="array" ref="BK268">BF268*1.01+((BK334*99%)/BK339)</f>
        <v/>
      </c>
      <c r="BL268" s="699" t="n"/>
      <c r="BM268" s="699" t="n"/>
      <c r="BN268" s="699" t="n"/>
      <c r="BO268" s="699" t="n"/>
      <c r="BP268" s="2038">
        <f t="array" ref="BP268">BK268*1.01+((BP334*99%)/BP339)</f>
        <v/>
      </c>
      <c r="BQ268" s="699" t="n"/>
      <c r="BR268" s="699" t="n"/>
      <c r="BS268" s="699" t="n"/>
      <c r="BT268" s="699" t="n"/>
      <c r="BU268" s="2038">
        <f t="array" ref="BU268">BP268*1.01+((BU334*99%)/BU339)</f>
        <v/>
      </c>
      <c r="BV268" s="699" t="n"/>
      <c r="BW268" s="699" t="n"/>
      <c r="BX268" s="699" t="n"/>
      <c r="BY268" s="699" t="n"/>
      <c r="BZ268" s="2038">
        <f t="array" ref="BZ268">BU268*1.01+((BZ334*99%)/BZ339)</f>
        <v/>
      </c>
      <c r="CA268" s="559" t="n"/>
      <c r="CB268" s="319" t="n"/>
      <c r="CC268" s="701" t="n"/>
      <c r="CD268" s="701" t="n"/>
      <c r="CE268" s="701" t="n"/>
      <c r="CF268" s="701" t="n"/>
      <c r="CG268" s="701" t="n"/>
      <c r="CH268" s="701" t="n"/>
      <c r="CI268" s="701" t="n"/>
      <c r="CJ268" s="701" t="n"/>
      <c r="CK268" s="701" t="n"/>
      <c r="CL268" s="701" t="n"/>
      <c r="CM268" s="701" t="n"/>
      <c r="CN268" s="701" t="n"/>
      <c r="CO268" s="701" t="n"/>
      <c r="CP268" s="701" t="n"/>
      <c r="CQ268" s="701" t="n"/>
      <c r="CR268" s="701" t="n"/>
      <c r="CS268" s="701" t="n"/>
      <c r="CT268" s="701" t="n"/>
      <c r="CU268" s="701" t="n"/>
      <c r="CV268" s="701" t="n"/>
      <c r="CW268" s="30" t="n"/>
    </row>
    <row r="269" ht="12.75" customHeight="1" s="1676">
      <c r="A269" s="31" t="n"/>
      <c r="B269" s="522" t="inlineStr">
        <is>
          <t>Text_231</t>
        </is>
      </c>
      <c r="C269" s="699" t="n"/>
      <c r="D269" s="1797" t="n"/>
      <c r="E269" s="1797" t="n"/>
      <c r="F269" s="1797" t="n"/>
      <c r="G269" s="1797" t="n"/>
      <c r="H269" s="1797" t="n"/>
      <c r="I269" s="1797" t="n">
        <v>172.559636083855</v>
      </c>
      <c r="J269" s="1797" t="n">
        <v>153.824885877524</v>
      </c>
      <c r="K269" s="1797" t="n">
        <v>128.906402604279</v>
      </c>
      <c r="L269" s="1797" t="n">
        <v>160.520721083667</v>
      </c>
      <c r="M269" s="1797" t="n">
        <v>185.451090926756</v>
      </c>
      <c r="N269" s="1797" t="n">
        <v>136.627297324777</v>
      </c>
      <c r="O269" s="1797" t="n">
        <v>169.064655384166</v>
      </c>
      <c r="P269" s="1797" t="n">
        <v>138.875394260485</v>
      </c>
      <c r="Q269" s="1797" t="n">
        <v>160.194320814607</v>
      </c>
      <c r="R269" s="1797" t="n">
        <v>132.074681586726</v>
      </c>
      <c r="S269" s="1797" t="n">
        <v>154.712500321844</v>
      </c>
      <c r="T269" s="1797" t="n">
        <v>172.631738872688</v>
      </c>
      <c r="U269" s="1797" t="n">
        <v>147.616236472757</v>
      </c>
      <c r="V269" s="1797" t="n">
        <v>167.166714583014</v>
      </c>
      <c r="W269" s="1797" t="n">
        <v>175.976929571666</v>
      </c>
      <c r="X269" s="1797" t="n">
        <v>182.753078239125</v>
      </c>
      <c r="Y269" s="1797" t="n">
        <v>136.445457804428</v>
      </c>
      <c r="Z269" s="1797" t="n">
        <v>150.851709711495</v>
      </c>
      <c r="AA269" s="1797" t="n">
        <v>139.422316780275</v>
      </c>
      <c r="AB269" s="1797" t="n">
        <v>187.866917272102</v>
      </c>
      <c r="AC269" s="1797" t="n">
        <v>187.481436797874</v>
      </c>
      <c r="AD269" s="1797" t="n">
        <v>161.155200002041</v>
      </c>
      <c r="AE269" s="1797" t="n">
        <v>178.675222777492</v>
      </c>
      <c r="AF269" s="1797" t="n">
        <v>157.492311905712</v>
      </c>
      <c r="AG269" s="1797" t="n">
        <v>165.838425490067</v>
      </c>
      <c r="AH269" s="1797" t="n">
        <v>130.730721763637</v>
      </c>
      <c r="AI269" s="1797" t="n">
        <v>171.443946644993</v>
      </c>
      <c r="AJ269" s="1797" t="n">
        <v>132.053558562944</v>
      </c>
      <c r="AK269" s="1797" t="n">
        <v>174.4056768793</v>
      </c>
      <c r="AL269" s="1797" t="n">
        <v>172.887466291423</v>
      </c>
      <c r="AM269" s="1797" t="n">
        <v>166.2194096323</v>
      </c>
      <c r="AN269" s="1797" t="n">
        <v>124.068138770287</v>
      </c>
      <c r="AO269" s="1797" t="n">
        <v>139.28030544878</v>
      </c>
      <c r="AP269" s="1797" t="n">
        <v>134.987422834958</v>
      </c>
      <c r="AQ269" s="1797" t="n">
        <v>143.034650892967</v>
      </c>
      <c r="AR269" s="1797" t="n">
        <v>119.048245162757</v>
      </c>
      <c r="AS269" s="1797" t="n">
        <v>166.779261721771</v>
      </c>
      <c r="AT269" s="1797" t="n">
        <v>141.628764665427</v>
      </c>
      <c r="AU269" s="1797" t="n">
        <v>126.945857383728</v>
      </c>
      <c r="AV269" s="1797" t="n">
        <v>136.347020239433</v>
      </c>
      <c r="AW269" s="1975" t="n">
        <v>134.20850284535</v>
      </c>
      <c r="AX269" s="1854" t="n">
        <v>141.736552119087</v>
      </c>
      <c r="AY269" s="1854" t="n">
        <v>136.708057731654</v>
      </c>
      <c r="AZ269" s="1854" t="n">
        <v>158.046539375514</v>
      </c>
      <c r="BA269" s="1795" t="n">
        <v>136.021586338598</v>
      </c>
      <c r="BB269" s="1975" t="n">
        <v>161.406578225217</v>
      </c>
      <c r="BC269" s="1854" t="n">
        <v>152.751975556388</v>
      </c>
      <c r="BD269" s="1850">
        <f t="array" ref="BD269">BB269/BB268*BD268</f>
        <v/>
      </c>
      <c r="BE269" s="1850">
        <f t="array" ref="BE269">BC269/BC268*BE268</f>
        <v/>
      </c>
      <c r="BF269" s="2039">
        <f t="array" ref="BF269">AVERAGE(BB269:BE269)</f>
        <v/>
      </c>
      <c r="BG269" s="699" t="n"/>
      <c r="BH269" s="699" t="n"/>
      <c r="BI269" s="699" t="n"/>
      <c r="BJ269" s="699" t="n"/>
      <c r="BK269" s="1714">
        <f t="array" ref="BK269">BF269/BF268*BK268</f>
        <v/>
      </c>
      <c r="BL269" s="699" t="n"/>
      <c r="BM269" s="699" t="n"/>
      <c r="BN269" s="699" t="n"/>
      <c r="BO269" s="699" t="n"/>
      <c r="BP269" s="1714">
        <f t="array" ref="BP269">BK269/BK268*BP268</f>
        <v/>
      </c>
      <c r="BQ269" s="699" t="n"/>
      <c r="BR269" s="699" t="n"/>
      <c r="BS269" s="699" t="n"/>
      <c r="BT269" s="699" t="n"/>
      <c r="BU269" s="1714">
        <f t="array" ref="BU269">BP269/BP268*BU268</f>
        <v/>
      </c>
      <c r="BV269" s="699" t="n"/>
      <c r="BW269" s="699" t="n"/>
      <c r="BX269" s="699" t="n"/>
      <c r="BY269" s="699" t="n"/>
      <c r="BZ269" s="1714">
        <f t="array" ref="BZ269">BU269/BU268*BZ268</f>
        <v/>
      </c>
      <c r="CA269" s="103" t="inlineStr">
        <is>
          <t>Text_232</t>
        </is>
      </c>
      <c r="CB269" s="319" t="n"/>
      <c r="CC269" s="701" t="n"/>
      <c r="CD269" s="701" t="n"/>
      <c r="CE269" s="701" t="n"/>
      <c r="CF269" s="701" t="n"/>
      <c r="CG269" s="701" t="n"/>
      <c r="CH269" s="701" t="n"/>
      <c r="CI269" s="701" t="n"/>
      <c r="CJ269" s="701" t="n"/>
      <c r="CK269" s="701" t="n"/>
      <c r="CL269" s="701" t="n"/>
      <c r="CM269" s="701" t="n"/>
      <c r="CN269" s="701" t="n"/>
      <c r="CO269" s="701" t="n"/>
      <c r="CP269" s="701" t="n"/>
      <c r="CQ269" s="701" t="n"/>
      <c r="CR269" s="701" t="n"/>
      <c r="CS269" s="701" t="n"/>
      <c r="CT269" s="701" t="n"/>
      <c r="CU269" s="701" t="n"/>
      <c r="CV269" s="701" t="n"/>
      <c r="CW269" s="30" t="n"/>
    </row>
    <row r="270" ht="12.75" customHeight="1" s="1676">
      <c r="A270" s="31" t="n"/>
      <c r="B270" s="103" t="inlineStr">
        <is>
          <t>Text_24</t>
        </is>
      </c>
      <c r="C270" s="699" t="n"/>
      <c r="D270" s="1751" t="n">
        <v>0</v>
      </c>
      <c r="E270" s="1751" t="n">
        <v>0</v>
      </c>
      <c r="F270" s="1751" t="n">
        <v>0</v>
      </c>
      <c r="G270" s="1751" t="n">
        <v>0</v>
      </c>
      <c r="H270" s="1751" t="n"/>
      <c r="I270" s="1751" t="n">
        <v>0</v>
      </c>
      <c r="J270" s="1751" t="n">
        <v>0</v>
      </c>
      <c r="K270" s="1751" t="n">
        <v>0</v>
      </c>
      <c r="L270" s="1751" t="n">
        <v>0</v>
      </c>
      <c r="M270" s="1751">
        <f t="array" ref="M270">M269/H269-1</f>
        <v/>
      </c>
      <c r="N270" s="1751" t="n"/>
      <c r="O270" s="1751" t="n"/>
      <c r="P270" s="1751" t="n"/>
      <c r="Q270" s="1751" t="n"/>
      <c r="R270" s="1751">
        <f t="array" ref="R270">R269/M269-1</f>
        <v/>
      </c>
      <c r="S270" s="1751" t="n"/>
      <c r="T270" s="1751" t="n"/>
      <c r="U270" s="1751" t="n"/>
      <c r="V270" s="1751" t="n"/>
      <c r="W270" s="1751">
        <f t="array" ref="W270">W269/R269-1</f>
        <v/>
      </c>
      <c r="X270" s="1751" t="n"/>
      <c r="Y270" s="1751" t="n"/>
      <c r="Z270" s="1751" t="n"/>
      <c r="AA270" s="1751" t="n"/>
      <c r="AB270" s="1751">
        <f t="array" ref="AB270">AB269/W269-1</f>
        <v/>
      </c>
      <c r="AC270" s="1751" t="n"/>
      <c r="AD270" s="1751" t="n"/>
      <c r="AE270" s="1751" t="n"/>
      <c r="AF270" s="1751" t="n"/>
      <c r="AG270" s="1751">
        <f t="array" ref="AG270">AG269/AB269-1</f>
        <v/>
      </c>
      <c r="AH270" s="1751" t="n"/>
      <c r="AI270" s="1751" t="n"/>
      <c r="AJ270" s="1751" t="n"/>
      <c r="AK270" s="1751" t="n"/>
      <c r="AL270" s="1751">
        <f t="array" ref="AL270">AL269/AG269-1</f>
        <v/>
      </c>
      <c r="AM270" s="1751">
        <f t="array" ref="AM270">AM269/AH269-1</f>
        <v/>
      </c>
      <c r="AN270" s="1751">
        <f t="array" ref="AN270">AN269/AI269-1</f>
        <v/>
      </c>
      <c r="AO270" s="1751">
        <f t="array" ref="AO270">AO269/AJ269-1</f>
        <v/>
      </c>
      <c r="AP270" s="1751">
        <f t="array" ref="AP270">AP269/AK269-1</f>
        <v/>
      </c>
      <c r="AQ270" s="1751">
        <f t="array" ref="AQ270">AQ269/AL269-1</f>
        <v/>
      </c>
      <c r="AR270" s="1751">
        <f t="array" ref="AR270">AR269/AM269-1</f>
        <v/>
      </c>
      <c r="AS270" s="1751">
        <f t="array" ref="AS270">AS269/AN269-1</f>
        <v/>
      </c>
      <c r="AT270" s="1751">
        <f t="array" ref="AT270">AT269/AO269-1</f>
        <v/>
      </c>
      <c r="AU270" s="1751">
        <f t="array" ref="AU270">AU269/AP269-1</f>
        <v/>
      </c>
      <c r="AV270" s="1751">
        <f t="array" ref="AV270">AV269/AQ269-1</f>
        <v/>
      </c>
      <c r="AW270" s="1749">
        <f t="array" ref="AW270">AW269/AR269-1</f>
        <v/>
      </c>
      <c r="AX270" s="1750">
        <f t="array" ref="AX270">AX269/AS269-1</f>
        <v/>
      </c>
      <c r="AY270" s="1750">
        <f t="array" ref="AY270">AY269/AT269-1</f>
        <v/>
      </c>
      <c r="AZ270" s="1750">
        <f t="array" ref="AZ270">AZ269/AU269-1</f>
        <v/>
      </c>
      <c r="BA270" s="1784">
        <f t="array" ref="BA270">BA269/AV269-1</f>
        <v/>
      </c>
      <c r="BB270" s="1749">
        <f t="array" ref="BB270">BB269/AW269-1</f>
        <v/>
      </c>
      <c r="BC270" s="1750">
        <f t="array" ref="BC270">BC269/AX269-1</f>
        <v/>
      </c>
      <c r="BD270" s="1750">
        <f t="array" ref="BD270">BD269/AY269-1</f>
        <v/>
      </c>
      <c r="BE270" s="1784">
        <f t="array" ref="BE270">BE269/AZ269-1</f>
        <v/>
      </c>
      <c r="BF270" s="1751">
        <f t="array" ref="BF270">BF269/BA269-1</f>
        <v/>
      </c>
      <c r="BG270" s="1751" t="n"/>
      <c r="BH270" s="1751" t="n"/>
      <c r="BI270" s="1751" t="n"/>
      <c r="BJ270" s="1751" t="n"/>
      <c r="BK270" s="1751">
        <f t="array" ref="BK270">BK269/BF269-1</f>
        <v/>
      </c>
      <c r="BL270" s="1751" t="n"/>
      <c r="BM270" s="1751" t="n"/>
      <c r="BN270" s="1751" t="n"/>
      <c r="BO270" s="1751" t="n"/>
      <c r="BP270" s="1751">
        <f t="array" ref="BP270">BP269/BK269-1</f>
        <v/>
      </c>
      <c r="BQ270" s="1751" t="n"/>
      <c r="BR270" s="1751" t="n"/>
      <c r="BS270" s="1751" t="n"/>
      <c r="BT270" s="1751" t="n"/>
      <c r="BU270" s="1751">
        <f t="array" ref="BU270">BU269/BP269-1</f>
        <v/>
      </c>
      <c r="BV270" s="1751" t="n"/>
      <c r="BW270" s="1751" t="n"/>
      <c r="BX270" s="1751" t="n"/>
      <c r="BY270" s="1751" t="n"/>
      <c r="BZ270" s="1751">
        <f t="array" ref="BZ270">BZ269/BU269-1</f>
        <v/>
      </c>
      <c r="CA270" s="559" t="n"/>
      <c r="CB270" s="319" t="n"/>
      <c r="CC270" s="701" t="n"/>
      <c r="CD270" s="701" t="n"/>
      <c r="CE270" s="701" t="n"/>
      <c r="CF270" s="701" t="n"/>
      <c r="CG270" s="701" t="n"/>
      <c r="CH270" s="701" t="n"/>
      <c r="CI270" s="701" t="n"/>
      <c r="CJ270" s="701" t="n"/>
      <c r="CK270" s="701" t="n"/>
      <c r="CL270" s="701" t="n"/>
      <c r="CM270" s="701" t="n"/>
      <c r="CN270" s="701" t="n"/>
      <c r="CO270" s="701" t="n"/>
      <c r="CP270" s="701" t="n"/>
      <c r="CQ270" s="701" t="n"/>
      <c r="CR270" s="701" t="n"/>
      <c r="CS270" s="701" t="n"/>
      <c r="CT270" s="701" t="n"/>
      <c r="CU270" s="701" t="n"/>
      <c r="CV270" s="701" t="n"/>
      <c r="CW270" s="30" t="n"/>
    </row>
    <row r="271" ht="12.75" customHeight="1" s="1676">
      <c r="A271" s="31" t="n"/>
      <c r="B271" s="454" t="inlineStr">
        <is>
          <t>Text_233</t>
        </is>
      </c>
      <c r="C271" s="699" t="n"/>
      <c r="D271" s="699" t="n"/>
      <c r="E271" s="699" t="n"/>
      <c r="F271" s="699" t="n"/>
      <c r="G271" s="699" t="n"/>
      <c r="H271" s="699" t="n"/>
      <c r="I271" s="699" t="n"/>
      <c r="J271" s="699" t="n"/>
      <c r="K271" s="699" t="n"/>
      <c r="L271" s="699" t="n"/>
      <c r="M271" s="699" t="n"/>
      <c r="N271" s="699" t="n"/>
      <c r="O271" s="699" t="n"/>
      <c r="P271" s="699" t="n"/>
      <c r="Q271" s="699" t="n"/>
      <c r="R271" s="699" t="n"/>
      <c r="S271" s="699" t="n"/>
      <c r="T271" s="699" t="n"/>
      <c r="U271" s="699" t="n"/>
      <c r="V271" s="699" t="n"/>
      <c r="W271" s="699" t="n"/>
      <c r="X271" s="699" t="n"/>
      <c r="Y271" s="699" t="n"/>
      <c r="Z271" s="699" t="n"/>
      <c r="AA271" s="699" t="n"/>
      <c r="AB271" s="699" t="n"/>
      <c r="AC271" s="699" t="n"/>
      <c r="AD271" s="699" t="n"/>
      <c r="AE271" s="626" t="n"/>
      <c r="AF271" s="626" t="n"/>
      <c r="AG271" s="699" t="n"/>
      <c r="AH271" s="699" t="n"/>
      <c r="AI271" s="699" t="n"/>
      <c r="AJ271" s="626" t="n"/>
      <c r="AK271" s="626" t="n"/>
      <c r="AL271" s="699" t="n"/>
      <c r="AM271" s="699" t="n"/>
      <c r="AN271" s="699" t="n"/>
      <c r="AO271" s="2040" t="n"/>
      <c r="AP271" s="626" t="n"/>
      <c r="AQ271" s="2040" t="n"/>
      <c r="AR271" s="1920" t="n"/>
      <c r="AS271" s="699" t="n"/>
      <c r="AT271" s="699" t="n"/>
      <c r="AU271" s="1920" t="n"/>
      <c r="AV271" s="699" t="n"/>
      <c r="AW271" s="456" t="n"/>
      <c r="AX271" s="628" t="n"/>
      <c r="AY271" s="2041" t="n">
        <v>4.26684231373837</v>
      </c>
      <c r="AZ271" s="2041" t="n">
        <v>7.11548518115543</v>
      </c>
      <c r="BA271" s="381" t="n"/>
      <c r="BB271" s="2042" t="n">
        <v>5.92582591407933</v>
      </c>
      <c r="BC271" s="2041" t="n">
        <v>8.734094096322689</v>
      </c>
      <c r="BD271" s="2041" t="n">
        <v>7.66560700499459</v>
      </c>
      <c r="BE271" s="2041" t="n">
        <v>9.178435702763419</v>
      </c>
      <c r="BF271" s="2043" t="n">
        <v>0</v>
      </c>
      <c r="BG271" s="699" t="n"/>
      <c r="BH271" s="2044" t="n"/>
      <c r="BI271" s="699" t="n"/>
      <c r="BJ271" s="699" t="n"/>
      <c r="BK271" s="2045" t="n">
        <v>0</v>
      </c>
      <c r="BL271" s="699" t="n"/>
      <c r="BM271" s="699" t="n"/>
      <c r="BN271" s="699" t="n"/>
      <c r="BO271" s="699" t="n"/>
      <c r="BP271" s="2045" t="n">
        <v>0</v>
      </c>
      <c r="BQ271" s="699" t="n"/>
      <c r="BR271" s="699" t="n"/>
      <c r="BS271" s="699" t="n"/>
      <c r="BT271" s="699" t="n"/>
      <c r="BU271" s="2045" t="n"/>
      <c r="BV271" s="699" t="n"/>
      <c r="BW271" s="699" t="n"/>
      <c r="BX271" s="699" t="n"/>
      <c r="BY271" s="699" t="n"/>
      <c r="BZ271" s="2045" t="n"/>
      <c r="CA271" s="167" t="inlineStr">
        <is>
          <t>Text_172</t>
        </is>
      </c>
      <c r="CB271" s="319" t="n"/>
      <c r="CC271" s="701" t="n"/>
      <c r="CD271" s="701" t="n"/>
      <c r="CE271" s="701" t="n"/>
      <c r="CF271" s="701" t="n"/>
      <c r="CG271" s="701" t="n"/>
      <c r="CH271" s="701" t="n"/>
      <c r="CI271" s="701" t="n"/>
      <c r="CJ271" s="701" t="n"/>
      <c r="CK271" s="701" t="n"/>
      <c r="CL271" s="701" t="n"/>
      <c r="CM271" s="701" t="n"/>
      <c r="CN271" s="701" t="n"/>
      <c r="CO271" s="701" t="n"/>
      <c r="CP271" s="701" t="n"/>
      <c r="CQ271" s="701" t="n"/>
      <c r="CR271" s="701" t="n"/>
      <c r="CS271" s="701" t="n"/>
      <c r="CT271" s="701" t="n"/>
      <c r="CU271" s="701" t="n"/>
      <c r="CV271" s="701" t="n"/>
      <c r="CW271" s="30" t="n"/>
    </row>
    <row r="272" ht="12.75" customHeight="1" s="1676">
      <c r="A272" s="31" t="n"/>
      <c r="B272" s="551" t="inlineStr">
        <is>
          <t>Text_15</t>
        </is>
      </c>
      <c r="C272" s="805" t="n"/>
      <c r="D272" s="805" t="n"/>
      <c r="E272" s="805" t="n"/>
      <c r="F272" s="805" t="n"/>
      <c r="G272" s="805" t="n"/>
      <c r="H272" s="805" t="n"/>
      <c r="I272" s="805" t="n"/>
      <c r="J272" s="805" t="n"/>
      <c r="K272" s="805" t="n"/>
      <c r="L272" s="805" t="n"/>
      <c r="M272" s="805" t="n"/>
      <c r="N272" s="805" t="n"/>
      <c r="O272" s="805" t="n"/>
      <c r="P272" s="805" t="n"/>
      <c r="Q272" s="805" t="n"/>
      <c r="R272" s="805" t="n"/>
      <c r="S272" s="805" t="n"/>
      <c r="T272" s="805" t="n"/>
      <c r="U272" s="805" t="n"/>
      <c r="V272" s="805" t="n"/>
      <c r="W272" s="805" t="n"/>
      <c r="X272" s="805" t="n"/>
      <c r="Y272" s="805" t="n"/>
      <c r="Z272" s="805" t="n"/>
      <c r="AA272" s="805" t="n"/>
      <c r="AB272" s="805" t="n"/>
      <c r="AC272" s="805" t="n"/>
      <c r="AD272" s="805" t="n"/>
      <c r="AE272" s="805" t="n"/>
      <c r="AF272" s="562" t="n"/>
      <c r="AG272" s="805" t="n"/>
      <c r="AH272" s="805" t="n"/>
      <c r="AI272" s="805" t="n"/>
      <c r="AJ272" s="805" t="n"/>
      <c r="AK272" s="562" t="n"/>
      <c r="AL272" s="805" t="n"/>
      <c r="AM272" s="805" t="n"/>
      <c r="AN272" s="1956" t="n"/>
      <c r="AO272" s="1956" t="n"/>
      <c r="AP272" s="562" t="n"/>
      <c r="AQ272" s="1956" t="n"/>
      <c r="AR272" s="805" t="n"/>
      <c r="AS272" s="1956" t="n"/>
      <c r="AT272" s="1956" t="n"/>
      <c r="AU272" s="805" t="n"/>
      <c r="AV272" s="805" t="n"/>
      <c r="AW272" s="501" t="n"/>
      <c r="AX272" s="1957" t="n"/>
      <c r="AY272" s="179" t="n"/>
      <c r="AZ272" s="179" t="n"/>
      <c r="BA272" s="1959" t="n"/>
      <c r="BB272" s="1956">
        <f t="array" ref="BB272">BB271/AW274-1</f>
        <v/>
      </c>
      <c r="BC272" s="1956">
        <f t="array" ref="BC272">BC271/AX274-1</f>
        <v/>
      </c>
      <c r="BD272" s="1956">
        <f t="array" ref="BD272">BD271/AY274-1</f>
        <v/>
      </c>
      <c r="BE272" s="1956">
        <f t="array" ref="BE272">BE271/AZ274-1</f>
        <v/>
      </c>
      <c r="BF272" s="1956">
        <f t="array" ref="BF272">BF271/BA274-1</f>
        <v/>
      </c>
      <c r="BG272" s="805" t="n"/>
      <c r="BH272" s="2046" t="n"/>
      <c r="BI272" s="805" t="n"/>
      <c r="BJ272" s="805" t="n"/>
      <c r="BK272" s="1956">
        <f t="array" ref="BK272">BK271/BF271-1</f>
        <v/>
      </c>
      <c r="BL272" s="805" t="n"/>
      <c r="BM272" s="805" t="n"/>
      <c r="BN272" s="805" t="n"/>
      <c r="BO272" s="805" t="n"/>
      <c r="BP272" s="1956">
        <f t="array" ref="BP272">BP271/BK271-1</f>
        <v/>
      </c>
      <c r="BQ272" s="805" t="n"/>
      <c r="BR272" s="805" t="n"/>
      <c r="BS272" s="805" t="n"/>
      <c r="BT272" s="805" t="n"/>
      <c r="BU272" s="1956" t="n"/>
      <c r="BV272" s="805" t="n"/>
      <c r="BW272" s="805" t="n"/>
      <c r="BX272" s="805" t="n"/>
      <c r="BY272" s="805" t="n"/>
      <c r="BZ272" s="1956" t="n"/>
      <c r="CA272" s="2044" t="n"/>
      <c r="CB272" s="319" t="n"/>
      <c r="CC272" s="701" t="n"/>
      <c r="CD272" s="701" t="n"/>
      <c r="CE272" s="701" t="n"/>
      <c r="CF272" s="701" t="n"/>
      <c r="CG272" s="701" t="n"/>
      <c r="CH272" s="701" t="n"/>
      <c r="CI272" s="701" t="n"/>
      <c r="CJ272" s="701" t="n"/>
      <c r="CK272" s="701" t="n"/>
      <c r="CL272" s="701" t="n"/>
      <c r="CM272" s="701" t="n"/>
      <c r="CN272" s="701" t="n"/>
      <c r="CO272" s="701" t="n"/>
      <c r="CP272" s="701" t="n"/>
      <c r="CQ272" s="701" t="n"/>
      <c r="CR272" s="701" t="n"/>
      <c r="CS272" s="701" t="n"/>
      <c r="CT272" s="701" t="n"/>
      <c r="CU272" s="701" t="n"/>
      <c r="CV272" s="701" t="n"/>
      <c r="CW272" s="30" t="n"/>
    </row>
    <row r="273" hidden="1" ht="12.75" customHeight="1" s="1676">
      <c r="A273" s="31" t="n"/>
      <c r="B273" s="65" t="inlineStr">
        <is>
          <t>Text_234</t>
        </is>
      </c>
      <c r="C273" s="66" t="n"/>
      <c r="D273" s="1709">
        <f t="array" ref="D273">D256/D268</f>
        <v/>
      </c>
      <c r="E273" s="1709">
        <f t="array" ref="E273">E256/E268</f>
        <v/>
      </c>
      <c r="F273" s="1709">
        <f t="array" ref="F273">F256/F268</f>
        <v/>
      </c>
      <c r="G273" s="1709">
        <f t="array" ref="G273">G256/G268</f>
        <v/>
      </c>
      <c r="H273" s="1709" t="n"/>
      <c r="I273" s="1709">
        <f t="array" ref="I273">I256/I268</f>
        <v/>
      </c>
      <c r="J273" s="1709">
        <f t="array" ref="J273">J256/J268</f>
        <v/>
      </c>
      <c r="K273" s="1709">
        <f t="array" ref="K273">K256/K268</f>
        <v/>
      </c>
      <c r="L273" s="1709">
        <f t="array" ref="L273">L256/L268</f>
        <v/>
      </c>
      <c r="M273" s="1709">
        <f t="array" ref="M273">M256/M268</f>
        <v/>
      </c>
      <c r="N273" s="1709" t="n"/>
      <c r="O273" s="1709" t="n"/>
      <c r="P273" s="1709" t="n"/>
      <c r="Q273" s="1709" t="n"/>
      <c r="R273" s="1709">
        <f t="array" ref="R273">R256/R268</f>
        <v/>
      </c>
      <c r="S273" s="1709" t="n"/>
      <c r="T273" s="1709" t="n"/>
      <c r="U273" s="1709" t="n"/>
      <c r="V273" s="1709" t="n"/>
      <c r="W273" s="1709">
        <f t="array" ref="W273">W256/W268</f>
        <v/>
      </c>
      <c r="X273" s="1709" t="n"/>
      <c r="Y273" s="1709" t="n"/>
      <c r="Z273" s="1709" t="n"/>
      <c r="AA273" s="1709" t="n"/>
      <c r="AB273" s="1709">
        <f t="array" ref="AB273">AB256/AB268</f>
        <v/>
      </c>
      <c r="AC273" s="1709">
        <f t="array" ref="AC273">AC256/AC268</f>
        <v/>
      </c>
      <c r="AD273" s="1709">
        <f t="array" ref="AD273">AD256/AD268</f>
        <v/>
      </c>
      <c r="AE273" s="1709">
        <f t="array" ref="AE273">AE256/AE268</f>
        <v/>
      </c>
      <c r="AF273" s="1709">
        <f t="array" ref="AF273">AF256/AF268</f>
        <v/>
      </c>
      <c r="AG273" s="1709">
        <f t="array" ref="AG273">AG256/AG268</f>
        <v/>
      </c>
      <c r="AH273" s="1709">
        <f t="array" ref="AH273">AH256/AH268</f>
        <v/>
      </c>
      <c r="AI273" s="1709">
        <f t="array" ref="AI273">AI256/AI268</f>
        <v/>
      </c>
      <c r="AJ273" s="1709">
        <f t="array" ref="AJ273">AJ256/AJ268</f>
        <v/>
      </c>
      <c r="AK273" s="1709">
        <f t="array" ref="AK273">AK256/AK268</f>
        <v/>
      </c>
      <c r="AL273" s="1709">
        <f t="array" ref="AL273">AL256/AL268</f>
        <v/>
      </c>
      <c r="AM273" s="1709">
        <f t="array" ref="AM273">AM256/AM268</f>
        <v/>
      </c>
      <c r="AN273" s="1709">
        <f t="array" ref="AN273">AN256/AN268</f>
        <v/>
      </c>
      <c r="AO273" s="1709">
        <f t="array" ref="AO273">AO256/AO268</f>
        <v/>
      </c>
      <c r="AP273" s="1709">
        <f t="array" ref="AP273">AP256/AP268</f>
        <v/>
      </c>
      <c r="AQ273" s="1709">
        <f t="array" ref="AQ273">AQ256/AQ268</f>
        <v/>
      </c>
      <c r="AR273" s="1709">
        <f t="array" ref="AR273">AR256/AR268</f>
        <v/>
      </c>
      <c r="AS273" s="1709">
        <f t="array" ref="AS273">AS256/AS268</f>
        <v/>
      </c>
      <c r="AT273" s="1709">
        <f t="array" ref="AT273">AT256/AT268</f>
        <v/>
      </c>
      <c r="AU273" s="1709">
        <f t="array" ref="AU273">AU256/AU268</f>
        <v/>
      </c>
      <c r="AV273" s="1709">
        <f t="array" ref="AV273">AV256/AV268</f>
        <v/>
      </c>
      <c r="AW273" s="2047">
        <f t="array" ref="AW273">AW256/AW268</f>
        <v/>
      </c>
      <c r="AX273" s="69" t="n"/>
      <c r="AY273" s="69" t="n"/>
      <c r="AZ273" s="69" t="n"/>
      <c r="BA273" s="2048">
        <f t="array" ref="BA273">AV256/AV268</f>
        <v/>
      </c>
      <c r="BB273" s="72" t="n"/>
      <c r="BC273" s="69" t="n"/>
      <c r="BD273" s="69" t="n"/>
      <c r="BE273" s="69" t="n"/>
      <c r="BF273" s="2048">
        <f t="array" ref="BF273">BA256/BA268</f>
        <v/>
      </c>
      <c r="BG273" s="66" t="n"/>
      <c r="BH273" s="66" t="n"/>
      <c r="BI273" s="66" t="n"/>
      <c r="BJ273" s="66" t="n"/>
      <c r="BK273" s="1709">
        <f t="array" ref="BK273">BF256/BF268</f>
        <v/>
      </c>
      <c r="BL273" s="66" t="n"/>
      <c r="BM273" s="66" t="n"/>
      <c r="BN273" s="66" t="n"/>
      <c r="BO273" s="66" t="n"/>
      <c r="BP273" s="1709">
        <f t="array" ref="BP273">BP256/BP268</f>
        <v/>
      </c>
      <c r="BQ273" s="66" t="n"/>
      <c r="BR273" s="66" t="n"/>
      <c r="BS273" s="66" t="n"/>
      <c r="BT273" s="66" t="n"/>
      <c r="BU273" s="1709">
        <f t="array" ref="BU273">BU256/BU268</f>
        <v/>
      </c>
      <c r="BV273" s="66" t="n"/>
      <c r="BW273" s="66" t="n"/>
      <c r="BX273" s="66" t="n"/>
      <c r="BY273" s="66" t="n"/>
      <c r="BZ273" s="1709">
        <f t="array" ref="BZ273">BZ256/BZ268</f>
        <v/>
      </c>
      <c r="CA273" s="2044" t="n"/>
      <c r="CB273" s="319" t="n"/>
      <c r="CC273" s="701" t="n"/>
      <c r="CD273" s="701" t="n"/>
      <c r="CE273" s="701" t="n"/>
      <c r="CF273" s="701" t="n"/>
      <c r="CG273" s="701" t="n"/>
      <c r="CH273" s="701" t="n"/>
      <c r="CI273" s="701" t="n"/>
      <c r="CJ273" s="701" t="n"/>
      <c r="CK273" s="701" t="n"/>
      <c r="CL273" s="701" t="n"/>
      <c r="CM273" s="701" t="n"/>
      <c r="CN273" s="701" t="n"/>
      <c r="CO273" s="701" t="n"/>
      <c r="CP273" s="701" t="n"/>
      <c r="CQ273" s="701" t="n"/>
      <c r="CR273" s="701" t="n"/>
      <c r="CS273" s="701" t="n"/>
      <c r="CT273" s="701" t="n"/>
      <c r="CU273" s="701" t="n"/>
      <c r="CV273" s="701" t="n"/>
      <c r="CW273" s="30" t="n"/>
    </row>
    <row r="274" ht="12.75" customHeight="1" s="1676">
      <c r="A274" s="31" t="n"/>
      <c r="B274" s="250" t="inlineStr">
        <is>
          <t>Text_235</t>
        </is>
      </c>
      <c r="C274" s="66" t="n"/>
      <c r="D274" s="2049">
        <f t="array" ref="D274">D256/D269</f>
        <v/>
      </c>
      <c r="E274" s="2049">
        <f t="array" ref="E274">E256/E269</f>
        <v/>
      </c>
      <c r="F274" s="2049">
        <f t="array" ref="F274">F256/F269</f>
        <v/>
      </c>
      <c r="G274" s="2049">
        <f t="array" ref="G274">G256/G269</f>
        <v/>
      </c>
      <c r="H274" s="2050" t="n"/>
      <c r="I274" s="2049">
        <f t="array" ref="I274">I256/I269</f>
        <v/>
      </c>
      <c r="J274" s="2049">
        <f t="array" ref="J274">J256/J269</f>
        <v/>
      </c>
      <c r="K274" s="2049">
        <f t="array" ref="K274">K256/K269</f>
        <v/>
      </c>
      <c r="L274" s="2049">
        <f t="array" ref="L274">L256/L269</f>
        <v/>
      </c>
      <c r="M274" s="2049">
        <f t="array" ref="M274">M256/M269</f>
        <v/>
      </c>
      <c r="N274" s="2049" t="n"/>
      <c r="O274" s="2049" t="n"/>
      <c r="P274" s="2049" t="n"/>
      <c r="Q274" s="2049" t="n"/>
      <c r="R274" s="2049">
        <f t="array" ref="R274">R256/R269</f>
        <v/>
      </c>
      <c r="S274" s="2049" t="n"/>
      <c r="T274" s="2049" t="n"/>
      <c r="U274" s="2049" t="n"/>
      <c r="V274" s="2049" t="n"/>
      <c r="W274" s="2049">
        <f t="array" ref="W274">W256/W269</f>
        <v/>
      </c>
      <c r="X274" s="2050" t="n"/>
      <c r="Y274" s="2050" t="n"/>
      <c r="Z274" s="2050" t="n"/>
      <c r="AA274" s="2050" t="n"/>
      <c r="AB274" s="2049">
        <f t="array" ref="AB274">AB256/AB269</f>
        <v/>
      </c>
      <c r="AC274" s="2050">
        <f t="array" ref="AC274">AC256/AC269</f>
        <v/>
      </c>
      <c r="AD274" s="2050">
        <f t="array" ref="AD274">AD256/AD269</f>
        <v/>
      </c>
      <c r="AE274" s="2050">
        <f t="array" ref="AE274">AE256/AE269</f>
        <v/>
      </c>
      <c r="AF274" s="2050">
        <f t="array" ref="AF274">AF256/AF269</f>
        <v/>
      </c>
      <c r="AG274" s="2049">
        <f t="array" ref="AG274">AG256/AG269</f>
        <v/>
      </c>
      <c r="AH274" s="2050">
        <f t="array" ref="AH274">AH256/AH269</f>
        <v/>
      </c>
      <c r="AI274" s="2050">
        <f t="array" ref="AI274">AI256/AI269</f>
        <v/>
      </c>
      <c r="AJ274" s="2050">
        <f t="array" ref="AJ274">AJ256/AJ269</f>
        <v/>
      </c>
      <c r="AK274" s="2050">
        <f t="array" ref="AK274">AK256/AK269</f>
        <v/>
      </c>
      <c r="AL274" s="2049">
        <f t="array" ref="AL274">AL256/AL269</f>
        <v/>
      </c>
      <c r="AM274" s="2050">
        <f t="array" ref="AM274">AM256/AM269</f>
        <v/>
      </c>
      <c r="AN274" s="2050">
        <f t="array" ref="AN274">AN256/AN269</f>
        <v/>
      </c>
      <c r="AO274" s="2050">
        <f t="array" ref="AO274">AO256/AO269</f>
        <v/>
      </c>
      <c r="AP274" s="2050">
        <f t="array" ref="AP274">AP256/AP269</f>
        <v/>
      </c>
      <c r="AQ274" s="2049">
        <f t="array" ref="AQ274">AQ256/AQ269</f>
        <v/>
      </c>
      <c r="AR274" s="2050">
        <f t="array" ref="AR274">AR256/AR269</f>
        <v/>
      </c>
      <c r="AS274" s="2050">
        <f t="array" ref="AS274">AS256/AS269</f>
        <v/>
      </c>
      <c r="AT274" s="2050">
        <f t="array" ref="AT274">AT256/AT269</f>
        <v/>
      </c>
      <c r="AU274" s="2050">
        <f t="array" ref="AU274">AU256/AU269</f>
        <v/>
      </c>
      <c r="AV274" s="2050">
        <f t="array" ref="AV274">AV256/AV269</f>
        <v/>
      </c>
      <c r="AW274" s="2051">
        <f t="array" ref="AW274">AW256/AW269</f>
        <v/>
      </c>
      <c r="AX274" s="2052">
        <f t="array" ref="AX274">AX256/AX269</f>
        <v/>
      </c>
      <c r="AY274" s="2052">
        <f t="array" ref="AY274">AY256/AY269</f>
        <v/>
      </c>
      <c r="AZ274" s="2052">
        <f t="array" ref="AZ274">AZ256/AZ269</f>
        <v/>
      </c>
      <c r="BA274" s="2053">
        <f t="array" ref="BA274">BA256/BA269</f>
        <v/>
      </c>
      <c r="BB274" s="2051">
        <f t="array" ref="BB274">BB256/BB269</f>
        <v/>
      </c>
      <c r="BC274" s="2052" t="n">
        <v>9.40722594355244</v>
      </c>
      <c r="BD274" s="2054">
        <f t="array" ref="BD274">BD256/BD269</f>
        <v/>
      </c>
      <c r="BE274" s="2054">
        <f t="array" ref="BE274">BE256/BE269</f>
        <v/>
      </c>
      <c r="BF274" s="2053">
        <f t="array" ref="BF274">BF256/BF269</f>
        <v/>
      </c>
      <c r="BG274" s="1697" t="n"/>
      <c r="BH274" s="1697" t="n"/>
      <c r="BI274" s="66" t="n"/>
      <c r="BJ274" s="66" t="n"/>
      <c r="BK274" s="2049">
        <f t="array" ref="BK274">BK256/BK269</f>
        <v/>
      </c>
      <c r="BL274" s="66" t="n"/>
      <c r="BM274" s="66" t="n"/>
      <c r="BN274" s="66" t="n"/>
      <c r="BO274" s="66" t="n"/>
      <c r="BP274" s="2049">
        <f t="array" ref="BP274">BP256/BP269</f>
        <v/>
      </c>
      <c r="BQ274" s="66" t="n"/>
      <c r="BR274" s="66" t="n"/>
      <c r="BS274" s="66" t="n"/>
      <c r="BT274" s="66" t="n"/>
      <c r="BU274" s="2049">
        <f t="array" ref="BU274">BU256/BU269</f>
        <v/>
      </c>
      <c r="BV274" s="66" t="n"/>
      <c r="BW274" s="66" t="n"/>
      <c r="BX274" s="66" t="n"/>
      <c r="BY274" s="66" t="n"/>
      <c r="BZ274" s="2049">
        <f t="array" ref="BZ274">BZ256/BZ269</f>
        <v/>
      </c>
      <c r="CA274" s="1965">
        <f t="array" ref="CA274">(BU274/AV274)^(1/5)-1</f>
        <v/>
      </c>
      <c r="CB274" s="572" t="inlineStr">
        <is>
          <t>$38.00</t>
        </is>
      </c>
      <c r="CC274" s="643">
        <f t="array" ref="CC274">(0.5*BK274)+(0.5*BP274)</f>
        <v/>
      </c>
      <c r="CD274" s="701" t="n"/>
      <c r="CE274" s="701" t="n"/>
      <c r="CF274" s="701" t="n"/>
      <c r="CG274" s="701" t="n"/>
      <c r="CH274" s="701" t="n"/>
      <c r="CI274" s="701" t="n"/>
      <c r="CJ274" s="701" t="n"/>
      <c r="CK274" s="701" t="n"/>
      <c r="CL274" s="701" t="n"/>
      <c r="CM274" s="701" t="n"/>
      <c r="CN274" s="701" t="n"/>
      <c r="CO274" s="701" t="n"/>
      <c r="CP274" s="701" t="n"/>
      <c r="CQ274" s="701" t="n"/>
      <c r="CR274" s="701" t="n"/>
      <c r="CS274" s="701" t="n"/>
      <c r="CT274" s="701" t="n"/>
      <c r="CU274" s="701" t="n"/>
      <c r="CV274" s="701" t="n"/>
      <c r="CW274" s="30" t="n"/>
    </row>
    <row r="275" ht="12.75" customHeight="1" s="1676">
      <c r="A275" s="31" t="n"/>
      <c r="B275" s="144" t="inlineStr">
        <is>
          <t>Text_15</t>
        </is>
      </c>
      <c r="C275" s="33" t="n"/>
      <c r="D275" s="2055" t="n">
        <v>0</v>
      </c>
      <c r="E275" s="2055" t="n">
        <v>0</v>
      </c>
      <c r="F275" s="2055" t="n">
        <v>0</v>
      </c>
      <c r="G275" s="2055" t="n">
        <v>0</v>
      </c>
      <c r="H275" s="2055" t="n"/>
      <c r="I275" s="2055" t="n">
        <v>0</v>
      </c>
      <c r="J275" s="2055" t="n">
        <v>0</v>
      </c>
      <c r="K275" s="2055" t="n">
        <v>0</v>
      </c>
      <c r="L275" s="2055" t="n">
        <v>0</v>
      </c>
      <c r="M275" s="2055">
        <f t="array" ref="M275">M274/H274-1</f>
        <v/>
      </c>
      <c r="N275" s="2055" t="n"/>
      <c r="O275" s="2055" t="n"/>
      <c r="P275" s="2055" t="n"/>
      <c r="Q275" s="2055" t="n"/>
      <c r="R275" s="2055">
        <f t="array" ref="R275">R274/M274-1</f>
        <v/>
      </c>
      <c r="S275" s="2055" t="n"/>
      <c r="T275" s="2055" t="n"/>
      <c r="U275" s="2055" t="n"/>
      <c r="V275" s="2055" t="n"/>
      <c r="W275" s="2055">
        <f t="array" ref="W275">W274/R274-1</f>
        <v/>
      </c>
      <c r="X275" s="2055" t="n"/>
      <c r="Y275" s="2055" t="n"/>
      <c r="Z275" s="2055" t="n"/>
      <c r="AA275" s="2055" t="n"/>
      <c r="AB275" s="2055">
        <f t="array" ref="AB275">AB274/W274-1</f>
        <v/>
      </c>
      <c r="AC275" s="2055" t="n"/>
      <c r="AD275" s="2055" t="n"/>
      <c r="AE275" s="2055" t="n"/>
      <c r="AF275" s="2055" t="n"/>
      <c r="AG275" s="2055">
        <f t="array" ref="AG275">AG274/AB274-1</f>
        <v/>
      </c>
      <c r="AH275" s="2055" t="n"/>
      <c r="AI275" s="2055" t="n"/>
      <c r="AJ275" s="2055" t="n"/>
      <c r="AK275" s="2055" t="n"/>
      <c r="AL275" s="2055">
        <f t="array" ref="AL275">AL274/AG274-1</f>
        <v/>
      </c>
      <c r="AM275" s="2055">
        <f t="array" ref="AM275">AM274/AH274-1</f>
        <v/>
      </c>
      <c r="AN275" s="2055">
        <f t="array" ref="AN275">AN274/AI274-1</f>
        <v/>
      </c>
      <c r="AO275" s="2055">
        <f t="array" ref="AO275">AO274/AJ274-1</f>
        <v/>
      </c>
      <c r="AP275" s="2055">
        <f t="array" ref="AP275">AP274/AK274-1</f>
        <v/>
      </c>
      <c r="AQ275" s="2056">
        <f t="array" ref="AQ275">AQ274/AL274-1</f>
        <v/>
      </c>
      <c r="AR275" s="2055">
        <f t="array" ref="AR275">AR274/AM274-1</f>
        <v/>
      </c>
      <c r="AS275" s="2055">
        <f t="array" ref="AS275">AS274/AN274-1</f>
        <v/>
      </c>
      <c r="AT275" s="2055">
        <f t="array" ref="AT275">AT274/AO274-1</f>
        <v/>
      </c>
      <c r="AU275" s="2055">
        <f t="array" ref="AU275">AU274/AP274-1</f>
        <v/>
      </c>
      <c r="AV275" s="2055">
        <f t="array" ref="AV275">AV274/AQ274-1</f>
        <v/>
      </c>
      <c r="AW275" s="2057">
        <f t="array" ref="AW275">AW274/AR274-1</f>
        <v/>
      </c>
      <c r="AX275" s="2058">
        <f t="array" ref="AX275">AX274/AS274-1</f>
        <v/>
      </c>
      <c r="AY275" s="2058">
        <f t="array" ref="AY275">AY274/AT274-1</f>
        <v/>
      </c>
      <c r="AZ275" s="2059">
        <f t="array" ref="AZ275">AZ274/AU274-1</f>
        <v/>
      </c>
      <c r="BA275" s="2060">
        <f t="array" ref="BA275">BA274/AV274-1</f>
        <v/>
      </c>
      <c r="BB275" s="2057">
        <f t="array" ref="BB275">BB274/AW274-1</f>
        <v/>
      </c>
      <c r="BC275" s="2058">
        <f t="array" ref="BC275">BC274/AX274-1</f>
        <v/>
      </c>
      <c r="BD275" s="2058">
        <f t="array" ref="BD275">BD274/AY274-1</f>
        <v/>
      </c>
      <c r="BE275" s="2058">
        <f t="array" ref="BE275">BE274/AZ274-1</f>
        <v/>
      </c>
      <c r="BF275" s="2061">
        <f t="array" ref="BF275">BF274/BA274-1</f>
        <v/>
      </c>
      <c r="BG275" s="33" t="n"/>
      <c r="BH275" s="1742" t="n"/>
      <c r="BI275" s="33" t="n"/>
      <c r="BJ275" s="33" t="n"/>
      <c r="BK275" s="2055">
        <f t="array" ref="BK275">BK274/BF274-1</f>
        <v/>
      </c>
      <c r="BL275" s="33" t="n"/>
      <c r="BM275" s="33" t="n"/>
      <c r="BN275" s="33" t="n"/>
      <c r="BO275" s="33" t="n"/>
      <c r="BP275" s="2055">
        <f t="array" ref="BP275">BP274/BK274-1</f>
        <v/>
      </c>
      <c r="BQ275" s="33" t="n"/>
      <c r="BR275" s="33" t="n"/>
      <c r="BS275" s="33" t="n"/>
      <c r="BT275" s="33" t="n"/>
      <c r="BU275" s="2055">
        <f t="array" ref="BU275">BU274/BP274-1</f>
        <v/>
      </c>
      <c r="BV275" s="33" t="n"/>
      <c r="BW275" s="33" t="n"/>
      <c r="BX275" s="33" t="n"/>
      <c r="BY275" s="33" t="n"/>
      <c r="BZ275" s="2055">
        <f t="array" ref="BZ275">BZ274/BU274-1</f>
        <v/>
      </c>
      <c r="CA275" s="1955">
        <f t="array" ref="CA275">(BF271/AB274)^(1/5)-1</f>
        <v/>
      </c>
      <c r="CB275" s="651" t="n"/>
      <c r="CC275" s="701" t="n"/>
      <c r="CD275" s="701" t="n"/>
      <c r="CE275" s="701" t="n"/>
      <c r="CF275" s="701" t="n"/>
      <c r="CG275" s="701" t="n"/>
      <c r="CH275" s="701" t="n"/>
      <c r="CI275" s="701" t="n"/>
      <c r="CJ275" s="701" t="n"/>
      <c r="CK275" s="701" t="n"/>
      <c r="CL275" s="701" t="n"/>
      <c r="CM275" s="701" t="n"/>
      <c r="CN275" s="701" t="n"/>
      <c r="CO275" s="701" t="n"/>
      <c r="CP275" s="701" t="n"/>
      <c r="CQ275" s="701" t="n"/>
      <c r="CR275" s="701" t="n"/>
      <c r="CS275" s="701" t="n"/>
      <c r="CT275" s="701" t="n"/>
      <c r="CU275" s="701" t="n"/>
      <c r="CV275" s="701" t="n"/>
      <c r="CW275" s="30" t="n"/>
    </row>
    <row r="276" ht="12.75" customHeight="1" s="1676">
      <c r="A276" s="31" t="n"/>
      <c r="B276" s="167" t="inlineStr">
        <is>
          <t>Text_236</t>
        </is>
      </c>
      <c r="C276" s="699" t="n"/>
      <c r="D276" s="1751" t="n"/>
      <c r="E276" s="1751" t="n"/>
      <c r="F276" s="1751" t="n"/>
      <c r="G276" s="1751" t="n"/>
      <c r="H276" s="1751" t="n"/>
      <c r="I276" s="1751" t="n"/>
      <c r="J276" s="1751" t="n"/>
      <c r="K276" s="1751" t="n"/>
      <c r="L276" s="1751" t="n"/>
      <c r="M276" s="1751" t="n"/>
      <c r="N276" s="1751" t="n"/>
      <c r="O276" s="1751" t="n"/>
      <c r="P276" s="1751" t="n"/>
      <c r="Q276" s="1751" t="n"/>
      <c r="R276" s="1751" t="n"/>
      <c r="S276" s="1751" t="n"/>
      <c r="T276" s="1751" t="n"/>
      <c r="U276" s="1751" t="n"/>
      <c r="V276" s="1751" t="n"/>
      <c r="W276" s="1751" t="n"/>
      <c r="X276" s="1751" t="n"/>
      <c r="Y276" s="1751" t="n"/>
      <c r="Z276" s="1751" t="n"/>
      <c r="AA276" s="1751" t="n"/>
      <c r="AB276" s="1751" t="n"/>
      <c r="AC276" s="1751" t="n"/>
      <c r="AD276" s="1751" t="n"/>
      <c r="AE276" s="1751" t="n"/>
      <c r="AF276" s="1751" t="n"/>
      <c r="AG276" s="1751" t="n"/>
      <c r="AH276" s="1866" t="n"/>
      <c r="AI276" s="1866" t="n"/>
      <c r="AJ276" s="1866" t="n"/>
      <c r="AK276" s="1866" t="n"/>
      <c r="AL276" s="1751" t="n"/>
      <c r="AM276" s="1866">
        <f t="array" ref="AM276">AM274/AQ274</f>
        <v/>
      </c>
      <c r="AN276" s="1866">
        <f t="array" ref="AN276">AN274/AQ274</f>
        <v/>
      </c>
      <c r="AO276" s="1866">
        <f t="array" ref="AO276">AO274/AQ274</f>
        <v/>
      </c>
      <c r="AP276" s="1866">
        <f t="array" ref="AP276">AP274/AQ274</f>
        <v/>
      </c>
      <c r="AQ276" s="1751" t="n"/>
      <c r="AR276" s="1866">
        <f t="array" ref="AR276">AR274/AV274</f>
        <v/>
      </c>
      <c r="AS276" s="1866">
        <f t="array" ref="AS276">AS274/AV274</f>
        <v/>
      </c>
      <c r="AT276" s="1866">
        <f t="array" ref="AT276">AT274/AV274</f>
        <v/>
      </c>
      <c r="AU276" s="1866">
        <f t="array" ref="AU276">AU274/AV274</f>
        <v/>
      </c>
      <c r="AV276" s="1751" t="n"/>
      <c r="AW276" s="1867">
        <f t="array" ref="AW276">AW274/BA274</f>
        <v/>
      </c>
      <c r="AX276" s="1868">
        <f t="array" ref="AX276">AX274/BA274</f>
        <v/>
      </c>
      <c r="AY276" s="1868">
        <f t="array" ref="AY276">AY274/BA274</f>
        <v/>
      </c>
      <c r="AZ276" s="1868">
        <f t="array" ref="AZ276">AZ274/BA274</f>
        <v/>
      </c>
      <c r="BA276" s="1784" t="n"/>
      <c r="BB276" s="2062">
        <f t="array" ref="BB276">BB274/BF274</f>
        <v/>
      </c>
      <c r="BC276" s="2063">
        <f t="array" ref="BC276">BC274/BF274</f>
        <v/>
      </c>
      <c r="BD276" s="2063">
        <f t="array" ref="BD276">BD274/BF274</f>
        <v/>
      </c>
      <c r="BE276" s="2063">
        <f t="array" ref="BE276">BE274/BF274</f>
        <v/>
      </c>
      <c r="BF276" s="1784" t="n"/>
      <c r="BG276" s="699" t="n"/>
      <c r="BH276" s="699" t="n"/>
      <c r="BI276" s="699" t="n"/>
      <c r="BJ276" s="699" t="n"/>
      <c r="BK276" s="1751" t="n"/>
      <c r="BL276" s="699" t="n"/>
      <c r="BM276" s="699" t="n"/>
      <c r="BN276" s="699" t="n"/>
      <c r="BO276" s="699" t="n"/>
      <c r="BP276" s="605" t="n"/>
      <c r="BQ276" s="699" t="n"/>
      <c r="BR276" s="699" t="n"/>
      <c r="BS276" s="699" t="n"/>
      <c r="BT276" s="699" t="n"/>
      <c r="BU276" s="605" t="n"/>
      <c r="BV276" s="699" t="n"/>
      <c r="BW276" s="699" t="n"/>
      <c r="BX276" s="699" t="n"/>
      <c r="BY276" s="699" t="n"/>
      <c r="BZ276" s="1751" t="n"/>
      <c r="CA276" s="2064" t="n"/>
      <c r="CB276" s="655" t="n"/>
      <c r="CC276" s="701" t="n"/>
      <c r="CD276" s="701" t="n"/>
      <c r="CE276" s="701" t="n"/>
      <c r="CF276" s="701" t="n"/>
      <c r="CG276" s="701" t="n"/>
      <c r="CH276" s="701" t="n"/>
      <c r="CI276" s="701" t="n"/>
      <c r="CJ276" s="701" t="n"/>
      <c r="CK276" s="701" t="n"/>
      <c r="CL276" s="701" t="n"/>
      <c r="CM276" s="701" t="n"/>
      <c r="CN276" s="701" t="n"/>
      <c r="CO276" s="701" t="n"/>
      <c r="CP276" s="701" t="n"/>
      <c r="CQ276" s="701" t="n"/>
      <c r="CR276" s="701" t="n"/>
      <c r="CS276" s="701" t="n"/>
      <c r="CT276" s="701" t="n"/>
      <c r="CU276" s="701" t="n"/>
      <c r="CV276" s="701" t="n"/>
      <c r="CW276" s="30" t="n"/>
    </row>
    <row r="277" ht="13.5" customHeight="1" s="1676">
      <c r="A277" s="31" t="n"/>
      <c r="B277" s="388" t="inlineStr">
        <is>
          <t>Text_145</t>
        </is>
      </c>
      <c r="C277" s="699" t="n"/>
      <c r="D277" s="699" t="n"/>
      <c r="E277" s="699" t="n"/>
      <c r="F277" s="699" t="n"/>
      <c r="G277" s="699" t="n"/>
      <c r="H277" s="699" t="n"/>
      <c r="I277" s="699" t="n"/>
      <c r="J277" s="699" t="n"/>
      <c r="K277" s="699" t="n"/>
      <c r="L277" s="699" t="n"/>
      <c r="M277" s="699" t="n"/>
      <c r="N277" s="699" t="n"/>
      <c r="O277" s="699" t="n"/>
      <c r="P277" s="699" t="n"/>
      <c r="Q277" s="699" t="n"/>
      <c r="R277" s="699" t="n"/>
      <c r="S277" s="699" t="n"/>
      <c r="T277" s="699" t="n"/>
      <c r="U277" s="699" t="n"/>
      <c r="V277" s="699" t="n"/>
      <c r="W277" s="699" t="n"/>
      <c r="X277" s="699" t="n"/>
      <c r="Y277" s="699" t="n"/>
      <c r="Z277" s="699" t="n"/>
      <c r="AA277" s="699" t="n"/>
      <c r="AB277" s="699" t="n"/>
      <c r="AC277" s="699" t="n"/>
      <c r="AD277" s="699" t="n"/>
      <c r="AE277" s="1920" t="n"/>
      <c r="AF277" s="1920" t="n"/>
      <c r="AG277" s="1920" t="n"/>
      <c r="AH277" s="699" t="n"/>
      <c r="AI277" s="699" t="n"/>
      <c r="AJ277" s="1920" t="n"/>
      <c r="AK277" s="1920" t="n"/>
      <c r="AL277" s="1920" t="n"/>
      <c r="AM277" s="1920" t="n"/>
      <c r="AN277" s="1920" t="n"/>
      <c r="AO277" s="1920" t="n"/>
      <c r="AP277" s="1920" t="n"/>
      <c r="AQ277" s="1920" t="n"/>
      <c r="AR277" s="699" t="n"/>
      <c r="AS277" s="1920" t="n"/>
      <c r="AT277" s="1920" t="n"/>
      <c r="AU277" s="1725" t="n"/>
      <c r="AV277" s="1920" t="n"/>
      <c r="AW277" s="456" t="n"/>
      <c r="AX277" s="1918" t="n"/>
      <c r="AY277" s="1918">
        <f t="array" ref="AY277">AY274/AY271-1</f>
        <v/>
      </c>
      <c r="AZ277" s="1918">
        <f t="array" ref="AZ277">AZ274/AZ271-1</f>
        <v/>
      </c>
      <c r="BA277" s="1919" t="n"/>
      <c r="BB277" s="1974">
        <f t="array" ref="BB277">BB274/BB271-1</f>
        <v/>
      </c>
      <c r="BC277" s="1918">
        <f t="array" ref="BC277">BC274/BC271-1</f>
        <v/>
      </c>
      <c r="BD277" s="1918">
        <f t="array" ref="BD277">BD274/BD271-1</f>
        <v/>
      </c>
      <c r="BE277" s="1918">
        <f t="array" ref="BE277">BE274/BE271-1</f>
        <v/>
      </c>
      <c r="BF277" s="1919">
        <f t="array" ref="BF277">BF274/BF271-1</f>
        <v/>
      </c>
      <c r="BG277" s="699" t="n"/>
      <c r="BH277" s="699" t="n"/>
      <c r="BI277" s="699" t="n"/>
      <c r="BJ277" s="699" t="n"/>
      <c r="BK277" s="2065">
        <f t="array" ref="BK277">BK274/BK271-1</f>
        <v/>
      </c>
      <c r="BL277" s="657" t="n"/>
      <c r="BM277" s="657" t="n"/>
      <c r="BN277" s="657" t="n"/>
      <c r="BO277" s="657" t="n"/>
      <c r="BP277" s="2065">
        <f t="array" ref="BP277">BP274/BP271-1</f>
        <v/>
      </c>
      <c r="BQ277" s="699" t="n"/>
      <c r="BR277" s="699" t="n"/>
      <c r="BS277" s="699" t="n"/>
      <c r="BT277" s="699" t="n"/>
      <c r="BU277" s="1920" t="n"/>
      <c r="BV277" s="699" t="n"/>
      <c r="BW277" s="699" t="n"/>
      <c r="BX277" s="699" t="n"/>
      <c r="BY277" s="699" t="n"/>
      <c r="BZ277" s="1920" t="n"/>
      <c r="CA277" s="658" t="n"/>
      <c r="CB277" s="319" t="n"/>
      <c r="CC277" s="701" t="n"/>
      <c r="CD277" s="701" t="n"/>
      <c r="CE277" s="701" t="n"/>
      <c r="CF277" s="701" t="n"/>
      <c r="CG277" s="701" t="n"/>
      <c r="CH277" s="701" t="n"/>
      <c r="CI277" s="701" t="n"/>
      <c r="CJ277" s="701" t="n"/>
      <c r="CK277" s="701" t="n"/>
      <c r="CL277" s="701" t="n"/>
      <c r="CM277" s="701" t="n"/>
      <c r="CN277" s="701" t="n"/>
      <c r="CO277" s="701" t="n"/>
      <c r="CP277" s="701" t="n"/>
      <c r="CQ277" s="701" t="n"/>
      <c r="CR277" s="701" t="n"/>
      <c r="CS277" s="701" t="n"/>
      <c r="CT277" s="701" t="n"/>
      <c r="CU277" s="701" t="n"/>
      <c r="CV277" s="701" t="n"/>
      <c r="CW277" s="30" t="n"/>
    </row>
    <row r="278" ht="12.75" customHeight="1" s="1676">
      <c r="A278" s="31" t="n"/>
      <c r="B278" s="522" t="inlineStr">
        <is>
          <t>Text_237</t>
        </is>
      </c>
      <c r="C278" s="699" t="n"/>
      <c r="D278" s="1797" t="n"/>
      <c r="E278" s="1797" t="n"/>
      <c r="F278" s="1797" t="n"/>
      <c r="G278" s="1797" t="n"/>
      <c r="H278" s="1745" t="n"/>
      <c r="I278" s="2066" t="n">
        <v>0.538014858487349</v>
      </c>
      <c r="J278" s="2066" t="n">
        <v>0.541853788478909</v>
      </c>
      <c r="K278" s="2066" t="n">
        <v>0.511226519747788</v>
      </c>
      <c r="L278" s="2066" t="n">
        <v>0.489006518825948</v>
      </c>
      <c r="M278" s="2066" t="n">
        <v>1.99730726618004</v>
      </c>
      <c r="N278" s="2066" t="n">
        <v>0.497133382364223</v>
      </c>
      <c r="O278" s="2066" t="n">
        <v>0.551963765622123</v>
      </c>
      <c r="P278" s="2066" t="n">
        <v>0.530975426331065</v>
      </c>
      <c r="Q278" s="2066" t="n">
        <v>0.5698973889480951</v>
      </c>
      <c r="R278" s="2066" t="n">
        <v>2.2606720982076</v>
      </c>
      <c r="S278" s="2066" t="n">
        <v>0.615368471005903</v>
      </c>
      <c r="T278" s="2066" t="n">
        <v>0.562237794605407</v>
      </c>
      <c r="U278" s="2066" t="n">
        <v>0.614340171901207</v>
      </c>
      <c r="V278" s="2066" t="n">
        <v>0.78835868079031</v>
      </c>
      <c r="W278" s="2066" t="n">
        <v>2.50695841416949</v>
      </c>
      <c r="X278" s="2066" t="n">
        <v>0.760625293775098</v>
      </c>
      <c r="Y278" s="2066" t="n">
        <v>0.776996436604518</v>
      </c>
      <c r="Z278" s="2066" t="n">
        <v>0.717483862726041</v>
      </c>
      <c r="AA278" s="2066" t="n">
        <v>0.749702190142119</v>
      </c>
      <c r="AB278" s="2066" t="n">
        <v>2.87839563332678</v>
      </c>
      <c r="AC278" s="2066" t="n">
        <v>0.714637399216225</v>
      </c>
      <c r="AD278" s="2066" t="n">
        <v>0.8341759480057001</v>
      </c>
      <c r="AE278" s="2066" t="n">
        <v>0.799445371519473</v>
      </c>
      <c r="AF278" s="2066" t="n">
        <v>0.796297369445183</v>
      </c>
      <c r="AG278" s="2066" t="n">
        <v>2.81841950168437</v>
      </c>
      <c r="AH278" s="2066" t="n">
        <v>0.958059158548535</v>
      </c>
      <c r="AI278" s="2066" t="n">
        <v>0.903225791326578</v>
      </c>
      <c r="AJ278" s="2066" t="n">
        <v>0.953810158861355</v>
      </c>
      <c r="AK278" s="2066" t="n">
        <v>0.894548055215764</v>
      </c>
      <c r="AL278" s="2066" t="n">
        <v>3.32770521687794</v>
      </c>
      <c r="AM278" s="2066" t="n">
        <v>1.05085986079763</v>
      </c>
      <c r="AN278" s="2066" t="n">
        <v>1.04153163640861</v>
      </c>
      <c r="AO278" s="2066" t="n">
        <v>0.996238760066143</v>
      </c>
      <c r="AP278" s="2066" t="n">
        <v>1.06971568405663</v>
      </c>
      <c r="AQ278" s="2066" t="n">
        <v>3.72294414661613</v>
      </c>
      <c r="AR278" s="2066" t="n">
        <v>1.32072857884896</v>
      </c>
      <c r="AS278" s="2066" t="n">
        <v>1.32353591031513</v>
      </c>
      <c r="AT278" s="2066" t="n">
        <v>1.24391773021047</v>
      </c>
      <c r="AU278" s="2066" t="n">
        <v>1.22779613771983</v>
      </c>
      <c r="AV278" s="2066" t="n">
        <v>5.78398409902235</v>
      </c>
      <c r="AW278" s="2067" t="n">
        <v>1.44222808192873</v>
      </c>
      <c r="AX278" s="2068" t="n">
        <v>1.36457833379773</v>
      </c>
      <c r="AY278" s="2068" t="n">
        <v>1.54567415465282</v>
      </c>
      <c r="AZ278" s="2068" t="n">
        <v>1.36450424179263</v>
      </c>
      <c r="BA278" s="2069">
        <f t="array" ref="BA278">AZ278+AY278+AX278+AW278</f>
        <v/>
      </c>
      <c r="BB278" s="2067" t="n">
        <v>1.74420798520794</v>
      </c>
      <c r="BC278" s="2068" t="n">
        <v>1.80963388972637</v>
      </c>
      <c r="BD278" s="2070">
        <f t="array" ref="BD278">BC278</f>
        <v/>
      </c>
      <c r="BE278" s="2070">
        <f t="array" ref="BE278">BD278</f>
        <v/>
      </c>
      <c r="BF278" s="2069">
        <f t="array" ref="BF278">BE278+BD278+BC278+BB278</f>
        <v/>
      </c>
      <c r="BG278" s="1725" t="n"/>
      <c r="BH278" s="1725" t="n"/>
      <c r="BI278" s="1725" t="n"/>
      <c r="BJ278" s="1725" t="n"/>
      <c r="BK278" s="1725">
        <f t="array" ref="BK278">(1+BK279)*BF278</f>
        <v/>
      </c>
      <c r="BL278" s="1725" t="n"/>
      <c r="BM278" s="1725" t="n"/>
      <c r="BN278" s="1725" t="n"/>
      <c r="BO278" s="1725" t="n"/>
      <c r="BP278" s="1725">
        <f t="array" ref="BP278">(1+BP279)*BK278</f>
        <v/>
      </c>
      <c r="BQ278" s="1725" t="n"/>
      <c r="BR278" s="1725" t="n"/>
      <c r="BS278" s="1725" t="n"/>
      <c r="BT278" s="1725" t="n"/>
      <c r="BU278" s="1725">
        <f t="array" ref="BU278">(1+BU279)*BP278</f>
        <v/>
      </c>
      <c r="BV278" s="1725" t="n"/>
      <c r="BW278" s="1725" t="n"/>
      <c r="BX278" s="1725" t="n"/>
      <c r="BY278" s="1725" t="n"/>
      <c r="BZ278" s="1725">
        <f t="array" ref="BZ278">(1+BZ279)*BU278</f>
        <v/>
      </c>
      <c r="CA278" s="559" t="n"/>
      <c r="CB278" s="319" t="n"/>
      <c r="CC278" s="701" t="n"/>
      <c r="CD278" s="701" t="n"/>
      <c r="CE278" s="701" t="n"/>
      <c r="CF278" s="701" t="n"/>
      <c r="CG278" s="701" t="n"/>
      <c r="CH278" s="701" t="n"/>
      <c r="CI278" s="701" t="n"/>
      <c r="CJ278" s="701" t="n"/>
      <c r="CK278" s="701" t="n"/>
      <c r="CL278" s="701" t="n"/>
      <c r="CM278" s="701" t="n"/>
      <c r="CN278" s="701" t="n"/>
      <c r="CO278" s="701" t="n"/>
      <c r="CP278" s="701" t="n"/>
      <c r="CQ278" s="701" t="n"/>
      <c r="CR278" s="701" t="n"/>
      <c r="CS278" s="701" t="n"/>
      <c r="CT278" s="701" t="n"/>
      <c r="CU278" s="701" t="n"/>
      <c r="CV278" s="701" t="n"/>
      <c r="CW278" s="30" t="n"/>
    </row>
    <row r="279" ht="12.75" customHeight="1" s="1676">
      <c r="A279" s="31" t="n"/>
      <c r="B279" s="270" t="inlineStr">
        <is>
          <t>Text_15</t>
        </is>
      </c>
      <c r="C279" s="699" t="n"/>
      <c r="D279" s="1751" t="n">
        <v>0</v>
      </c>
      <c r="E279" s="1751" t="n">
        <v>0</v>
      </c>
      <c r="F279" s="1751" t="n">
        <v>0</v>
      </c>
      <c r="G279" s="1751" t="n">
        <v>0</v>
      </c>
      <c r="H279" s="1751" t="n"/>
      <c r="I279" s="1751" t="n">
        <v>0</v>
      </c>
      <c r="J279" s="1751" t="n">
        <v>0</v>
      </c>
      <c r="K279" s="1751" t="n">
        <v>0</v>
      </c>
      <c r="L279" s="1751" t="n">
        <v>0</v>
      </c>
      <c r="M279" s="1751">
        <f t="array" ref="M279">M278/H278-1</f>
        <v/>
      </c>
      <c r="N279" s="1751">
        <f t="array" ref="N279">N278/I278-1</f>
        <v/>
      </c>
      <c r="O279" s="1751">
        <f t="array" ref="O279">O278/J278-1</f>
        <v/>
      </c>
      <c r="P279" s="1751">
        <f t="array" ref="P279">P278/K278-1</f>
        <v/>
      </c>
      <c r="Q279" s="1751">
        <f t="array" ref="Q279">Q278/L278-1</f>
        <v/>
      </c>
      <c r="R279" s="1751">
        <f t="array" ref="R279">R278/M278-1</f>
        <v/>
      </c>
      <c r="S279" s="1751">
        <f t="array" ref="S279">S278/N278-1</f>
        <v/>
      </c>
      <c r="T279" s="1751">
        <f t="array" ref="T279">T278/O278-1</f>
        <v/>
      </c>
      <c r="U279" s="1751">
        <f t="array" ref="U279">U278/P278-1</f>
        <v/>
      </c>
      <c r="V279" s="1751">
        <f t="array" ref="V279">V278/Q278-1</f>
        <v/>
      </c>
      <c r="W279" s="1751">
        <f t="array" ref="W279">W278/R278-1</f>
        <v/>
      </c>
      <c r="X279" s="1751">
        <f t="array" ref="X279">X278/S278-1</f>
        <v/>
      </c>
      <c r="Y279" s="1751">
        <f t="array" ref="Y279">Y278/T278-1</f>
        <v/>
      </c>
      <c r="Z279" s="1751">
        <f t="array" ref="Z279">Z278/U278-1</f>
        <v/>
      </c>
      <c r="AA279" s="1751">
        <f t="array" ref="AA279">AA278/V278-1</f>
        <v/>
      </c>
      <c r="AB279" s="1751">
        <f t="array" ref="AB279">AB278/W278-1</f>
        <v/>
      </c>
      <c r="AC279" s="1751">
        <f t="array" ref="AC279">AC278/X278-1</f>
        <v/>
      </c>
      <c r="AD279" s="1751">
        <f t="array" ref="AD279">AD278/Y278-1</f>
        <v/>
      </c>
      <c r="AE279" s="1751">
        <f t="array" ref="AE279">AE278/Z278-1</f>
        <v/>
      </c>
      <c r="AF279" s="1751">
        <f t="array" ref="AF279">AF278/AA278-1</f>
        <v/>
      </c>
      <c r="AG279" s="1751">
        <f t="array" ref="AG279">AG278/AB278-1</f>
        <v/>
      </c>
      <c r="AH279" s="1751">
        <f t="array" ref="AH279">AH278/AC278-1</f>
        <v/>
      </c>
      <c r="AI279" s="1751">
        <f t="array" ref="AI279">AI278/AD278-1</f>
        <v/>
      </c>
      <c r="AJ279" s="1751">
        <f t="array" ref="AJ279">AJ278/AE278-1</f>
        <v/>
      </c>
      <c r="AK279" s="1751">
        <f t="array" ref="AK279">AK278/AF278-1</f>
        <v/>
      </c>
      <c r="AL279" s="1751">
        <f t="array" ref="AL279">AL278/AG278-1</f>
        <v/>
      </c>
      <c r="AM279" s="1751">
        <f t="array" ref="AM279">AM278/AH278-1</f>
        <v/>
      </c>
      <c r="AN279" s="1751">
        <f t="array" ref="AN279">AN278/AI278-1</f>
        <v/>
      </c>
      <c r="AO279" s="1751">
        <f t="array" ref="AO279">AO278/AJ278-1</f>
        <v/>
      </c>
      <c r="AP279" s="1751">
        <f t="array" ref="AP279">AP278/AK278-1</f>
        <v/>
      </c>
      <c r="AQ279" s="1876">
        <f t="array" ref="AQ279">AQ278/AL278-1</f>
        <v/>
      </c>
      <c r="AR279" s="1751">
        <f t="array" ref="AR279">AR278/AM278-1</f>
        <v/>
      </c>
      <c r="AS279" s="1751">
        <f t="array" ref="AS279">AS278/AN278-1</f>
        <v/>
      </c>
      <c r="AT279" s="1751">
        <f t="array" ref="AT279">AT278/AO278-1</f>
        <v/>
      </c>
      <c r="AU279" s="1751">
        <f t="array" ref="AU279">AU278/AP278-1</f>
        <v/>
      </c>
      <c r="AV279" s="1751">
        <f t="array" ref="AV279">AV278/AQ278-1</f>
        <v/>
      </c>
      <c r="AW279" s="1749">
        <f t="array" ref="AW279">AW278/AR278-1</f>
        <v/>
      </c>
      <c r="AX279" s="1750">
        <f t="array" ref="AX279">AX278/AS278-1</f>
        <v/>
      </c>
      <c r="AY279" s="1750">
        <f t="array" ref="AY279">AY278/AT278-1</f>
        <v/>
      </c>
      <c r="AZ279" s="1750">
        <f t="array" ref="AZ279">AZ278/AU278-1</f>
        <v/>
      </c>
      <c r="BA279" s="1784">
        <f t="array" ref="BA279">BA278/AV278-1</f>
        <v/>
      </c>
      <c r="BB279" s="1749">
        <f t="array" ref="BB279">BB278/AW278-1</f>
        <v/>
      </c>
      <c r="BC279" s="1750">
        <f t="array" ref="BC279">BC278/AX278-1</f>
        <v/>
      </c>
      <c r="BD279" s="1750">
        <f t="array" ref="BD279">BD278/AY278-1</f>
        <v/>
      </c>
      <c r="BE279" s="1750">
        <f t="array" ref="BE279">BE278/AZ278-1</f>
        <v/>
      </c>
      <c r="BF279" s="1875">
        <f t="array" ref="BF279">BF278/BA278-1</f>
        <v/>
      </c>
      <c r="BG279" s="1859" t="n"/>
      <c r="BH279" s="1859" t="n"/>
      <c r="BI279" s="1859" t="n"/>
      <c r="BJ279" s="1859" t="n"/>
      <c r="BK279" s="1856" t="n">
        <v>0.115826881667455</v>
      </c>
      <c r="BL279" s="1859" t="n"/>
      <c r="BM279" s="1859" t="n"/>
      <c r="BN279" s="1859" t="n"/>
      <c r="BO279" s="1859" t="n"/>
      <c r="BP279" s="1856" t="n">
        <v>0.114275989898995</v>
      </c>
      <c r="BQ279" s="1859" t="n"/>
      <c r="BR279" s="1859" t="n"/>
      <c r="BS279" s="1859" t="n"/>
      <c r="BT279" s="1859" t="n"/>
      <c r="BU279" s="1856" t="n">
        <v>0.142427698788449</v>
      </c>
      <c r="BV279" s="1859" t="n"/>
      <c r="BW279" s="1859" t="n"/>
      <c r="BX279" s="1859" t="n"/>
      <c r="BY279" s="1859" t="n"/>
      <c r="BZ279" s="1856" t="n">
        <v>0.146065502951352</v>
      </c>
      <c r="CA279" s="103" t="inlineStr">
        <is>
          <t>Text_238</t>
        </is>
      </c>
      <c r="CB279" s="319" t="n"/>
      <c r="CC279" s="701" t="n"/>
      <c r="CD279" s="701" t="n"/>
      <c r="CE279" s="701" t="n"/>
      <c r="CF279" s="701" t="n"/>
      <c r="CG279" s="701" t="n"/>
      <c r="CH279" s="701" t="n"/>
      <c r="CI279" s="701" t="n"/>
      <c r="CJ279" s="701" t="n"/>
      <c r="CK279" s="701" t="n"/>
      <c r="CL279" s="701" t="n"/>
      <c r="CM279" s="701" t="n"/>
      <c r="CN279" s="701" t="n"/>
      <c r="CO279" s="701" t="n"/>
      <c r="CP279" s="701" t="n"/>
      <c r="CQ279" s="701" t="n"/>
      <c r="CR279" s="701" t="n"/>
      <c r="CS279" s="701" t="n"/>
      <c r="CT279" s="701" t="n"/>
      <c r="CU279" s="701" t="n"/>
      <c r="CV279" s="701" t="n"/>
      <c r="CW279" s="30" t="n"/>
    </row>
    <row r="280" ht="12.75" customHeight="1" s="1676">
      <c r="A280" s="31" t="n"/>
      <c r="B280" s="277" t="inlineStr">
        <is>
          <t>Text_239</t>
        </is>
      </c>
      <c r="C280" s="805" t="n"/>
      <c r="D280" s="1956" t="n"/>
      <c r="E280" s="1956" t="n"/>
      <c r="F280" s="1956" t="n"/>
      <c r="G280" s="1956" t="n"/>
      <c r="H280" s="1956" t="n"/>
      <c r="I280" s="1956" t="n"/>
      <c r="J280" s="1956" t="n"/>
      <c r="K280" s="1956" t="n"/>
      <c r="L280" s="1956" t="n"/>
      <c r="M280" s="1956">
        <f t="array" ref="M280">M278/M274</f>
        <v/>
      </c>
      <c r="N280" s="1956" t="n"/>
      <c r="O280" s="1956" t="n"/>
      <c r="P280" s="1956" t="n"/>
      <c r="Q280" s="1956" t="n"/>
      <c r="R280" s="1956">
        <f t="array" ref="R280">R278/R274</f>
        <v/>
      </c>
      <c r="S280" s="1956" t="n"/>
      <c r="T280" s="1956" t="n"/>
      <c r="U280" s="1956" t="n"/>
      <c r="V280" s="1956" t="n"/>
      <c r="W280" s="1956">
        <f t="array" ref="W280">W278/W274</f>
        <v/>
      </c>
      <c r="X280" s="1956" t="n"/>
      <c r="Y280" s="1956" t="n"/>
      <c r="Z280" s="1956" t="n"/>
      <c r="AA280" s="1956" t="n"/>
      <c r="AB280" s="1956">
        <f t="array" ref="AB280">AB278/AB274</f>
        <v/>
      </c>
      <c r="AC280" s="1956" t="n"/>
      <c r="AD280" s="1956" t="n"/>
      <c r="AE280" s="1956" t="n"/>
      <c r="AF280" s="1956" t="n"/>
      <c r="AG280" s="1956">
        <f t="array" ref="AG280">AG278/AG274</f>
        <v/>
      </c>
      <c r="AH280" s="1956" t="n"/>
      <c r="AI280" s="1956" t="n"/>
      <c r="AJ280" s="1956" t="n"/>
      <c r="AK280" s="1956" t="n"/>
      <c r="AL280" s="1956">
        <f t="array" ref="AL280">AL278/AL274</f>
        <v/>
      </c>
      <c r="AM280" s="1956">
        <f t="array" ref="AM280">AM278/AM274</f>
        <v/>
      </c>
      <c r="AN280" s="1956">
        <f t="array" ref="AN280">AN278/AN274</f>
        <v/>
      </c>
      <c r="AO280" s="1956">
        <f t="array" ref="AO280">AO278/AO274</f>
        <v/>
      </c>
      <c r="AP280" s="1956">
        <f t="array" ref="AP280">AP278/AP274</f>
        <v/>
      </c>
      <c r="AQ280" s="1956">
        <f t="array" ref="AQ280">AQ278/AQ274</f>
        <v/>
      </c>
      <c r="AR280" s="1956">
        <f t="array" ref="AR280">AR278/AR274</f>
        <v/>
      </c>
      <c r="AS280" s="1956">
        <f t="array" ref="AS280">AS278/AS274</f>
        <v/>
      </c>
      <c r="AT280" s="1956">
        <f t="array" ref="AT280">AT278/AT274</f>
        <v/>
      </c>
      <c r="AU280" s="1956">
        <f t="array" ref="AU280">AU278/AU274</f>
        <v/>
      </c>
      <c r="AV280" s="1956">
        <f t="array" ref="AV280">AV278/AV274</f>
        <v/>
      </c>
      <c r="AW280" s="1958">
        <f t="array" ref="AW280">AW278/AW274</f>
        <v/>
      </c>
      <c r="AX280" s="1957">
        <f t="array" ref="AX280">AX278/AX274</f>
        <v/>
      </c>
      <c r="AY280" s="1957">
        <f t="array" ref="AY280">AY278/AY274</f>
        <v/>
      </c>
      <c r="AZ280" s="1957">
        <f t="array" ref="AZ280">AZ278/AZ274</f>
        <v/>
      </c>
      <c r="BA280" s="1959">
        <f t="array" ref="BA280">BA278/BA274</f>
        <v/>
      </c>
      <c r="BB280" s="1958">
        <f t="array" ref="BB280">BB278/BB274</f>
        <v/>
      </c>
      <c r="BC280" s="1957">
        <f t="array" ref="BC280">BC278/BC274</f>
        <v/>
      </c>
      <c r="BD280" s="1957">
        <f t="array" ref="BD280">BD278/BD274</f>
        <v/>
      </c>
      <c r="BE280" s="1957">
        <f t="array" ref="BE280">BE278/BE274</f>
        <v/>
      </c>
      <c r="BF280" s="1959">
        <f t="array" ref="BF280">BF278/BF274</f>
        <v/>
      </c>
      <c r="BG280" s="1956" t="n"/>
      <c r="BH280" s="1956" t="n"/>
      <c r="BI280" s="1956" t="n"/>
      <c r="BJ280" s="1956" t="n"/>
      <c r="BK280" s="1956">
        <f t="array" ref="BK280">BK278/BK274</f>
        <v/>
      </c>
      <c r="BL280" s="1956" t="n"/>
      <c r="BM280" s="1956" t="n"/>
      <c r="BN280" s="1956" t="n"/>
      <c r="BO280" s="1956" t="n"/>
      <c r="BP280" s="1956">
        <f t="array" ref="BP280">BP278/BP274</f>
        <v/>
      </c>
      <c r="BQ280" s="1956" t="n"/>
      <c r="BR280" s="1956" t="n"/>
      <c r="BS280" s="1956" t="n"/>
      <c r="BT280" s="1956" t="n"/>
      <c r="BU280" s="1956">
        <f t="array" ref="BU280">BU278/BU274</f>
        <v/>
      </c>
      <c r="BV280" s="1956" t="n"/>
      <c r="BW280" s="1956" t="n"/>
      <c r="BX280" s="1956" t="n"/>
      <c r="BY280" s="1956" t="n"/>
      <c r="BZ280" s="1956">
        <f t="array" ref="BZ280">BZ278/BZ274</f>
        <v/>
      </c>
      <c r="CA280" s="524" t="n"/>
      <c r="CB280" s="319" t="n"/>
      <c r="CC280" s="701" t="n"/>
      <c r="CD280" s="701" t="n"/>
      <c r="CE280" s="701" t="n"/>
      <c r="CF280" s="701" t="n"/>
      <c r="CG280" s="701" t="n"/>
      <c r="CH280" s="701" t="n"/>
      <c r="CI280" s="701" t="n"/>
      <c r="CJ280" s="701" t="n"/>
      <c r="CK280" s="701" t="n"/>
      <c r="CL280" s="701" t="n"/>
      <c r="CM280" s="701" t="n"/>
      <c r="CN280" s="701" t="n"/>
      <c r="CO280" s="701" t="n"/>
      <c r="CP280" s="701" t="n"/>
      <c r="CQ280" s="701" t="n"/>
      <c r="CR280" s="701" t="n"/>
      <c r="CS280" s="701" t="n"/>
      <c r="CT280" s="701" t="n"/>
      <c r="CU280" s="701" t="n"/>
      <c r="CV280" s="701" t="n"/>
      <c r="CW280" s="30" t="n"/>
    </row>
    <row r="281" ht="12.75" customHeight="1" s="1676">
      <c r="A281" s="74" t="n"/>
      <c r="B281" s="266" t="n"/>
      <c r="C281" s="266" t="n"/>
      <c r="D281" s="1741" t="n"/>
      <c r="E281" s="1741" t="n"/>
      <c r="F281" s="1741" t="n"/>
      <c r="G281" s="1741" t="n"/>
      <c r="H281" s="1741" t="n"/>
      <c r="I281" s="1741" t="n"/>
      <c r="J281" s="1741" t="n"/>
      <c r="K281" s="1741" t="n"/>
      <c r="L281" s="1741" t="n"/>
      <c r="M281" s="1741" t="n"/>
      <c r="N281" s="1741" t="n"/>
      <c r="O281" s="1741" t="n"/>
      <c r="P281" s="1741" t="n"/>
      <c r="Q281" s="1741" t="n"/>
      <c r="R281" s="1741" t="n"/>
      <c r="S281" s="1741" t="n"/>
      <c r="T281" s="1741" t="n"/>
      <c r="U281" s="1741" t="n"/>
      <c r="V281" s="1741" t="n"/>
      <c r="W281" s="1741" t="n"/>
      <c r="X281" s="1741" t="n"/>
      <c r="Y281" s="1741" t="n"/>
      <c r="Z281" s="1741" t="n"/>
      <c r="AA281" s="1741" t="n"/>
      <c r="AB281" s="1741" t="n"/>
      <c r="AC281" s="1741" t="n"/>
      <c r="AD281" s="1741" t="n"/>
      <c r="AE281" s="1741" t="n"/>
      <c r="AF281" s="1741" t="n"/>
      <c r="AG281" s="1741" t="n"/>
      <c r="AH281" s="1741" t="n"/>
      <c r="AI281" s="1741" t="n"/>
      <c r="AJ281" s="1741" t="n"/>
      <c r="AK281" s="1741" t="n"/>
      <c r="AL281" s="1741" t="n"/>
      <c r="AM281" s="266" t="n"/>
      <c r="AN281" s="1741" t="n"/>
      <c r="AO281" s="664">
        <f t="array" ref="AO281">AO274+AP274+AR274+AS274</f>
        <v/>
      </c>
      <c r="AP281" s="2071" t="n"/>
      <c r="AQ281" s="2071" t="n"/>
      <c r="AR281" s="2071" t="n"/>
      <c r="AS281" s="2071" t="n"/>
      <c r="AT281" s="664">
        <f t="array" ref="AT281">AT274+AU274+AW274+AX274</f>
        <v/>
      </c>
      <c r="AU281" s="2071">
        <f t="array" ref="AU281">AT281/AO281-1</f>
        <v/>
      </c>
      <c r="AV281" s="2071" t="n"/>
      <c r="AW281" s="2071" t="n"/>
      <c r="AX281" s="2071" t="n"/>
      <c r="AY281" s="664">
        <f t="array" ref="AY281">AY274+AZ274+BB274+BC274</f>
        <v/>
      </c>
      <c r="AZ281" s="2071">
        <f t="array" ref="AZ281">AY281/AT281-1</f>
        <v/>
      </c>
      <c r="BA281" s="2071" t="n"/>
      <c r="BB281" s="2071" t="n"/>
      <c r="BC281" s="2071" t="n"/>
      <c r="BD281" s="664" t="n"/>
      <c r="BE281" s="2071" t="n"/>
      <c r="BF281" s="2071" t="n"/>
      <c r="BG281" s="2071" t="n"/>
      <c r="BH281" s="2071" t="n"/>
      <c r="BI281" s="2071" t="n"/>
      <c r="BJ281" s="2071" t="n"/>
      <c r="BK281" s="2071" t="n"/>
      <c r="BL281" s="2071" t="n"/>
      <c r="BM281" s="2071" t="n"/>
      <c r="BN281" s="2071" t="n"/>
      <c r="BO281" s="2071" t="n"/>
      <c r="BP281" s="2071" t="n"/>
      <c r="BQ281" s="2071" t="n"/>
      <c r="BR281" s="2071" t="n"/>
      <c r="BS281" s="2071" t="n"/>
      <c r="BT281" s="2071" t="n"/>
      <c r="BU281" s="2071" t="n"/>
      <c r="BV281" s="2071" t="n"/>
      <c r="BW281" s="2071" t="n"/>
      <c r="BX281" s="2071" t="n"/>
      <c r="BY281" s="2071" t="n"/>
      <c r="BZ281" s="2071" t="n"/>
      <c r="CA281" s="701" t="n"/>
      <c r="CB281" s="423" t="n"/>
      <c r="CC281" s="701" t="n"/>
      <c r="CD281" s="701" t="n"/>
      <c r="CE281" s="701" t="n"/>
      <c r="CF281" s="701" t="n"/>
      <c r="CG281" s="701" t="n"/>
      <c r="CH281" s="701" t="n"/>
      <c r="CI281" s="701" t="n"/>
      <c r="CJ281" s="701" t="n"/>
      <c r="CK281" s="701" t="n"/>
      <c r="CL281" s="701" t="n"/>
      <c r="CM281" s="701" t="n"/>
      <c r="CN281" s="701" t="n"/>
      <c r="CO281" s="701" t="n"/>
      <c r="CP281" s="701" t="n"/>
      <c r="CQ281" s="701" t="n"/>
      <c r="CR281" s="701" t="n"/>
      <c r="CS281" s="701" t="n"/>
      <c r="CT281" s="701" t="n"/>
      <c r="CU281" s="701" t="n"/>
      <c r="CV281" s="701" t="n"/>
      <c r="CW281" s="30" t="n"/>
    </row>
    <row r="282" ht="12.75" customHeight="1" s="1676">
      <c r="A282" s="31" t="n"/>
      <c r="B282" s="180" t="inlineStr">
        <is>
          <t>Text_240</t>
        </is>
      </c>
      <c r="C282" s="699" t="n"/>
      <c r="D282" s="1760" t="n"/>
      <c r="E282" s="1760" t="n"/>
      <c r="F282" s="1760" t="n"/>
      <c r="G282" s="1760" t="n"/>
      <c r="H282" s="1760" t="n"/>
      <c r="I282" s="1760" t="n"/>
      <c r="J282" s="1760" t="n"/>
      <c r="K282" s="1760" t="n"/>
      <c r="L282" s="1760" t="n"/>
      <c r="M282" s="1760" t="n"/>
      <c r="N282" s="1760" t="n"/>
      <c r="O282" s="1760" t="n"/>
      <c r="P282" s="1760" t="n"/>
      <c r="Q282" s="1760" t="n"/>
      <c r="R282" s="1760" t="n"/>
      <c r="S282" s="1760" t="n"/>
      <c r="T282" s="1760" t="n"/>
      <c r="U282" s="1760" t="n"/>
      <c r="V282" s="1760" t="n"/>
      <c r="W282" s="1760" t="n"/>
      <c r="X282" s="1760" t="n"/>
      <c r="Y282" s="1760" t="n"/>
      <c r="Z282" s="1760" t="n"/>
      <c r="AA282" s="1760" t="n"/>
      <c r="AB282" s="1760" t="n"/>
      <c r="AC282" s="1760" t="n"/>
      <c r="AD282" s="1760" t="n"/>
      <c r="AE282" s="1760" t="n"/>
      <c r="AF282" s="1760" t="n"/>
      <c r="AG282" s="1945" t="n"/>
      <c r="AH282" s="1760" t="n"/>
      <c r="AI282" s="1945" t="n"/>
      <c r="AJ282" s="1945" t="n"/>
      <c r="AK282" s="1945" t="n"/>
      <c r="AL282" s="1945" t="n"/>
      <c r="AM282" s="1945" t="n"/>
      <c r="AN282" s="1945" t="n"/>
      <c r="AO282" s="1945" t="n"/>
      <c r="AP282" s="1945" t="n"/>
      <c r="AQ282" s="1945" t="n"/>
      <c r="AR282" s="1945" t="n"/>
      <c r="AS282" s="1945" t="n"/>
      <c r="AT282" s="1945" t="n"/>
      <c r="AU282" s="1945" t="n"/>
      <c r="AV282" s="1945" t="n"/>
      <c r="AW282" s="1945" t="n"/>
      <c r="AX282" s="1945" t="n"/>
      <c r="AY282" s="1945" t="n"/>
      <c r="AZ282" s="1945" t="n"/>
      <c r="BA282" s="1945" t="n"/>
      <c r="BB282" s="1945" t="n"/>
      <c r="BC282" s="1945" t="n"/>
      <c r="BD282" s="1945" t="n"/>
      <c r="BE282" s="1945" t="n"/>
      <c r="BF282" s="1945" t="n"/>
      <c r="BG282" s="1945" t="n"/>
      <c r="BH282" s="1945" t="n"/>
      <c r="BI282" s="1945" t="n"/>
      <c r="BJ282" s="1945" t="n"/>
      <c r="BK282" s="1945" t="n"/>
      <c r="BL282" s="1945" t="n"/>
      <c r="BM282" s="1945" t="n"/>
      <c r="BN282" s="1945" t="n"/>
      <c r="BO282" s="1945" t="n"/>
      <c r="BP282" s="1945" t="n"/>
      <c r="BQ282" s="1945" t="n"/>
      <c r="BR282" s="1945" t="n"/>
      <c r="BS282" s="1945" t="n"/>
      <c r="BT282" s="1945" t="n"/>
      <c r="BU282" s="1945" t="n"/>
      <c r="BV282" s="1945" t="n"/>
      <c r="BW282" s="1945" t="n"/>
      <c r="BX282" s="1945" t="n"/>
      <c r="BY282" s="1945" t="n"/>
      <c r="BZ282" s="1945" t="n"/>
      <c r="CA282" s="1760" t="n"/>
      <c r="CB282" s="456" t="n"/>
      <c r="CC282" s="701" t="n"/>
      <c r="CD282" s="701" t="n"/>
      <c r="CE282" s="701" t="n"/>
      <c r="CF282" s="701" t="n"/>
      <c r="CG282" s="701" t="n"/>
      <c r="CH282" s="701" t="n"/>
      <c r="CI282" s="701" t="n"/>
      <c r="CJ282" s="701" t="n"/>
      <c r="CK282" s="701" t="n"/>
      <c r="CL282" s="701" t="n"/>
      <c r="CM282" s="701" t="n"/>
      <c r="CN282" s="701" t="n"/>
      <c r="CO282" s="701" t="n"/>
      <c r="CP282" s="701" t="n"/>
      <c r="CQ282" s="701" t="n"/>
      <c r="CR282" s="701" t="n"/>
      <c r="CS282" s="701" t="n"/>
      <c r="CT282" s="701" t="n"/>
      <c r="CU282" s="701" t="n"/>
      <c r="CV282" s="701" t="n"/>
      <c r="CW282" s="30" t="n"/>
    </row>
    <row r="283" ht="15" customHeight="1" s="1676">
      <c r="A283" s="31" t="n"/>
      <c r="B283" s="183" t="inlineStr">
        <is>
          <t>Text_241</t>
        </is>
      </c>
      <c r="C283" s="699" t="n"/>
      <c r="D283" s="1751" t="n"/>
      <c r="E283" s="1751" t="n"/>
      <c r="F283" s="1751" t="n"/>
      <c r="G283" s="1751" t="n"/>
      <c r="H283" s="1745" t="n"/>
      <c r="I283" s="1745" t="n"/>
      <c r="J283" s="1745" t="n"/>
      <c r="K283" s="1745" t="n"/>
      <c r="L283" s="1745" t="n"/>
      <c r="M283" s="2072" t="n"/>
      <c r="N283" s="2072" t="n"/>
      <c r="O283" s="2072" t="n"/>
      <c r="P283" s="2072" t="n"/>
      <c r="Q283" s="2072" t="n"/>
      <c r="R283" s="1797">
        <f t="array" ref="R283">-3.322-13.967</f>
        <v/>
      </c>
      <c r="S283" s="2072" t="n"/>
      <c r="T283" s="2072" t="n"/>
      <c r="U283" s="2072" t="n"/>
      <c r="V283" s="2072" t="n"/>
      <c r="W283" s="1797">
        <f t="array" ref="W283">-14.581-3.015</f>
        <v/>
      </c>
      <c r="X283" s="2072" t="n"/>
      <c r="Y283" s="2072" t="n"/>
      <c r="Z283" s="2072" t="n"/>
      <c r="AA283" s="2072" t="n"/>
      <c r="AB283" s="1797" t="n">
        <v>-181.861482891135</v>
      </c>
      <c r="AC283" s="1745" t="n"/>
      <c r="AD283" s="1745" t="n"/>
      <c r="AE283" s="1745" t="n"/>
      <c r="AF283" s="1745" t="n"/>
      <c r="AG283" s="1971" t="n">
        <v>-263.524905093072</v>
      </c>
      <c r="AH283" s="1761" t="n"/>
      <c r="AI283" s="1769" t="n"/>
      <c r="AJ283" s="1769" t="n"/>
      <c r="AK283" s="1769" t="n"/>
      <c r="AL283" s="1971" t="n">
        <v>-172.865423102858</v>
      </c>
      <c r="AM283" s="1971" t="n">
        <v>-60.3947642426066</v>
      </c>
      <c r="AN283" s="1971" t="n">
        <v>-65.1350041366068</v>
      </c>
      <c r="AO283" s="1971" t="n">
        <v>-67.4204764811486</v>
      </c>
      <c r="AP283" s="1971" t="n">
        <v>-67.4203571175955</v>
      </c>
      <c r="AQ283" s="2073">
        <f t="array" ref="AQ283">AP283+AO283+AN283+AM283</f>
        <v/>
      </c>
      <c r="AR283" s="1971" t="n">
        <v>-69.4274590001602</v>
      </c>
      <c r="AS283" s="1971" t="n">
        <v>-69.99399577058119</v>
      </c>
      <c r="AT283" s="1971" t="n">
        <v>-65.7536188909812</v>
      </c>
      <c r="AU283" s="1971" t="n">
        <v>-62.6550590389992</v>
      </c>
      <c r="AV283" s="2073">
        <f t="array" ref="AV283">AU283+AT283+AS283+AR283</f>
        <v/>
      </c>
      <c r="AW283" s="2034" t="n">
        <v>-53.9018588266229</v>
      </c>
      <c r="AX283" s="2035" t="n">
        <v>-68.4783344773065</v>
      </c>
      <c r="AY283" s="2035" t="n">
        <v>-57.3964944941645</v>
      </c>
      <c r="AZ283" s="2035" t="n">
        <v>-51.5973309509156</v>
      </c>
      <c r="BA283" s="2074">
        <f t="array" ref="BA283">AZ283+AY283+AX283+AW283</f>
        <v/>
      </c>
      <c r="BB283" s="2034" t="n">
        <v>-53.6950994554548</v>
      </c>
      <c r="BC283" s="2035" t="n">
        <v>-56.6412779057347</v>
      </c>
      <c r="BD283" s="2035" t="n">
        <v>-64.4678640189247</v>
      </c>
      <c r="BE283" s="2074">
        <f t="array" ref="BE283">BF283-BD283-BC283-BB283</f>
        <v/>
      </c>
      <c r="BF283" s="2075" t="n">
        <v>-251.492523011649</v>
      </c>
      <c r="BG283" s="670" t="n"/>
      <c r="BH283" s="670" t="n"/>
      <c r="BI283" s="670" t="n"/>
      <c r="BJ283" s="670" t="n"/>
      <c r="BK283" s="2075">
        <f t="array" ref="BK283">BF283</f>
        <v/>
      </c>
      <c r="BL283" s="670" t="n"/>
      <c r="BM283" s="670" t="n"/>
      <c r="BN283" s="670" t="n"/>
      <c r="BO283" s="670" t="n"/>
      <c r="BP283" s="2075">
        <f t="array" ref="BP283">BK283</f>
        <v/>
      </c>
      <c r="BQ283" s="670" t="n"/>
      <c r="BR283" s="670" t="n"/>
      <c r="BS283" s="670" t="n"/>
      <c r="BT283" s="670" t="n"/>
      <c r="BU283" s="2075">
        <f t="array" ref="BU283">BP283</f>
        <v/>
      </c>
      <c r="BV283" s="670" t="n"/>
      <c r="BW283" s="670" t="n"/>
      <c r="BX283" s="670" t="n"/>
      <c r="BY283" s="670" t="n"/>
      <c r="BZ283" s="2075">
        <f t="array" ref="BZ283">BU283</f>
        <v/>
      </c>
      <c r="CA283" s="671" t="n"/>
      <c r="CB283" s="672" t="n"/>
      <c r="CC283" s="701" t="n"/>
      <c r="CD283" s="701" t="n"/>
      <c r="CE283" s="701" t="n"/>
      <c r="CF283" s="701" t="n"/>
      <c r="CG283" s="701" t="n"/>
      <c r="CH283" s="701" t="n"/>
      <c r="CI283" s="701" t="n"/>
      <c r="CJ283" s="701" t="n"/>
      <c r="CK283" s="701" t="n"/>
      <c r="CL283" s="701" t="n"/>
      <c r="CM283" s="701" t="n"/>
      <c r="CN283" s="701" t="n"/>
      <c r="CO283" s="701" t="n"/>
      <c r="CP283" s="701" t="n"/>
      <c r="CQ283" s="701" t="n"/>
      <c r="CR283" s="701" t="n"/>
      <c r="CS283" s="701" t="n"/>
      <c r="CT283" s="701" t="n"/>
      <c r="CU283" s="701" t="n"/>
      <c r="CV283" s="701" t="n"/>
      <c r="CW283" s="30" t="n"/>
    </row>
    <row r="284" ht="15" customHeight="1" s="1676">
      <c r="A284" s="31" t="n"/>
      <c r="B284" s="183" t="inlineStr">
        <is>
          <t>Text_242</t>
        </is>
      </c>
      <c r="C284" s="699" t="n"/>
      <c r="D284" s="1751" t="n"/>
      <c r="E284" s="1751" t="n"/>
      <c r="F284" s="1751" t="n"/>
      <c r="G284" s="1751" t="n"/>
      <c r="H284" s="1745" t="n"/>
      <c r="I284" s="1745" t="n"/>
      <c r="J284" s="1745" t="n"/>
      <c r="K284" s="1745" t="n"/>
      <c r="L284" s="1745" t="n"/>
      <c r="M284" s="2072" t="n"/>
      <c r="N284" s="2072" t="n"/>
      <c r="O284" s="2072" t="n"/>
      <c r="P284" s="2072" t="n"/>
      <c r="Q284" s="2072" t="n"/>
      <c r="R284" s="1797" t="n"/>
      <c r="S284" s="2072" t="n"/>
      <c r="T284" s="2072" t="n"/>
      <c r="U284" s="2072" t="n"/>
      <c r="V284" s="2072" t="n"/>
      <c r="W284" s="1797" t="n"/>
      <c r="X284" s="2072" t="n"/>
      <c r="Y284" s="2072" t="n"/>
      <c r="Z284" s="2072" t="n"/>
      <c r="AA284" s="2072" t="n"/>
      <c r="AB284" s="1797" t="n"/>
      <c r="AC284" s="1745" t="n"/>
      <c r="AD284" s="1745" t="n"/>
      <c r="AE284" s="1745" t="n"/>
      <c r="AF284" s="1745" t="n"/>
      <c r="AG284" s="1797" t="n">
        <v>-13.8000001459935</v>
      </c>
      <c r="AH284" s="1761" t="n"/>
      <c r="AI284" s="1761" t="n"/>
      <c r="AJ284" s="1761" t="n"/>
      <c r="AK284" s="1761" t="n"/>
      <c r="AL284" s="1797" t="n">
        <v>-5.66065080311375</v>
      </c>
      <c r="AM284" s="1797" t="n">
        <v>-0.123602566636329</v>
      </c>
      <c r="AN284" s="1797" t="n">
        <v>0</v>
      </c>
      <c r="AO284" s="1797" t="n">
        <v>-2.02969207666254</v>
      </c>
      <c r="AP284" s="1797" t="n">
        <v>-2.56443602928386</v>
      </c>
      <c r="AQ284" s="1973">
        <f t="array" ref="AQ284">AP284+AO284+AN284+AM284</f>
        <v/>
      </c>
      <c r="AR284" s="1797" t="n">
        <v>-5.7292575568723</v>
      </c>
      <c r="AS284" s="1797" t="n">
        <v>0</v>
      </c>
      <c r="AT284" s="1797" t="n">
        <v>-19.3586140397194</v>
      </c>
      <c r="AU284" s="1797" t="n">
        <v>-7.20826689154409</v>
      </c>
      <c r="AV284" s="1973">
        <f t="array" ref="AV284">AU284+AT284+AS284+AR284</f>
        <v/>
      </c>
      <c r="AW284" s="1975" t="n">
        <v>0</v>
      </c>
      <c r="AX284" s="1854" t="n">
        <v>-11.3853034046057</v>
      </c>
      <c r="AY284" s="1854" t="n">
        <v>-2.43069368301053</v>
      </c>
      <c r="AZ284" s="1854" t="n">
        <v>-19.8584156638714</v>
      </c>
      <c r="BA284" s="2003">
        <f t="array" ref="BA284">AZ284+AY284+AX284+AW284</f>
        <v/>
      </c>
      <c r="BB284" s="1975" t="n">
        <v>-3.38812334241872</v>
      </c>
      <c r="BC284" s="1854" t="n">
        <v>-2.12263707027797</v>
      </c>
      <c r="BD284" s="1750" t="n"/>
      <c r="BE284" s="1784" t="n"/>
      <c r="BF284" s="1862">
        <f t="array" ref="BF284">BB284+BC284+BD284+BE284</f>
        <v/>
      </c>
      <c r="BG284" s="341" t="n"/>
      <c r="BH284" s="341" t="n"/>
      <c r="BI284" s="341" t="n"/>
      <c r="BJ284" s="341" t="n"/>
      <c r="BK284" s="1862" t="n">
        <v>0</v>
      </c>
      <c r="BL284" s="341" t="n"/>
      <c r="BM284" s="341" t="n"/>
      <c r="BN284" s="341" t="n"/>
      <c r="BO284" s="341" t="n"/>
      <c r="BP284" s="1862" t="n">
        <v>0</v>
      </c>
      <c r="BQ284" s="341" t="n"/>
      <c r="BR284" s="341" t="n"/>
      <c r="BS284" s="341" t="n"/>
      <c r="BT284" s="341" t="n"/>
      <c r="BU284" s="1862" t="n">
        <v>0</v>
      </c>
      <c r="BV284" s="341" t="n"/>
      <c r="BW284" s="341" t="n"/>
      <c r="BX284" s="341" t="n"/>
      <c r="BY284" s="341" t="n"/>
      <c r="BZ284" s="1862" t="n">
        <v>0</v>
      </c>
      <c r="CA284" s="671" t="n"/>
      <c r="CB284" s="672" t="n"/>
      <c r="CC284" s="701" t="n"/>
      <c r="CD284" s="701" t="n"/>
      <c r="CE284" s="701" t="n"/>
      <c r="CF284" s="701" t="n"/>
      <c r="CG284" s="701" t="n"/>
      <c r="CH284" s="701" t="n"/>
      <c r="CI284" s="701" t="n"/>
      <c r="CJ284" s="701" t="n"/>
      <c r="CK284" s="701" t="n"/>
      <c r="CL284" s="701" t="n"/>
      <c r="CM284" s="701" t="n"/>
      <c r="CN284" s="701" t="n"/>
      <c r="CO284" s="701" t="n"/>
      <c r="CP284" s="701" t="n"/>
      <c r="CQ284" s="701" t="n"/>
      <c r="CR284" s="701" t="n"/>
      <c r="CS284" s="701" t="n"/>
      <c r="CT284" s="701" t="n"/>
      <c r="CU284" s="701" t="n"/>
      <c r="CV284" s="701" t="n"/>
      <c r="CW284" s="30" t="n"/>
    </row>
    <row r="285" ht="12.75" customHeight="1" s="1676">
      <c r="A285" s="31" t="n"/>
      <c r="B285" s="462" t="inlineStr">
        <is>
          <t>Text_243</t>
        </is>
      </c>
      <c r="C285" s="805" t="n"/>
      <c r="D285" s="1726" t="n"/>
      <c r="E285" s="1726" t="n"/>
      <c r="F285" s="1726" t="n"/>
      <c r="G285" s="1726" t="n"/>
      <c r="H285" s="1727" t="n"/>
      <c r="I285" s="1928" t="n"/>
      <c r="J285" s="1928" t="n"/>
      <c r="K285" s="1928" t="n"/>
      <c r="L285" s="1928" t="n"/>
      <c r="M285" s="2076" t="n"/>
      <c r="N285" s="2076" t="n"/>
      <c r="O285" s="2076" t="n"/>
      <c r="P285" s="2076" t="n"/>
      <c r="Q285" s="2076" t="n"/>
      <c r="R285" s="2008" t="n"/>
      <c r="S285" s="2076" t="n"/>
      <c r="T285" s="2076" t="n"/>
      <c r="U285" s="2076" t="n"/>
      <c r="V285" s="2076" t="n"/>
      <c r="W285" s="2008" t="n"/>
      <c r="X285" s="2076" t="n"/>
      <c r="Y285" s="2076" t="n"/>
      <c r="Z285" s="2076" t="n"/>
      <c r="AA285" s="2076" t="n"/>
      <c r="AB285" s="2008" t="n"/>
      <c r="AC285" s="1928" t="n"/>
      <c r="AD285" s="1928" t="n"/>
      <c r="AE285" s="1928" t="n"/>
      <c r="AF285" s="1928" t="n"/>
      <c r="AG285" s="2008" t="n">
        <v>-215.388318510278</v>
      </c>
      <c r="AH285" s="1928" t="n"/>
      <c r="AI285" s="1928" t="n"/>
      <c r="AJ285" s="1928" t="n"/>
      <c r="AK285" s="1928" t="n"/>
      <c r="AL285" s="2008" t="n"/>
      <c r="AM285" s="1928" t="n"/>
      <c r="AN285" s="1928" t="n"/>
      <c r="AO285" s="1928" t="n"/>
      <c r="AP285" s="1928" t="n"/>
      <c r="AQ285" s="1928" t="n"/>
      <c r="AR285" s="1928" t="n"/>
      <c r="AS285" s="1928" t="n"/>
      <c r="AT285" s="1928" t="n"/>
      <c r="AU285" s="1928" t="n"/>
      <c r="AV285" s="1928" t="n"/>
      <c r="AW285" s="2009" t="n"/>
      <c r="AX285" s="2077" t="n">
        <v>-217.969923603108</v>
      </c>
      <c r="AY285" s="2077" t="n">
        <v>-60.6090118382575</v>
      </c>
      <c r="AZ285" s="1930" t="n">
        <v>0</v>
      </c>
      <c r="BA285" s="2078" t="n"/>
      <c r="BB285" s="2009" t="n">
        <v>0</v>
      </c>
      <c r="BC285" s="2077" t="n">
        <v>-236.806373892829</v>
      </c>
      <c r="BD285" s="1728" t="n"/>
      <c r="BE285" s="1728" t="n"/>
      <c r="BF285" s="2078" t="n"/>
      <c r="BG285" s="1726" t="n"/>
      <c r="BH285" s="1726" t="n"/>
      <c r="BI285" s="1726" t="n"/>
      <c r="BJ285" s="1726" t="n"/>
      <c r="BK285" s="1928" t="n"/>
      <c r="BL285" s="1726" t="n"/>
      <c r="BM285" s="1726" t="n"/>
      <c r="BN285" s="1726" t="n"/>
      <c r="BO285" s="1726" t="n"/>
      <c r="BP285" s="1928" t="n"/>
      <c r="BQ285" s="1726" t="n"/>
      <c r="BR285" s="1726" t="n"/>
      <c r="BS285" s="1726" t="n"/>
      <c r="BT285" s="1726" t="n"/>
      <c r="BU285" s="1928" t="n"/>
      <c r="BV285" s="1726" t="n"/>
      <c r="BW285" s="1726" t="n"/>
      <c r="BX285" s="1726" t="n"/>
      <c r="BY285" s="1726" t="n"/>
      <c r="BZ285" s="1928" t="n"/>
      <c r="CA285" s="126" t="inlineStr">
        <is>
          <t>Text_244</t>
        </is>
      </c>
      <c r="CB285" s="456" t="n"/>
      <c r="CC285" s="701" t="n"/>
      <c r="CD285" s="701" t="n"/>
      <c r="CE285" s="701" t="n"/>
      <c r="CF285" s="701" t="n"/>
      <c r="CG285" s="701" t="n"/>
      <c r="CH285" s="701" t="n"/>
      <c r="CI285" s="701" t="n"/>
      <c r="CJ285" s="701" t="n"/>
      <c r="CK285" s="701" t="n"/>
      <c r="CL285" s="701" t="n"/>
      <c r="CM285" s="701" t="n"/>
      <c r="CN285" s="701" t="n"/>
      <c r="CO285" s="701" t="n"/>
      <c r="CP285" s="701" t="n"/>
      <c r="CQ285" s="701" t="n"/>
      <c r="CR285" s="701" t="n"/>
      <c r="CS285" s="701" t="n"/>
      <c r="CT285" s="701" t="n"/>
      <c r="CU285" s="701" t="n"/>
      <c r="CV285" s="701" t="n"/>
      <c r="CW285" s="30" t="n"/>
    </row>
    <row r="286" ht="15" customHeight="1" s="1676">
      <c r="A286" s="31" t="n"/>
      <c r="B286" s="65" t="inlineStr">
        <is>
          <t>Text_245</t>
        </is>
      </c>
      <c r="C286" s="66" t="n"/>
      <c r="D286" s="1704" t="n"/>
      <c r="E286" s="1704" t="n"/>
      <c r="F286" s="1704" t="n"/>
      <c r="G286" s="1704" t="n"/>
      <c r="H286" s="1734" t="n"/>
      <c r="I286" s="1734" t="n">
        <v>152.811432368692</v>
      </c>
      <c r="J286" s="1734" t="n">
        <v>205.408710871363</v>
      </c>
      <c r="K286" s="1734" t="n">
        <v>231.02862407957</v>
      </c>
      <c r="L286" s="1734" t="n">
        <v>390.29444646656</v>
      </c>
      <c r="M286" s="1734" t="n">
        <v>1111.07531162768</v>
      </c>
      <c r="N286" s="1734" t="n">
        <v>294.606675692705</v>
      </c>
      <c r="O286" s="1734" t="n">
        <v>372.25671815431</v>
      </c>
      <c r="P286" s="1734" t="n">
        <v>318.704645246614</v>
      </c>
      <c r="Q286" s="1734" t="n">
        <v>375.261454461917</v>
      </c>
      <c r="R286" s="1734">
        <f t="array" ref="R286">R212-1286.215-526.688-388.211</f>
        <v/>
      </c>
      <c r="S286" s="1734">
        <f t="array" ref="S286">S212-1446.041-608.531-442.304</f>
        <v/>
      </c>
      <c r="T286" s="1734">
        <f t="array" ref="T286">T212-1446.041-608.531-442.304</f>
        <v/>
      </c>
      <c r="U286" s="1734">
        <f t="array" ref="U286">U212-1446.041-608.531-442.304</f>
        <v/>
      </c>
      <c r="V286" s="1734">
        <f t="array" ref="V286">V212-1446.041-608.531-442.304</f>
        <v/>
      </c>
      <c r="W286" s="1734">
        <f t="array" ref="W286">W212-1446.041-608.531-442.304</f>
        <v/>
      </c>
      <c r="X286" s="1734" t="n">
        <v>432.825685913524</v>
      </c>
      <c r="Y286" s="1734" t="n">
        <v>390.755161770304</v>
      </c>
      <c r="Z286" s="1734" t="n">
        <v>276.467940366572</v>
      </c>
      <c r="AA286" s="1734" t="n">
        <v>219.253138094388</v>
      </c>
      <c r="AB286" s="1734" t="n">
        <v>1612.65190571967</v>
      </c>
      <c r="AC286" s="1734" t="n">
        <v>403.926482762947</v>
      </c>
      <c r="AD286" s="1734" t="n">
        <v>488.231438685061</v>
      </c>
      <c r="AE286" s="1734" t="n">
        <v>187.180221426807</v>
      </c>
      <c r="AF286" s="1734" t="n">
        <v>524.778306057237</v>
      </c>
      <c r="AG286" s="1734" t="n">
        <v>1584.32313328851</v>
      </c>
      <c r="AH286" s="1734" t="n">
        <v>550.378354299306</v>
      </c>
      <c r="AI286" s="1734" t="n">
        <v>471.332237621698</v>
      </c>
      <c r="AJ286" s="1734" t="n">
        <v>677.096158690561</v>
      </c>
      <c r="AK286" s="1734" t="n">
        <v>619.059457363236</v>
      </c>
      <c r="AL286" s="1734" t="n">
        <v>2724.81967391522</v>
      </c>
      <c r="AM286" s="1734" t="n">
        <v>822.802923504567</v>
      </c>
      <c r="AN286" s="1734" t="n">
        <v>1035.59498605942</v>
      </c>
      <c r="AO286" s="1734" t="n">
        <v>730.842948183751</v>
      </c>
      <c r="AP286" s="1734" t="n">
        <v>812.665270523557</v>
      </c>
      <c r="AQ286" s="1734" t="n">
        <v>3970.37492580571</v>
      </c>
      <c r="AR286" s="1734" t="n">
        <v>920.588115298694</v>
      </c>
      <c r="AS286" s="1734" t="n">
        <v>993.523028617926</v>
      </c>
      <c r="AT286" s="1734" t="n">
        <v>692.6425876111271</v>
      </c>
      <c r="AU286" s="1734" t="n">
        <v>974.724215603118</v>
      </c>
      <c r="AV286" s="1734" t="n">
        <v>4374.20547739898</v>
      </c>
      <c r="AW286" s="2079" t="n">
        <v>846.423114413403</v>
      </c>
      <c r="AX286" s="1964">
        <f t="array" ref="AX286">AX212-976.746-320.418-237.244+AX285</f>
        <v/>
      </c>
      <c r="AY286" s="1964">
        <f t="array" ref="AY286">AY238+AY283+AY284+AY285</f>
        <v/>
      </c>
      <c r="AZ286" s="1964">
        <f t="array" ref="AZ286">AZ238+AZ283+AZ284+AZ285</f>
        <v/>
      </c>
      <c r="BA286" s="1733">
        <f t="array" ref="BA286">BA238+BA283+BA284+BA285</f>
        <v/>
      </c>
      <c r="BB286" s="2079">
        <f t="array" ref="BB286">BB238+BB283+BB284+BB285</f>
        <v/>
      </c>
      <c r="BC286" s="1964">
        <f t="array" ref="BC286">BC238+BC283+BC284+BC285</f>
        <v/>
      </c>
      <c r="BD286" s="1706" t="n"/>
      <c r="BE286" s="1706" t="n"/>
      <c r="BF286" s="1733">
        <f t="array" ref="BF286">BF238+BF283+BF284+BF285</f>
        <v/>
      </c>
      <c r="BG286" s="1704" t="n"/>
      <c r="BH286" s="1704" t="n"/>
      <c r="BI286" s="1704" t="n"/>
      <c r="BJ286" s="1704" t="n"/>
      <c r="BK286" s="1734">
        <f t="array" ref="BK286">BK238+BK283+BK284+BK285</f>
        <v/>
      </c>
      <c r="BL286" s="1704" t="n"/>
      <c r="BM286" s="1704" t="n"/>
      <c r="BN286" s="1704" t="n"/>
      <c r="BO286" s="1704" t="n"/>
      <c r="BP286" s="1734">
        <f t="array" ref="BP286">BP238+BP283+BP284+BP285</f>
        <v/>
      </c>
      <c r="BQ286" s="1704" t="n"/>
      <c r="BR286" s="1704" t="n"/>
      <c r="BS286" s="1704" t="n"/>
      <c r="BT286" s="1704" t="n"/>
      <c r="BU286" s="1734">
        <f t="array" ref="BU286">BU238+BU283+BU284+BU285</f>
        <v/>
      </c>
      <c r="BV286" s="1704" t="n"/>
      <c r="BW286" s="1704" t="n"/>
      <c r="BX286" s="1704" t="n"/>
      <c r="BY286" s="1704" t="n"/>
      <c r="BZ286" s="1734">
        <f t="array" ref="BZ286">BZ238+BZ283+BZ284+BZ285</f>
        <v/>
      </c>
      <c r="CA286" s="671" t="n"/>
      <c r="CB286" s="677" t="n"/>
      <c r="CC286" s="701" t="n"/>
      <c r="CD286" s="701" t="n"/>
      <c r="CE286" s="701" t="n"/>
      <c r="CF286" s="701" t="n"/>
      <c r="CG286" s="701" t="n"/>
      <c r="CH286" s="701" t="n"/>
      <c r="CI286" s="701" t="n"/>
      <c r="CJ286" s="701" t="n"/>
      <c r="CK286" s="701" t="n"/>
      <c r="CL286" s="701" t="n"/>
      <c r="CM286" s="701" t="n"/>
      <c r="CN286" s="701" t="n"/>
      <c r="CO286" s="701" t="n"/>
      <c r="CP286" s="701" t="n"/>
      <c r="CQ286" s="701" t="n"/>
      <c r="CR286" s="701" t="n"/>
      <c r="CS286" s="701" t="n"/>
      <c r="CT286" s="701" t="n"/>
      <c r="CU286" s="701" t="n"/>
      <c r="CV286" s="701" t="n"/>
      <c r="CW286" s="30" t="n"/>
    </row>
    <row r="287" ht="12.75" customHeight="1" s="1676">
      <c r="A287" s="31" t="n"/>
      <c r="B287" s="569" t="inlineStr">
        <is>
          <t>Text_180</t>
        </is>
      </c>
      <c r="C287" s="33" t="n"/>
      <c r="D287" s="1742" t="n"/>
      <c r="E287" s="1742" t="n"/>
      <c r="F287" s="1742" t="n"/>
      <c r="G287" s="1742" t="n"/>
      <c r="H287" s="1742" t="n"/>
      <c r="I287" s="1742" t="n"/>
      <c r="J287" s="1742" t="n"/>
      <c r="K287" s="1742" t="n"/>
      <c r="L287" s="1742" t="n"/>
      <c r="M287" s="1742">
        <f t="array" ref="M287">M286/M212</f>
        <v/>
      </c>
      <c r="N287" s="1742" t="n"/>
      <c r="O287" s="1742" t="n"/>
      <c r="P287" s="1742" t="n"/>
      <c r="Q287" s="1742" t="n"/>
      <c r="R287" s="1742">
        <f t="array" ref="R287">R286/R212</f>
        <v/>
      </c>
      <c r="S287" s="1742" t="n"/>
      <c r="T287" s="1742" t="n"/>
      <c r="U287" s="1742" t="n"/>
      <c r="V287" s="1742" t="n"/>
      <c r="W287" s="1742">
        <f t="array" ref="W287">W286/W212</f>
        <v/>
      </c>
      <c r="X287" s="1742" t="n"/>
      <c r="Y287" s="1742" t="n"/>
      <c r="Z287" s="1742" t="n"/>
      <c r="AA287" s="1742" t="n"/>
      <c r="AB287" s="1742">
        <f t="array" ref="AB287">AB286/AB212</f>
        <v/>
      </c>
      <c r="AC287" s="1742">
        <f t="array" ref="AC287">AC286/AC212</f>
        <v/>
      </c>
      <c r="AD287" s="1742">
        <f t="array" ref="AD287">AD286/AD212</f>
        <v/>
      </c>
      <c r="AE287" s="1742">
        <f t="array" ref="AE287">AE286/AE212</f>
        <v/>
      </c>
      <c r="AF287" s="1742">
        <f t="array" ref="AF287">AF286/AF212</f>
        <v/>
      </c>
      <c r="AG287" s="1742">
        <f t="array" ref="AG287">AG286/AG212</f>
        <v/>
      </c>
      <c r="AH287" s="1742">
        <f t="array" ref="AH287">AH286/AH212</f>
        <v/>
      </c>
      <c r="AI287" s="1742">
        <f t="array" ref="AI287">AI286/AI212</f>
        <v/>
      </c>
      <c r="AJ287" s="1742">
        <f t="array" ref="AJ287">AJ286/AJ212</f>
        <v/>
      </c>
      <c r="AK287" s="1742">
        <f t="array" ref="AK287">AK286/AK212</f>
        <v/>
      </c>
      <c r="AL287" s="1742">
        <f t="array" ref="AL287">AL286/AL212</f>
        <v/>
      </c>
      <c r="AM287" s="1742">
        <f t="array" ref="AM287">AM286/AM212</f>
        <v/>
      </c>
      <c r="AN287" s="1742">
        <f t="array" ref="AN287">AN286/AN212</f>
        <v/>
      </c>
      <c r="AO287" s="1742">
        <f t="array" ref="AO287">AO286/AO212</f>
        <v/>
      </c>
      <c r="AP287" s="1742">
        <f t="array" ref="AP287">AP286/AP212</f>
        <v/>
      </c>
      <c r="AQ287" s="1742">
        <f t="array" ref="AQ287">AQ286/AQ212</f>
        <v/>
      </c>
      <c r="AR287" s="1742">
        <f t="array" ref="AR287">AR286/AR212</f>
        <v/>
      </c>
      <c r="AS287" s="1742">
        <f t="array" ref="AS287">AS286/AS212</f>
        <v/>
      </c>
      <c r="AT287" s="1742">
        <f t="array" ref="AT287">AT286/AT212</f>
        <v/>
      </c>
      <c r="AU287" s="1742">
        <f t="array" ref="AU287">AU286/AU212</f>
        <v/>
      </c>
      <c r="AV287" s="1742">
        <f t="array" ref="AV287">AV286/AV212</f>
        <v/>
      </c>
      <c r="AW287" s="1740">
        <f t="array" ref="AW287">AW286/AW212</f>
        <v/>
      </c>
      <c r="AX287" s="1741">
        <f t="array" ref="AX287">AX286/AX212</f>
        <v/>
      </c>
      <c r="AY287" s="1741">
        <f t="array" ref="AY287">AY286/AY212</f>
        <v/>
      </c>
      <c r="AZ287" s="1741">
        <f t="array" ref="AZ287">AZ286/AZ212</f>
        <v/>
      </c>
      <c r="BA287" s="1844">
        <f t="array" ref="BA287">BA286/BA212</f>
        <v/>
      </c>
      <c r="BB287" s="1740">
        <f t="array" ref="BB287">BB286/BB212</f>
        <v/>
      </c>
      <c r="BC287" s="1741">
        <f t="array" ref="BC287">BC286/BC212</f>
        <v/>
      </c>
      <c r="BD287" s="1741" t="n"/>
      <c r="BE287" s="1741" t="n"/>
      <c r="BF287" s="1844">
        <f t="array" ref="BF287">BF286/BF212</f>
        <v/>
      </c>
      <c r="BG287" s="1742" t="n"/>
      <c r="BH287" s="1742" t="n"/>
      <c r="BI287" s="1742" t="n"/>
      <c r="BJ287" s="1742" t="n"/>
      <c r="BK287" s="1742">
        <f t="array" ref="BK287">BK286/BK212</f>
        <v/>
      </c>
      <c r="BL287" s="1742" t="n"/>
      <c r="BM287" s="1742" t="n"/>
      <c r="BN287" s="1742" t="n"/>
      <c r="BO287" s="1742" t="n"/>
      <c r="BP287" s="1742">
        <f t="array" ref="BP287">BP286/BP212</f>
        <v/>
      </c>
      <c r="BQ287" s="1742" t="n"/>
      <c r="BR287" s="1742" t="n"/>
      <c r="BS287" s="1742" t="n"/>
      <c r="BT287" s="1742" t="n"/>
      <c r="BU287" s="1742">
        <f t="array" ref="BU287">BU286/BU212</f>
        <v/>
      </c>
      <c r="BV287" s="1742" t="n"/>
      <c r="BW287" s="1742" t="n"/>
      <c r="BX287" s="1742" t="n"/>
      <c r="BY287" s="1742" t="n"/>
      <c r="BZ287" s="1742">
        <f t="array" ref="BZ287">BZ286/BZ212</f>
        <v/>
      </c>
      <c r="CA287" s="577" t="n"/>
      <c r="CB287" s="98" t="n"/>
      <c r="CC287" s="701" t="n"/>
      <c r="CD287" s="701" t="n"/>
      <c r="CE287" s="701" t="n"/>
      <c r="CF287" s="701" t="n"/>
      <c r="CG287" s="701" t="n"/>
      <c r="CH287" s="701" t="n"/>
      <c r="CI287" s="701" t="n"/>
      <c r="CJ287" s="701" t="n"/>
      <c r="CK287" s="701" t="n"/>
      <c r="CL287" s="701" t="n"/>
      <c r="CM287" s="701" t="n"/>
      <c r="CN287" s="701" t="n"/>
      <c r="CO287" s="701" t="n"/>
      <c r="CP287" s="701" t="n"/>
      <c r="CQ287" s="701" t="n"/>
      <c r="CR287" s="701" t="n"/>
      <c r="CS287" s="701" t="n"/>
      <c r="CT287" s="701" t="n"/>
      <c r="CU287" s="701" t="n"/>
      <c r="CV287" s="701" t="n"/>
      <c r="CW287" s="30" t="n"/>
    </row>
    <row r="288" ht="12.75" customHeight="1" s="1676">
      <c r="A288" s="31" t="n"/>
      <c r="B288" s="522" t="inlineStr">
        <is>
          <t>Text_246</t>
        </is>
      </c>
      <c r="C288" s="699" t="n"/>
      <c r="D288" s="1751" t="n"/>
      <c r="E288" s="1751" t="n"/>
      <c r="F288" s="1751" t="n"/>
      <c r="G288" s="1751" t="n"/>
      <c r="H288" s="1797" t="n"/>
      <c r="I288" s="1751" t="n"/>
      <c r="J288" s="1751" t="n"/>
      <c r="K288" s="1751" t="n"/>
      <c r="L288" s="1751" t="n"/>
      <c r="M288" s="1797" t="n"/>
      <c r="N288" s="1751" t="n"/>
      <c r="O288" s="1751" t="n"/>
      <c r="P288" s="1751" t="n"/>
      <c r="Q288" s="1751" t="n"/>
      <c r="R288" s="1797" t="n"/>
      <c r="S288" s="1720" t="n"/>
      <c r="T288" s="1720" t="n"/>
      <c r="U288" s="1720" t="n"/>
      <c r="V288" s="1720" t="n"/>
      <c r="W288" s="1797" t="n"/>
      <c r="X288" s="1720" t="n"/>
      <c r="Y288" s="1797" t="n"/>
      <c r="Z288" s="1797" t="n"/>
      <c r="AA288" s="1797" t="n"/>
      <c r="AB288" s="1797" t="n"/>
      <c r="AC288" s="1988" t="n"/>
      <c r="AD288" s="1988" t="n"/>
      <c r="AE288" s="1988" t="n"/>
      <c r="AF288" s="1988" t="n"/>
      <c r="AG288" s="1797">
        <f t="array" ref="AG288">-22.538</f>
        <v/>
      </c>
      <c r="AH288" s="1797" t="n"/>
      <c r="AI288" s="1797" t="n"/>
      <c r="AJ288" s="1797" t="n"/>
      <c r="AK288" s="1973" t="n"/>
      <c r="AL288" s="1797" t="n">
        <v>0</v>
      </c>
      <c r="AM288" s="1797" t="n">
        <v>-0.122495053829098</v>
      </c>
      <c r="AN288" s="1797" t="n">
        <v>0</v>
      </c>
      <c r="AO288" s="1797" t="n">
        <v>-2.67520973824798</v>
      </c>
      <c r="AP288" s="1797" t="n">
        <v>-2.479759930416</v>
      </c>
      <c r="AQ288" s="1973">
        <f t="array" ref="AQ288">AP288+AO288+AN288+AM288</f>
        <v/>
      </c>
      <c r="AR288" s="1797">
        <f t="array" ref="AR288">-13.286+21.417</f>
        <v/>
      </c>
      <c r="AS288" s="1797" t="n">
        <v>0</v>
      </c>
      <c r="AT288" s="1797" t="n">
        <v>0</v>
      </c>
      <c r="AU288" s="1973" t="n">
        <v>0</v>
      </c>
      <c r="AV288" s="1973">
        <f t="array" ref="AV288">AU288+AT288+AS288+AR288</f>
        <v/>
      </c>
      <c r="AW288" s="677" t="n">
        <v>0</v>
      </c>
      <c r="AX288" s="1854" t="n">
        <v>0</v>
      </c>
      <c r="AY288" s="1854" t="n">
        <v>0</v>
      </c>
      <c r="AZ288" s="1854" t="n">
        <v>0</v>
      </c>
      <c r="BA288" s="2003">
        <f t="array" ref="BA288">AZ288+AY288+AX288+AW288</f>
        <v/>
      </c>
      <c r="BB288" s="1762" t="n">
        <v>0</v>
      </c>
      <c r="BC288" s="1763" t="n">
        <v>0</v>
      </c>
      <c r="BD288" s="449" t="n"/>
      <c r="BE288" s="678" t="n"/>
      <c r="BF288" s="1862" t="n">
        <v>0</v>
      </c>
      <c r="BG288" s="341" t="n"/>
      <c r="BH288" s="341" t="n"/>
      <c r="BI288" s="341" t="n"/>
      <c r="BJ288" s="341" t="n"/>
      <c r="BK288" s="1862" t="n">
        <v>0</v>
      </c>
      <c r="BL288" s="341" t="n"/>
      <c r="BM288" s="341" t="n"/>
      <c r="BN288" s="341" t="n"/>
      <c r="BO288" s="341" t="n"/>
      <c r="BP288" s="1862" t="n">
        <v>0</v>
      </c>
      <c r="BQ288" s="341" t="n"/>
      <c r="BR288" s="341" t="n"/>
      <c r="BS288" s="341" t="n"/>
      <c r="BT288" s="341" t="n"/>
      <c r="BU288" s="1862" t="n">
        <v>0</v>
      </c>
      <c r="BV288" s="341" t="n"/>
      <c r="BW288" s="341" t="n"/>
      <c r="BX288" s="341" t="n"/>
      <c r="BY288" s="341" t="n"/>
      <c r="BZ288" s="1862" t="n">
        <v>0</v>
      </c>
      <c r="CA288" s="577" t="n"/>
      <c r="CB288" s="98" t="n"/>
      <c r="CC288" s="701" t="n"/>
      <c r="CD288" s="701" t="n"/>
      <c r="CE288" s="701" t="n"/>
      <c r="CF288" s="701" t="n"/>
      <c r="CG288" s="701" t="n"/>
      <c r="CH288" s="701" t="n"/>
      <c r="CI288" s="701" t="n"/>
      <c r="CJ288" s="701" t="n"/>
      <c r="CK288" s="701" t="n"/>
      <c r="CL288" s="701" t="n"/>
      <c r="CM288" s="701" t="n"/>
      <c r="CN288" s="701" t="n"/>
      <c r="CO288" s="701" t="n"/>
      <c r="CP288" s="701" t="n"/>
      <c r="CQ288" s="701" t="n"/>
      <c r="CR288" s="701" t="n"/>
      <c r="CS288" s="701" t="n"/>
      <c r="CT288" s="701" t="n"/>
      <c r="CU288" s="701" t="n"/>
      <c r="CV288" s="701" t="n"/>
      <c r="CW288" s="30" t="n"/>
    </row>
    <row r="289" ht="12.75" customHeight="1" s="1676">
      <c r="A289" s="31" t="n"/>
      <c r="B289" s="270" t="inlineStr">
        <is>
          <t>Text_247</t>
        </is>
      </c>
      <c r="C289" s="699" t="n"/>
      <c r="D289" s="1751" t="n"/>
      <c r="E289" s="1751" t="n"/>
      <c r="F289" s="1751" t="n"/>
      <c r="G289" s="1751" t="n"/>
      <c r="H289" s="1745" t="n"/>
      <c r="I289" s="1751" t="n"/>
      <c r="J289" s="1751" t="n"/>
      <c r="K289" s="1751" t="n"/>
      <c r="L289" s="1751" t="n"/>
      <c r="M289" s="1745">
        <f t="array" ref="M289">M286+M249+M247+M288</f>
        <v/>
      </c>
      <c r="N289" s="1751" t="n"/>
      <c r="O289" s="1751" t="n"/>
      <c r="P289" s="1751" t="n"/>
      <c r="Q289" s="1751" t="n"/>
      <c r="R289" s="1745">
        <f t="array" ref="R289">R286+R249+R247+R288</f>
        <v/>
      </c>
      <c r="S289" s="1751" t="n"/>
      <c r="T289" s="1751" t="n"/>
      <c r="U289" s="1751" t="n"/>
      <c r="V289" s="1751" t="n"/>
      <c r="W289" s="1745">
        <f t="array" ref="W289">W286+W249+W247+W288</f>
        <v/>
      </c>
      <c r="X289" s="1751" t="n"/>
      <c r="Y289" s="1751" t="n"/>
      <c r="Z289" s="1751" t="n"/>
      <c r="AA289" s="1745" t="n"/>
      <c r="AB289" s="1745">
        <f t="array" ref="AB289">AB286+AB249+AB247+AB288</f>
        <v/>
      </c>
      <c r="AC289" s="1745" t="n">
        <v>0</v>
      </c>
      <c r="AD289" s="1745" t="n">
        <v>0</v>
      </c>
      <c r="AE289" s="1745" t="n">
        <v>0</v>
      </c>
      <c r="AF289" s="1745" t="n">
        <v>0</v>
      </c>
      <c r="AG289" s="1745">
        <f t="array" ref="AG289">AG286+AG249+AG247+AG288</f>
        <v/>
      </c>
      <c r="AH289" s="1745">
        <f t="array" ref="AH289">AH286+AH249+AH247+AH288</f>
        <v/>
      </c>
      <c r="AI289" s="1745">
        <f t="array" ref="AI289">AI286+AI249+AI247+AI288</f>
        <v/>
      </c>
      <c r="AJ289" s="1745">
        <f t="array" ref="AJ289">AJ286+AJ249+AJ247+AJ288</f>
        <v/>
      </c>
      <c r="AK289" s="1745">
        <f t="array" ref="AK289">AK286+AK249+AK247+AK288</f>
        <v/>
      </c>
      <c r="AL289" s="1745">
        <f t="array" ref="AL289">AL286+AL249+AL247+AL288</f>
        <v/>
      </c>
      <c r="AM289" s="1745">
        <f t="array" ref="AM289">AM286+AM249+AM247+AM288</f>
        <v/>
      </c>
      <c r="AN289" s="1745">
        <f t="array" ref="AN289">AN286+AN249+AN247+AN288</f>
        <v/>
      </c>
      <c r="AO289" s="1745">
        <f t="array" ref="AO289">AO286+AO249+AO247+AO288</f>
        <v/>
      </c>
      <c r="AP289" s="1745">
        <f t="array" ref="AP289">AP286+AP249+AP247+AP288</f>
        <v/>
      </c>
      <c r="AQ289" s="1745">
        <f t="array" ref="AQ289">AQ286+AQ249+AQ247+AQ288</f>
        <v/>
      </c>
      <c r="AR289" s="1745">
        <f t="array" ref="AR289">AR286+AR249+AR247+AR288</f>
        <v/>
      </c>
      <c r="AS289" s="1745">
        <f t="array" ref="AS289">AS286+AS249+AS247+AS288</f>
        <v/>
      </c>
      <c r="AT289" s="1745">
        <f t="array" ref="AT289">AT286+AT249+AT247+AT288</f>
        <v/>
      </c>
      <c r="AU289" s="1745">
        <f t="array" ref="AU289">AU286+AU249+AU247+AU288</f>
        <v/>
      </c>
      <c r="AV289" s="1745">
        <f t="array" ref="AV289">AV286+AV249+AV247+AV288</f>
        <v/>
      </c>
      <c r="AW289" s="1873">
        <f t="array" ref="AW289">AW286+AW249+AW247+AW288</f>
        <v/>
      </c>
      <c r="AX289" s="1874">
        <f t="array" ref="AX289">AX286+AX249+AX247+AX288</f>
        <v/>
      </c>
      <c r="AY289" s="1874">
        <f t="array" ref="AY289">AY286+AY249+AY247+AY288</f>
        <v/>
      </c>
      <c r="AZ289" s="1874">
        <f t="array" ref="AZ289">AZ286+AZ249+AZ247+AZ288</f>
        <v/>
      </c>
      <c r="BA289" s="1748">
        <f t="array" ref="BA289">BA286+BA249+BA247+BA288</f>
        <v/>
      </c>
      <c r="BB289" s="1873">
        <f t="array" ref="BB289">BB286+BB249+BB247+BB288</f>
        <v/>
      </c>
      <c r="BC289" s="1874">
        <f t="array" ref="BC289">BC286+BC249+BC247+BC288</f>
        <v/>
      </c>
      <c r="BD289" s="1750" t="n"/>
      <c r="BE289" s="1750" t="n"/>
      <c r="BF289" s="1748">
        <f t="array" ref="BF289">BF286+BF249+BF247+BF288</f>
        <v/>
      </c>
      <c r="BG289" s="1751" t="n"/>
      <c r="BH289" s="1751" t="n"/>
      <c r="BI289" s="1751" t="n"/>
      <c r="BJ289" s="1751" t="n"/>
      <c r="BK289" s="1745">
        <f t="array" ref="BK289">BK286+BK249+BK247+BK288</f>
        <v/>
      </c>
      <c r="BL289" s="1751" t="n"/>
      <c r="BM289" s="1751" t="n"/>
      <c r="BN289" s="1751" t="n"/>
      <c r="BO289" s="1751" t="n"/>
      <c r="BP289" s="1745">
        <f t="array" ref="BP289">BP286+BP249+BP247+BP288</f>
        <v/>
      </c>
      <c r="BQ289" s="1751" t="n"/>
      <c r="BR289" s="1751" t="n"/>
      <c r="BS289" s="1751" t="n"/>
      <c r="BT289" s="1751" t="n"/>
      <c r="BU289" s="1745">
        <f t="array" ref="BU289">BU286+BU249+BU247+BU288</f>
        <v/>
      </c>
      <c r="BV289" s="1751" t="n"/>
      <c r="BW289" s="1751" t="n"/>
      <c r="BX289" s="1751" t="n"/>
      <c r="BY289" s="1751" t="n"/>
      <c r="BZ289" s="1745">
        <f t="array" ref="BZ289">BZ286+BZ249+BZ247+BZ288</f>
        <v/>
      </c>
      <c r="CA289" s="577" t="n"/>
      <c r="CB289" s="456" t="n"/>
      <c r="CC289" s="701" t="n"/>
      <c r="CD289" s="701" t="n"/>
      <c r="CE289" s="701" t="n"/>
      <c r="CF289" s="701" t="n"/>
      <c r="CG289" s="701" t="n"/>
      <c r="CH289" s="701" t="n"/>
      <c r="CI289" s="701" t="n"/>
      <c r="CJ289" s="701" t="n"/>
      <c r="CK289" s="701" t="n"/>
      <c r="CL289" s="701" t="n"/>
      <c r="CM289" s="701" t="n"/>
      <c r="CN289" s="701" t="n"/>
      <c r="CO289" s="701" t="n"/>
      <c r="CP289" s="701" t="n"/>
      <c r="CQ289" s="701" t="n"/>
      <c r="CR289" s="701" t="n"/>
      <c r="CS289" s="701" t="n"/>
      <c r="CT289" s="701" t="n"/>
      <c r="CU289" s="701" t="n"/>
      <c r="CV289" s="701" t="n"/>
      <c r="CW289" s="30" t="n"/>
    </row>
    <row r="290" ht="12.75" customHeight="1" s="1676">
      <c r="A290" s="31" t="n"/>
      <c r="B290" s="183" t="inlineStr">
        <is>
          <t>Text_248</t>
        </is>
      </c>
      <c r="C290" s="699" t="n"/>
      <c r="D290" s="1713" t="n"/>
      <c r="E290" s="1713" t="n"/>
      <c r="F290" s="1713" t="n"/>
      <c r="G290" s="1713" t="n"/>
      <c r="H290" s="1714" t="n"/>
      <c r="I290" s="1761" t="n">
        <v>30.7546445145115</v>
      </c>
      <c r="J290" s="1761" t="n">
        <v>36.9226066457032</v>
      </c>
      <c r="K290" s="1761" t="n">
        <v>36.1199623501775</v>
      </c>
      <c r="L290" s="1761" t="n">
        <v>57.6362341120026</v>
      </c>
      <c r="M290" s="1797" t="n">
        <v>-125.596335850833</v>
      </c>
      <c r="N290" s="1797" t="n">
        <v>52.3867025514746</v>
      </c>
      <c r="O290" s="1797" t="n">
        <v>76.7900005049415</v>
      </c>
      <c r="P290" s="1797" t="n">
        <v>60.1517275684425</v>
      </c>
      <c r="Q290" s="1797" t="n">
        <v>82.0922226331776</v>
      </c>
      <c r="R290" s="1797" t="n">
        <v>-257.242829004164</v>
      </c>
      <c r="S290" s="1797" t="n">
        <v>57.0364197982285</v>
      </c>
      <c r="T290" s="1797" t="n">
        <v>529.417397246371</v>
      </c>
      <c r="U290" s="1797" t="n">
        <v>66.4724872062813</v>
      </c>
      <c r="V290" s="1797" t="n">
        <v>61.3349032689556</v>
      </c>
      <c r="W290" s="1797" t="n">
        <v>-556.425533657683</v>
      </c>
      <c r="X290" s="1797" t="n">
        <v>29.578148643828</v>
      </c>
      <c r="Y290" s="1797" t="n">
        <v>54.8875134546399</v>
      </c>
      <c r="Z290" s="1797" t="n">
        <v>25.5786303049806</v>
      </c>
      <c r="AA290" s="1797" t="n">
        <v>13.2670557309184</v>
      </c>
      <c r="AB290" s="1797" t="n">
        <v>-117.920706915679</v>
      </c>
      <c r="AC290" s="1797" t="n">
        <v>24.5111413364499</v>
      </c>
      <c r="AD290" s="1797" t="n">
        <v>46.6378360200283</v>
      </c>
      <c r="AE290" s="1797" t="n">
        <v>43.7811961622903</v>
      </c>
      <c r="AF290" s="1797" t="n">
        <v>-4.70186958650933</v>
      </c>
      <c r="AG290" s="1797" t="n">
        <v>-86.29079558021409</v>
      </c>
      <c r="AH290" s="1761" t="n">
        <v>55.9599045065772</v>
      </c>
      <c r="AI290" s="1761" t="n">
        <v>81.3177458191346</v>
      </c>
      <c r="AJ290" s="1761" t="n">
        <v>77.5042652972715</v>
      </c>
      <c r="AK290" s="1761" t="n">
        <v>69.2949784089959</v>
      </c>
      <c r="AL290" s="1797" t="n">
        <v>-318.878957747582</v>
      </c>
      <c r="AM290" s="1797" t="n">
        <v>345.810298636504</v>
      </c>
      <c r="AN290" s="1797" t="n">
        <v>-238.410377739872</v>
      </c>
      <c r="AO290" s="1797" t="n">
        <v>-135.000352180829</v>
      </c>
      <c r="AP290" s="1797" t="n">
        <v>-130.000252580815</v>
      </c>
      <c r="AQ290" s="1973">
        <f t="array" ref="AQ290">AP290+AO290+AN290+AM290</f>
        <v/>
      </c>
      <c r="AR290" s="1797" t="n">
        <v>-48.4479633253891</v>
      </c>
      <c r="AS290" s="1797" t="n">
        <v>-161.58658143339</v>
      </c>
      <c r="AT290" s="1797" t="n">
        <v>-116.915273268213</v>
      </c>
      <c r="AU290" s="1797" t="n">
        <v>-99.1555340005948</v>
      </c>
      <c r="AV290" s="1973">
        <f t="array" ref="AV290">AU290+AT290+AS290+AR290</f>
        <v/>
      </c>
      <c r="AW290" s="1975" t="n">
        <v>-122.536842182797</v>
      </c>
      <c r="AX290" s="1854" t="n">
        <v>-115.528165432836</v>
      </c>
      <c r="AY290" s="1854" t="n">
        <v>-87.5038944729252</v>
      </c>
      <c r="AZ290" s="1854" t="n">
        <v>-110.55291532458</v>
      </c>
      <c r="BA290" s="2003">
        <f t="array" ref="BA290">AZ290+AY290+AX290+AW290</f>
        <v/>
      </c>
      <c r="BB290" s="1975" t="n">
        <v>-158.588635807791</v>
      </c>
      <c r="BC290" s="1854" t="n">
        <v>-173.895723447083</v>
      </c>
      <c r="BD290" s="1724" t="n"/>
      <c r="BE290" s="1724" t="n"/>
      <c r="BF290" s="2003">
        <f t="array" ref="BF290">-BF291*BF289</f>
        <v/>
      </c>
      <c r="BG290" s="1713" t="n"/>
      <c r="BH290" s="1713" t="n"/>
      <c r="BI290" s="1713" t="n"/>
      <c r="BJ290" s="1713" t="n"/>
      <c r="BK290" s="1973">
        <f t="array" ref="BK290">-BK291*BK289</f>
        <v/>
      </c>
      <c r="BL290" s="1713" t="n"/>
      <c r="BM290" s="1713" t="n"/>
      <c r="BN290" s="1713" t="n"/>
      <c r="BO290" s="1713" t="n"/>
      <c r="BP290" s="1973">
        <f t="array" ref="BP290">-BP291*BP289</f>
        <v/>
      </c>
      <c r="BQ290" s="1713" t="n"/>
      <c r="BR290" s="1713" t="n"/>
      <c r="BS290" s="1713" t="n"/>
      <c r="BT290" s="1713" t="n"/>
      <c r="BU290" s="1973">
        <f t="array" ref="BU290">-BU291*BU289</f>
        <v/>
      </c>
      <c r="BV290" s="1713" t="n"/>
      <c r="BW290" s="1713" t="n"/>
      <c r="BX290" s="1713" t="n"/>
      <c r="BY290" s="1713" t="n"/>
      <c r="BZ290" s="1973">
        <f t="array" ref="BZ290">-BZ291*BZ289</f>
        <v/>
      </c>
      <c r="CA290" s="577" t="n"/>
      <c r="CB290" s="456" t="n"/>
      <c r="CC290" s="701" t="n"/>
      <c r="CD290" s="701" t="n"/>
      <c r="CE290" s="701" t="n"/>
      <c r="CF290" s="701" t="n"/>
      <c r="CG290" s="701" t="n"/>
      <c r="CH290" s="701" t="n"/>
      <c r="CI290" s="701" t="n"/>
      <c r="CJ290" s="701" t="n"/>
      <c r="CK290" s="701" t="n"/>
      <c r="CL290" s="701" t="n"/>
      <c r="CM290" s="701" t="n"/>
      <c r="CN290" s="701" t="n"/>
      <c r="CO290" s="701" t="n"/>
      <c r="CP290" s="701" t="n"/>
      <c r="CQ290" s="701" t="n"/>
      <c r="CR290" s="701" t="n"/>
      <c r="CS290" s="701" t="n"/>
      <c r="CT290" s="701" t="n"/>
      <c r="CU290" s="701" t="n"/>
      <c r="CV290" s="701" t="n"/>
      <c r="CW290" s="30" t="n"/>
    </row>
    <row r="291" ht="12.75" customHeight="1" s="1676">
      <c r="A291" s="31" t="n"/>
      <c r="B291" s="103" t="inlineStr">
        <is>
          <t>Text_249</t>
        </is>
      </c>
      <c r="C291" s="699" t="n"/>
      <c r="D291" s="1751" t="n"/>
      <c r="E291" s="1751" t="n"/>
      <c r="F291" s="1751" t="n"/>
      <c r="G291" s="1751" t="n"/>
      <c r="H291" s="1751" t="n"/>
      <c r="I291" s="1751" t="n"/>
      <c r="J291" s="1751" t="n"/>
      <c r="K291" s="1751" t="n"/>
      <c r="L291" s="1751" t="n"/>
      <c r="M291" s="1751">
        <f t="array" ref="M291">-M290/M289</f>
        <v/>
      </c>
      <c r="N291" s="1751" t="n"/>
      <c r="O291" s="1751" t="n"/>
      <c r="P291" s="1751" t="n"/>
      <c r="Q291" s="1751" t="n"/>
      <c r="R291" s="1751">
        <f t="array" ref="R291">-R290/R289</f>
        <v/>
      </c>
      <c r="S291" s="1751" t="n"/>
      <c r="T291" s="1751" t="n"/>
      <c r="U291" s="1751" t="n"/>
      <c r="V291" s="1751" t="n"/>
      <c r="W291" s="1751">
        <f t="array" ref="W291">-W290/W289</f>
        <v/>
      </c>
      <c r="X291" s="1751" t="n"/>
      <c r="Y291" s="1751" t="n"/>
      <c r="Z291" s="1751" t="n"/>
      <c r="AA291" s="1751" t="n"/>
      <c r="AB291" s="1751">
        <f t="array" ref="AB291">-AB290/AB289</f>
        <v/>
      </c>
      <c r="AC291" s="1751">
        <f t="array" ref="AC291">-AC290/AC289</f>
        <v/>
      </c>
      <c r="AD291" s="1751">
        <f t="array" ref="AD291">-AD290/AD289</f>
        <v/>
      </c>
      <c r="AE291" s="1751">
        <f t="array" ref="AE291">-AE290/AE289</f>
        <v/>
      </c>
      <c r="AF291" s="1751">
        <f t="array" ref="AF291">-AF290/AF289</f>
        <v/>
      </c>
      <c r="AG291" s="1751">
        <f t="array" ref="AG291">-AG290/AG289</f>
        <v/>
      </c>
      <c r="AH291" s="1751">
        <f t="array" ref="AH291">-AH290/AH289</f>
        <v/>
      </c>
      <c r="AI291" s="1751">
        <f t="array" ref="AI291">-AI290/AI289</f>
        <v/>
      </c>
      <c r="AJ291" s="1751">
        <f t="array" ref="AJ291">-AJ290/AJ289</f>
        <v/>
      </c>
      <c r="AK291" s="1751">
        <f t="array" ref="AK291">-AK290/AK289</f>
        <v/>
      </c>
      <c r="AL291" s="1751">
        <f t="array" ref="AL291">-AL290/AL289</f>
        <v/>
      </c>
      <c r="AM291" s="1751">
        <f t="array" ref="AM291">-AM290/AM289</f>
        <v/>
      </c>
      <c r="AN291" s="1751">
        <f t="array" ref="AN291">-AN290/AN289</f>
        <v/>
      </c>
      <c r="AO291" s="1751">
        <f t="array" ref="AO291">-AO290/AO289</f>
        <v/>
      </c>
      <c r="AP291" s="1751">
        <f t="array" ref="AP291">-AP290/AP289</f>
        <v/>
      </c>
      <c r="AQ291" s="1751">
        <f t="array" ref="AQ291">-AQ290/AQ289</f>
        <v/>
      </c>
      <c r="AR291" s="1751">
        <f t="array" ref="AR291">-AR290/AR289</f>
        <v/>
      </c>
      <c r="AS291" s="1751">
        <f t="array" ref="AS291">-AS290/AS289</f>
        <v/>
      </c>
      <c r="AT291" s="1751">
        <f t="array" ref="AT291">-AT290/AT289</f>
        <v/>
      </c>
      <c r="AU291" s="1751">
        <f t="array" ref="AU291">-AU290/AU289</f>
        <v/>
      </c>
      <c r="AV291" s="1751">
        <f t="array" ref="AV291">-AV290/AV289</f>
        <v/>
      </c>
      <c r="AW291" s="1749">
        <f t="array" ref="AW291">-AW290/AW289</f>
        <v/>
      </c>
      <c r="AX291" s="1750">
        <f t="array" ref="AX291">-AX290/AX289</f>
        <v/>
      </c>
      <c r="AY291" s="1750">
        <f t="array" ref="AY291">-AY290/AY289</f>
        <v/>
      </c>
      <c r="AZ291" s="1750">
        <f t="array" ref="AZ291">-AZ290/AZ289</f>
        <v/>
      </c>
      <c r="BA291" s="1784">
        <f t="array" ref="BA291">-BA290/BA289</f>
        <v/>
      </c>
      <c r="BB291" s="1749">
        <f t="array" ref="BB291">-BB290/BB289</f>
        <v/>
      </c>
      <c r="BC291" s="1750">
        <f t="array" ref="BC291">-BC290/BC289</f>
        <v/>
      </c>
      <c r="BD291" s="1750" t="n"/>
      <c r="BE291" s="1750" t="n"/>
      <c r="BF291" s="2080">
        <f t="array" ref="BF291">BA291/BA252*BF252</f>
        <v/>
      </c>
      <c r="BG291" s="1751" t="n"/>
      <c r="BH291" s="1751" t="n"/>
      <c r="BI291" s="1751" t="n"/>
      <c r="BJ291" s="1751" t="n"/>
      <c r="BK291" s="2081">
        <f t="array" ref="BK291">BF291/BF252*BK252</f>
        <v/>
      </c>
      <c r="BL291" s="1751" t="n"/>
      <c r="BM291" s="1751" t="n"/>
      <c r="BN291" s="1751" t="n"/>
      <c r="BO291" s="1751" t="n"/>
      <c r="BP291" s="2081">
        <f t="array" ref="BP291">BK291/BK252*BP252</f>
        <v/>
      </c>
      <c r="BQ291" s="1751" t="n"/>
      <c r="BR291" s="1751" t="n"/>
      <c r="BS291" s="1751" t="n"/>
      <c r="BT291" s="1751" t="n"/>
      <c r="BU291" s="2081">
        <f t="array" ref="BU291">BP291/BP252*BU252</f>
        <v/>
      </c>
      <c r="BV291" s="1751" t="n"/>
      <c r="BW291" s="1751" t="n"/>
      <c r="BX291" s="1751" t="n"/>
      <c r="BY291" s="1751" t="n"/>
      <c r="BZ291" s="2081">
        <f t="array" ref="BZ291">BU291/BU252*BZ252</f>
        <v/>
      </c>
      <c r="CA291" s="681" t="n"/>
      <c r="CB291" s="456" t="n"/>
      <c r="CC291" s="701" t="n"/>
      <c r="CD291" s="701" t="n"/>
      <c r="CE291" s="701" t="n"/>
      <c r="CF291" s="701" t="n"/>
      <c r="CG291" s="701" t="n"/>
      <c r="CH291" s="701" t="n"/>
      <c r="CI291" s="701" t="n"/>
      <c r="CJ291" s="701" t="n"/>
      <c r="CK291" s="701" t="n"/>
      <c r="CL291" s="701" t="n"/>
      <c r="CM291" s="701" t="n"/>
      <c r="CN291" s="701" t="n"/>
      <c r="CO291" s="701" t="n"/>
      <c r="CP291" s="701" t="n"/>
      <c r="CQ291" s="701" t="n"/>
      <c r="CR291" s="701" t="n"/>
      <c r="CS291" s="701" t="n"/>
      <c r="CT291" s="701" t="n"/>
      <c r="CU291" s="701" t="n"/>
      <c r="CV291" s="701" t="n"/>
      <c r="CW291" s="30" t="n"/>
    </row>
    <row r="292" ht="12.75" customHeight="1" s="1676">
      <c r="A292" s="31" t="n"/>
      <c r="B292" s="270" t="inlineStr">
        <is>
          <t>Text_250</t>
        </is>
      </c>
      <c r="C292" s="699" t="n"/>
      <c r="D292" s="699" t="n"/>
      <c r="E292" s="699" t="n"/>
      <c r="F292" s="699" t="n"/>
      <c r="G292" s="699" t="n"/>
      <c r="H292" s="699" t="n"/>
      <c r="I292" s="699" t="n"/>
      <c r="J292" s="699" t="n"/>
      <c r="K292" s="699" t="n"/>
      <c r="L292" s="699" t="n"/>
      <c r="M292" s="1745">
        <f t="array" ref="M292">M290+M289+M255</f>
        <v/>
      </c>
      <c r="N292" s="699" t="n"/>
      <c r="O292" s="699" t="n"/>
      <c r="P292" s="699" t="n"/>
      <c r="Q292" s="699" t="n"/>
      <c r="R292" s="1745">
        <f t="array" ref="R292">R290+R289+R255</f>
        <v/>
      </c>
      <c r="S292" s="699" t="n"/>
      <c r="T292" s="699" t="n"/>
      <c r="U292" s="699" t="n"/>
      <c r="V292" s="699" t="n"/>
      <c r="W292" s="1745">
        <f t="array" ref="W292">W290+W289+W255</f>
        <v/>
      </c>
      <c r="X292" s="699" t="n"/>
      <c r="Y292" s="699" t="n"/>
      <c r="Z292" s="699" t="n"/>
      <c r="AA292" s="699" t="n"/>
      <c r="AB292" s="1745">
        <f t="array" ref="AB292">AB290+AB289+AB255</f>
        <v/>
      </c>
      <c r="AC292" s="1745">
        <f t="array" ref="AC292">AC290+AC289+AC255</f>
        <v/>
      </c>
      <c r="AD292" s="1745">
        <f t="array" ref="AD292">AD290+AD289+AD255</f>
        <v/>
      </c>
      <c r="AE292" s="1745">
        <f t="array" ref="AE292">AE290+AE289+AE255</f>
        <v/>
      </c>
      <c r="AF292" s="1745">
        <f t="array" ref="AF292">AF290+AF289+AF255</f>
        <v/>
      </c>
      <c r="AG292" s="1745">
        <f t="array" ref="AG292">AG290+AG289+AG255</f>
        <v/>
      </c>
      <c r="AH292" s="1745">
        <f t="array" ref="AH292">AH290+AH289+AH255</f>
        <v/>
      </c>
      <c r="AI292" s="1745">
        <f t="array" ref="AI292">AI290+AI289+AI255</f>
        <v/>
      </c>
      <c r="AJ292" s="1745">
        <f t="array" ref="AJ292">AJ290+AJ289+AJ255</f>
        <v/>
      </c>
      <c r="AK292" s="1745">
        <f t="array" ref="AK292">AK290+AK289+AK255</f>
        <v/>
      </c>
      <c r="AL292" s="1745">
        <f t="array" ref="AL292">AL290+AL289+AL255</f>
        <v/>
      </c>
      <c r="AM292" s="1745">
        <f t="array" ref="AM292">AM290+AM289+AM255</f>
        <v/>
      </c>
      <c r="AN292" s="1745">
        <f t="array" ref="AN292">AN290+AN289+AN255</f>
        <v/>
      </c>
      <c r="AO292" s="1745">
        <f t="array" ref="AO292">AO290+AO289+AO255</f>
        <v/>
      </c>
      <c r="AP292" s="1745">
        <f t="array" ref="AP292">AP290+AP289+AP255</f>
        <v/>
      </c>
      <c r="AQ292" s="1745">
        <f t="array" ref="AQ292">AQ290+AQ289+AQ255</f>
        <v/>
      </c>
      <c r="AR292" s="1745">
        <f t="array" ref="AR292">AR290+AR289+AR255</f>
        <v/>
      </c>
      <c r="AS292" s="1745">
        <f t="array" ref="AS292">AS290+AS289+AS255</f>
        <v/>
      </c>
      <c r="AT292" s="1745">
        <f t="array" ref="AT292">AT290+AT289+AT255</f>
        <v/>
      </c>
      <c r="AU292" s="1745">
        <f t="array" ref="AU292">AU290+AU289+AU255</f>
        <v/>
      </c>
      <c r="AV292" s="1745">
        <f t="array" ref="AV292">AV290+AV289+AV255</f>
        <v/>
      </c>
      <c r="AW292" s="1873">
        <f t="array" ref="AW292">AW290+AW289+AW255</f>
        <v/>
      </c>
      <c r="AX292" s="1874">
        <f t="array" ref="AX292">AX290+AX289+AX255</f>
        <v/>
      </c>
      <c r="AY292" s="1874">
        <f t="array" ref="AY292">AY290+AY289+AY255</f>
        <v/>
      </c>
      <c r="AZ292" s="1874">
        <f t="array" ref="AZ292">AZ290+AZ289+AZ255</f>
        <v/>
      </c>
      <c r="BA292" s="1748">
        <f t="array" ref="BA292">BA290+BA289+BA255</f>
        <v/>
      </c>
      <c r="BB292" s="1873">
        <f t="array" ref="BB292">BB290+BB289+BB255</f>
        <v/>
      </c>
      <c r="BC292" s="1874">
        <f t="array" ref="BC292">BC290+BC289+BC255</f>
        <v/>
      </c>
      <c r="BD292" s="701" t="n"/>
      <c r="BE292" s="701" t="n"/>
      <c r="BF292" s="1748">
        <f t="array" ref="BF292">BF290+BF289+BF255</f>
        <v/>
      </c>
      <c r="BG292" s="699" t="n"/>
      <c r="BH292" s="699" t="n"/>
      <c r="BI292" s="699" t="n"/>
      <c r="BJ292" s="699" t="n"/>
      <c r="BK292" s="1745">
        <f t="array" ref="BK292">BK290+BK289+BK255</f>
        <v/>
      </c>
      <c r="BL292" s="699" t="n"/>
      <c r="BM292" s="699" t="n"/>
      <c r="BN292" s="699" t="n"/>
      <c r="BO292" s="699" t="n"/>
      <c r="BP292" s="1745">
        <f t="array" ref="BP292">BP290+BP289+BP255</f>
        <v/>
      </c>
      <c r="BQ292" s="699" t="n"/>
      <c r="BR292" s="699" t="n"/>
      <c r="BS292" s="699" t="n"/>
      <c r="BT292" s="699" t="n"/>
      <c r="BU292" s="1745">
        <f t="array" ref="BU292">BU290+BU289+BU255</f>
        <v/>
      </c>
      <c r="BV292" s="699" t="n"/>
      <c r="BW292" s="699" t="n"/>
      <c r="BX292" s="699" t="n"/>
      <c r="BY292" s="699" t="n"/>
      <c r="BZ292" s="1745">
        <f t="array" ref="BZ292">BZ290+BZ289+BZ255</f>
        <v/>
      </c>
      <c r="CA292" s="545" t="n"/>
      <c r="CB292" s="98" t="n"/>
      <c r="CC292" s="701" t="n"/>
      <c r="CD292" s="701" t="n"/>
      <c r="CE292" s="701" t="n"/>
      <c r="CF292" s="701" t="n"/>
      <c r="CG292" s="701" t="n"/>
      <c r="CH292" s="701" t="n"/>
      <c r="CI292" s="701" t="n"/>
      <c r="CJ292" s="701" t="n"/>
      <c r="CK292" s="701" t="n"/>
      <c r="CL292" s="701" t="n"/>
      <c r="CM292" s="701" t="n"/>
      <c r="CN292" s="701" t="n"/>
      <c r="CO292" s="701" t="n"/>
      <c r="CP292" s="701" t="n"/>
      <c r="CQ292" s="701" t="n"/>
      <c r="CR292" s="701" t="n"/>
      <c r="CS292" s="701" t="n"/>
      <c r="CT292" s="701" t="n"/>
      <c r="CU292" s="701" t="n"/>
      <c r="CV292" s="701" t="n"/>
      <c r="CW292" s="30" t="n"/>
    </row>
    <row r="293" ht="12.75" customHeight="1" s="1676">
      <c r="A293" s="31" t="n"/>
      <c r="B293" s="522" t="inlineStr">
        <is>
          <t>Text_251</t>
        </is>
      </c>
      <c r="C293" s="699" t="n"/>
      <c r="D293" s="699" t="n"/>
      <c r="E293" s="699" t="n"/>
      <c r="F293" s="699" t="n"/>
      <c r="G293" s="699" t="n"/>
      <c r="H293" s="699" t="n"/>
      <c r="I293" s="699" t="n"/>
      <c r="J293" s="699" t="n"/>
      <c r="K293" s="699" t="n"/>
      <c r="L293" s="699" t="n"/>
      <c r="M293" s="699" t="n"/>
      <c r="N293" s="699" t="n"/>
      <c r="O293" s="699" t="n"/>
      <c r="P293" s="699" t="n"/>
      <c r="Q293" s="699" t="n"/>
      <c r="R293" s="699" t="n"/>
      <c r="S293" s="699" t="n"/>
      <c r="T293" s="699" t="n"/>
      <c r="U293" s="699" t="n"/>
      <c r="V293" s="699" t="n"/>
      <c r="W293" s="1797" t="n"/>
      <c r="X293" s="699" t="n"/>
      <c r="Y293" s="699" t="n"/>
      <c r="Z293" s="699" t="n"/>
      <c r="AA293" s="699" t="n"/>
      <c r="AB293" s="1797" t="n"/>
      <c r="AC293" s="699" t="n"/>
      <c r="AD293" s="699" t="n"/>
      <c r="AE293" s="699" t="n"/>
      <c r="AF293" s="699" t="n"/>
      <c r="AG293" s="1797" t="n"/>
      <c r="AH293" s="1797" t="n"/>
      <c r="AI293" s="1797" t="n"/>
      <c r="AJ293" s="1797" t="n"/>
      <c r="AK293" s="1745" t="n"/>
      <c r="AL293" s="1797" t="n"/>
      <c r="AM293" s="1797" t="n"/>
      <c r="AN293" s="1797" t="n"/>
      <c r="AO293" s="1797" t="n"/>
      <c r="AP293" s="1745" t="n"/>
      <c r="AQ293" s="1797" t="n"/>
      <c r="AR293" s="1797" t="n"/>
      <c r="AS293" s="1797" t="n"/>
      <c r="AT293" s="1797" t="n"/>
      <c r="AU293" s="1745" t="n"/>
      <c r="AV293" s="1797" t="n"/>
      <c r="AW293" s="1762" t="n"/>
      <c r="AX293" s="1763" t="n"/>
      <c r="AY293" s="1763" t="n"/>
      <c r="AZ293" s="1763" t="n"/>
      <c r="BA293" s="1764" t="n"/>
      <c r="BB293" s="1762" t="n"/>
      <c r="BC293" s="1763" t="n"/>
      <c r="BD293" s="2082" t="n"/>
      <c r="BE293" s="2082" t="n"/>
      <c r="BF293" s="1764" t="n"/>
      <c r="BG293" s="2083" t="n"/>
      <c r="BH293" s="2083" t="n"/>
      <c r="BI293" s="2083" t="n"/>
      <c r="BJ293" s="2083" t="n"/>
      <c r="BK293" s="1761" t="n"/>
      <c r="BL293" s="2083" t="n"/>
      <c r="BM293" s="2083" t="n"/>
      <c r="BN293" s="2083" t="n"/>
      <c r="BO293" s="2083" t="n"/>
      <c r="BP293" s="1761" t="n"/>
      <c r="BQ293" s="2083" t="n"/>
      <c r="BR293" s="2083" t="n"/>
      <c r="BS293" s="2083" t="n"/>
      <c r="BT293" s="2083" t="n"/>
      <c r="BU293" s="1761" t="n"/>
      <c r="BV293" s="2083" t="n"/>
      <c r="BW293" s="2083" t="n"/>
      <c r="BX293" s="2083" t="n"/>
      <c r="BY293" s="2083" t="n"/>
      <c r="BZ293" s="1761" t="n"/>
      <c r="CA293" s="684" t="n"/>
      <c r="CB293" s="456" t="n"/>
      <c r="CC293" s="701" t="n"/>
      <c r="CD293" s="701" t="n"/>
      <c r="CE293" s="701" t="n"/>
      <c r="CF293" s="701" t="n"/>
      <c r="CG293" s="701" t="n"/>
      <c r="CH293" s="701" t="n"/>
      <c r="CI293" s="701" t="n"/>
      <c r="CJ293" s="701" t="n"/>
      <c r="CK293" s="701" t="n"/>
      <c r="CL293" s="701" t="n"/>
      <c r="CM293" s="701" t="n"/>
      <c r="CN293" s="701" t="n"/>
      <c r="CO293" s="701" t="n"/>
      <c r="CP293" s="701" t="n"/>
      <c r="CQ293" s="701" t="n"/>
      <c r="CR293" s="701" t="n"/>
      <c r="CS293" s="701" t="n"/>
      <c r="CT293" s="701" t="n"/>
      <c r="CU293" s="701" t="n"/>
      <c r="CV293" s="701" t="n"/>
      <c r="CW293" s="30" t="n"/>
    </row>
    <row r="294" ht="14.25" customHeight="1" s="1676">
      <c r="A294" s="31" t="n"/>
      <c r="B294" s="277" t="inlineStr">
        <is>
          <t>Text_252</t>
        </is>
      </c>
      <c r="C294" s="805" t="n"/>
      <c r="D294" s="1956" t="n"/>
      <c r="E294" s="1956" t="n"/>
      <c r="F294" s="1956" t="n"/>
      <c r="G294" s="1956" t="n"/>
      <c r="H294" s="2084" t="n"/>
      <c r="I294" s="1956" t="n"/>
      <c r="J294" s="1956" t="n"/>
      <c r="K294" s="1956" t="n"/>
      <c r="L294" s="1956" t="n"/>
      <c r="M294" s="2084">
        <f t="array" ref="M294">M293+M292</f>
        <v/>
      </c>
      <c r="N294" s="1956" t="n"/>
      <c r="O294" s="1956" t="n"/>
      <c r="P294" s="1956" t="n"/>
      <c r="Q294" s="1956" t="n"/>
      <c r="R294" s="2084">
        <f t="array" ref="R294">R293+R292</f>
        <v/>
      </c>
      <c r="S294" s="1956" t="n"/>
      <c r="T294" s="1956" t="n"/>
      <c r="U294" s="1956" t="n"/>
      <c r="V294" s="1956" t="n"/>
      <c r="W294" s="2084">
        <f t="array" ref="W294">W293+W292</f>
        <v/>
      </c>
      <c r="X294" s="1956" t="n"/>
      <c r="Y294" s="1956" t="n"/>
      <c r="Z294" s="1956" t="n"/>
      <c r="AA294" s="2084" t="n"/>
      <c r="AB294" s="2084">
        <f t="array" ref="AB294">AB293+AB292</f>
        <v/>
      </c>
      <c r="AC294" s="2084">
        <f t="array" ref="AC294">AC290+AC289+AC255+AC293</f>
        <v/>
      </c>
      <c r="AD294" s="2084">
        <f t="array" ref="AD294">AD290+AD289+AD255+AD293</f>
        <v/>
      </c>
      <c r="AE294" s="2084">
        <f t="array" ref="AE294">AE290+AE289+AE255+AE293</f>
        <v/>
      </c>
      <c r="AF294" s="2084">
        <f t="array" ref="AF294">AF290+AF289+AF255+AF293</f>
        <v/>
      </c>
      <c r="AG294" s="2084">
        <f t="array" ref="AG294">AG290+AG289+AG255+AG293</f>
        <v/>
      </c>
      <c r="AH294" s="2084">
        <f t="array" ref="AH294">AH290+AH289+AH255+AH293</f>
        <v/>
      </c>
      <c r="AI294" s="2084">
        <f t="array" ref="AI294">AI290+AI289+AI255+AI293</f>
        <v/>
      </c>
      <c r="AJ294" s="2084">
        <f t="array" ref="AJ294">AJ290+AJ289+AJ255+AJ293</f>
        <v/>
      </c>
      <c r="AK294" s="2084">
        <f t="array" ref="AK294">AK290+AK289+AK255+AK293</f>
        <v/>
      </c>
      <c r="AL294" s="2084">
        <f t="array" ref="AL294">AL290+AL289+AL255+AL293</f>
        <v/>
      </c>
      <c r="AM294" s="2084">
        <f t="array" ref="AM294">AM290+AM289+AM255+AM293</f>
        <v/>
      </c>
      <c r="AN294" s="2084">
        <f t="array" ref="AN294">AN290+AN289+AN255+AN293</f>
        <v/>
      </c>
      <c r="AO294" s="2084">
        <f t="array" ref="AO294">AO290+AO289+AO255+AO293</f>
        <v/>
      </c>
      <c r="AP294" s="2084">
        <f t="array" ref="AP294">AP290+AP289+AP255+AP293</f>
        <v/>
      </c>
      <c r="AQ294" s="2084">
        <f t="array" ref="AQ294">AQ290+AQ289+AQ255+AQ293</f>
        <v/>
      </c>
      <c r="AR294" s="2084">
        <f t="array" ref="AR294">AR290+AR289+AR255+AR293</f>
        <v/>
      </c>
      <c r="AS294" s="2084">
        <f t="array" ref="AS294">AS290+AS289+AS255+AS293</f>
        <v/>
      </c>
      <c r="AT294" s="2084">
        <f t="array" ref="AT294">AT290+AT289+AT255+AT293</f>
        <v/>
      </c>
      <c r="AU294" s="2084">
        <f t="array" ref="AU294">AU290+AU289+AU255+AU293</f>
        <v/>
      </c>
      <c r="AV294" s="2084">
        <f t="array" ref="AV294">AV290+AV289+AV255+AV293</f>
        <v/>
      </c>
      <c r="AW294" s="2085">
        <f t="array" ref="AW294">AW290+AW289+AW255+AW293</f>
        <v/>
      </c>
      <c r="AX294" s="2086">
        <f t="array" ref="AX294">AX290+AX289+AX255+AX293</f>
        <v/>
      </c>
      <c r="AY294" s="2086">
        <f t="array" ref="AY294">AY290+AY289+AY255+AY293</f>
        <v/>
      </c>
      <c r="AZ294" s="2086">
        <f t="array" ref="AZ294">AZ290+AZ289+AZ255+AZ293</f>
        <v/>
      </c>
      <c r="BA294" s="2087">
        <f t="array" ref="BA294">BA290+BA289+BA255+BA293</f>
        <v/>
      </c>
      <c r="BB294" s="2085">
        <f t="array" ref="BB294">BB290+BB289+BB255+BB293</f>
        <v/>
      </c>
      <c r="BC294" s="2086">
        <f t="array" ref="BC294">BC290+BC289+BC255+BC293</f>
        <v/>
      </c>
      <c r="BD294" s="1957" t="n"/>
      <c r="BE294" s="1957" t="n"/>
      <c r="BF294" s="2087">
        <f t="array" ref="BF294">BF290+BF289+BF255+BF293</f>
        <v/>
      </c>
      <c r="BG294" s="1956" t="n"/>
      <c r="BH294" s="1956" t="n"/>
      <c r="BI294" s="1956" t="n"/>
      <c r="BJ294" s="1956" t="n"/>
      <c r="BK294" s="2084">
        <f t="array" ref="BK294">BK293+BK292</f>
        <v/>
      </c>
      <c r="BL294" s="1956" t="n"/>
      <c r="BM294" s="1956" t="n"/>
      <c r="BN294" s="1956" t="n"/>
      <c r="BO294" s="1956" t="n"/>
      <c r="BP294" s="2084">
        <f t="array" ref="BP294">BP293+BP292</f>
        <v/>
      </c>
      <c r="BQ294" s="1956" t="n"/>
      <c r="BR294" s="1956" t="n"/>
      <c r="BS294" s="1956" t="n"/>
      <c r="BT294" s="1956" t="n"/>
      <c r="BU294" s="2084">
        <f t="array" ref="BU294">BU293+BU292</f>
        <v/>
      </c>
      <c r="BV294" s="1956" t="n"/>
      <c r="BW294" s="1956" t="n"/>
      <c r="BX294" s="1956" t="n"/>
      <c r="BY294" s="1956" t="n"/>
      <c r="BZ294" s="2084">
        <f t="array" ref="BZ294">BZ293+BZ292</f>
        <v/>
      </c>
      <c r="CA294" s="577" t="n"/>
      <c r="CB294" s="689" t="n"/>
      <c r="CC294" s="701" t="n"/>
      <c r="CD294" s="701" t="n"/>
      <c r="CE294" s="701" t="n"/>
      <c r="CF294" s="701" t="n"/>
      <c r="CG294" s="701" t="n"/>
      <c r="CH294" s="701" t="n"/>
      <c r="CI294" s="701" t="n"/>
      <c r="CJ294" s="701" t="n"/>
      <c r="CK294" s="701" t="n"/>
      <c r="CL294" s="701" t="n"/>
      <c r="CM294" s="701" t="n"/>
      <c r="CN294" s="701" t="n"/>
      <c r="CO294" s="701" t="n"/>
      <c r="CP294" s="701" t="n"/>
      <c r="CQ294" s="701" t="n"/>
      <c r="CR294" s="701" t="n"/>
      <c r="CS294" s="701" t="n"/>
      <c r="CT294" s="701" t="n"/>
      <c r="CU294" s="701" t="n"/>
      <c r="CV294" s="701" t="n"/>
      <c r="CW294" s="30" t="n"/>
    </row>
    <row r="295" ht="12.75" customHeight="1" s="1676">
      <c r="A295" s="31" t="n"/>
      <c r="B295" s="65" t="inlineStr">
        <is>
          <t>Text_253</t>
        </is>
      </c>
      <c r="C295" s="66" t="n"/>
      <c r="D295" s="1704" t="n"/>
      <c r="E295" s="1704" t="n"/>
      <c r="F295" s="1704" t="n"/>
      <c r="G295" s="1704" t="n"/>
      <c r="H295" s="1709" t="n"/>
      <c r="I295" s="1704" t="n"/>
      <c r="J295" s="1704" t="n"/>
      <c r="K295" s="1704" t="n"/>
      <c r="L295" s="1704" t="n"/>
      <c r="M295" s="1709">
        <f t="array" ref="M295">M294/M269</f>
        <v/>
      </c>
      <c r="N295" s="1704" t="n"/>
      <c r="O295" s="1704" t="n"/>
      <c r="P295" s="1704" t="n"/>
      <c r="Q295" s="1704" t="n"/>
      <c r="R295" s="1709">
        <f t="array" ref="R295">R294/R269</f>
        <v/>
      </c>
      <c r="S295" s="1704" t="n"/>
      <c r="T295" s="1704" t="n"/>
      <c r="U295" s="1704" t="n"/>
      <c r="V295" s="1704" t="n"/>
      <c r="W295" s="1709">
        <f t="array" ref="W295">W294/W269</f>
        <v/>
      </c>
      <c r="X295" s="1704" t="n"/>
      <c r="Y295" s="1704" t="n"/>
      <c r="Z295" s="1704" t="n"/>
      <c r="AA295" s="1709" t="n"/>
      <c r="AB295" s="1709">
        <f t="array" ref="AB295">AB294/AB269</f>
        <v/>
      </c>
      <c r="AC295" s="1709">
        <f t="array" ref="AC295">AC294/AC269</f>
        <v/>
      </c>
      <c r="AD295" s="1709">
        <f t="array" ref="AD295">AD294/AD269</f>
        <v/>
      </c>
      <c r="AE295" s="1709">
        <f t="array" ref="AE295">AE294/AE269</f>
        <v/>
      </c>
      <c r="AF295" s="1709">
        <f t="array" ref="AF295">AF294/AF269</f>
        <v/>
      </c>
      <c r="AG295" s="1709">
        <f t="array" ref="AG295">AG294/AG269</f>
        <v/>
      </c>
      <c r="AH295" s="1709">
        <f t="array" ref="AH295">AH294/AH269</f>
        <v/>
      </c>
      <c r="AI295" s="1709">
        <f t="array" ref="AI295">AI294/AI269</f>
        <v/>
      </c>
      <c r="AJ295" s="1709">
        <f t="array" ref="AJ295">AJ294/AJ269</f>
        <v/>
      </c>
      <c r="AK295" s="1709">
        <f t="array" ref="AK295">AK294/AK269</f>
        <v/>
      </c>
      <c r="AL295" s="1709">
        <f t="array" ref="AL295">AL294/AL269</f>
        <v/>
      </c>
      <c r="AM295" s="1709">
        <f t="array" ref="AM295">AM294/AM269</f>
        <v/>
      </c>
      <c r="AN295" s="1709">
        <f t="array" ref="AN295">AN294/AN269</f>
        <v/>
      </c>
      <c r="AO295" s="1709">
        <f t="array" ref="AO295">AO294/AO269</f>
        <v/>
      </c>
      <c r="AP295" s="1709">
        <f t="array" ref="AP295">AP294/AP269</f>
        <v/>
      </c>
      <c r="AQ295" s="1709">
        <f t="array" ref="AQ295">AQ294/AQ269</f>
        <v/>
      </c>
      <c r="AR295" s="1709">
        <f t="array" ref="AR295">AR294/AR269</f>
        <v/>
      </c>
      <c r="AS295" s="1709">
        <f t="array" ref="AS295">AS294/AS269</f>
        <v/>
      </c>
      <c r="AT295" s="1709">
        <f t="array" ref="AT295">AT294/AT269</f>
        <v/>
      </c>
      <c r="AU295" s="1709">
        <f t="array" ref="AU295">AU294/AU269</f>
        <v/>
      </c>
      <c r="AV295" s="1709">
        <f t="array" ref="AV295">AV294/AV269</f>
        <v/>
      </c>
      <c r="AW295" s="2047">
        <f t="array" ref="AW295">AW294/AW269</f>
        <v/>
      </c>
      <c r="AX295" s="2088">
        <f t="array" ref="AX295">AX294/AX269</f>
        <v/>
      </c>
      <c r="AY295" s="2088">
        <f t="array" ref="AY295">AY294/AY269</f>
        <v/>
      </c>
      <c r="AZ295" s="2088">
        <f t="array" ref="AZ295">AZ294/AZ269</f>
        <v/>
      </c>
      <c r="BA295" s="2048">
        <f t="array" ref="BA295">BA294/BA269</f>
        <v/>
      </c>
      <c r="BB295" s="2047">
        <f t="array" ref="BB295">BB294/BB269</f>
        <v/>
      </c>
      <c r="BC295" s="2088">
        <f t="array" ref="BC295">BC294/BC269</f>
        <v/>
      </c>
      <c r="BD295" s="1706" t="n"/>
      <c r="BE295" s="1706" t="n"/>
      <c r="BF295" s="2048">
        <f t="array" ref="BF295">BF294/BF269</f>
        <v/>
      </c>
      <c r="BG295" s="1704" t="n"/>
      <c r="BH295" s="1704" t="n"/>
      <c r="BI295" s="1704" t="n"/>
      <c r="BJ295" s="1704" t="n"/>
      <c r="BK295" s="1709">
        <f t="array" ref="BK295">BK294/BK269</f>
        <v/>
      </c>
      <c r="BL295" s="1704" t="n"/>
      <c r="BM295" s="1704" t="n"/>
      <c r="BN295" s="1704" t="n"/>
      <c r="BO295" s="1704" t="n"/>
      <c r="BP295" s="1709">
        <f t="array" ref="BP295">BP294/BP269</f>
        <v/>
      </c>
      <c r="BQ295" s="1704" t="n"/>
      <c r="BR295" s="1704" t="n"/>
      <c r="BS295" s="1704" t="n"/>
      <c r="BT295" s="1704" t="n"/>
      <c r="BU295" s="1709">
        <f t="array" ref="BU295">BU294/BU269</f>
        <v/>
      </c>
      <c r="BV295" s="1704" t="n"/>
      <c r="BW295" s="1704" t="n"/>
      <c r="BX295" s="1704" t="n"/>
      <c r="BY295" s="1704" t="n"/>
      <c r="BZ295" s="1709">
        <f t="array" ref="BZ295">BZ294/BZ269</f>
        <v/>
      </c>
      <c r="CA295" s="577" t="n"/>
      <c r="CB295" s="672" t="n"/>
      <c r="CC295" s="701" t="n"/>
      <c r="CD295" s="701" t="n"/>
      <c r="CE295" s="701" t="n"/>
      <c r="CF295" s="701" t="n"/>
      <c r="CG295" s="701" t="n"/>
      <c r="CH295" s="701" t="n"/>
      <c r="CI295" s="701" t="n"/>
      <c r="CJ295" s="701" t="n"/>
      <c r="CK295" s="701" t="n"/>
      <c r="CL295" s="701" t="n"/>
      <c r="CM295" s="701" t="n"/>
      <c r="CN295" s="701" t="n"/>
      <c r="CO295" s="701" t="n"/>
      <c r="CP295" s="701" t="n"/>
      <c r="CQ295" s="701" t="n"/>
      <c r="CR295" s="701" t="n"/>
      <c r="CS295" s="701" t="n"/>
      <c r="CT295" s="701" t="n"/>
      <c r="CU295" s="701" t="n"/>
      <c r="CV295" s="701" t="n"/>
      <c r="CW295" s="30" t="n"/>
    </row>
    <row r="296" ht="12.75" customHeight="1" s="1676">
      <c r="A296" s="74" t="n"/>
      <c r="B296" s="691" t="inlineStr">
        <is>
          <t>Text_254</t>
        </is>
      </c>
      <c r="C296" s="266" t="n"/>
      <c r="D296" s="1741" t="n"/>
      <c r="E296" s="1741" t="n"/>
      <c r="F296" s="1741" t="n"/>
      <c r="G296" s="1741" t="n"/>
      <c r="H296" s="2089" t="n"/>
      <c r="I296" s="1741" t="n"/>
      <c r="J296" s="1741" t="n"/>
      <c r="K296" s="1741" t="n"/>
      <c r="L296" s="1741" t="n"/>
      <c r="M296" s="693">
        <f t="array" ref="M296">M295/M274</f>
        <v/>
      </c>
      <c r="N296" s="1741" t="n"/>
      <c r="O296" s="1741" t="n"/>
      <c r="P296" s="1741" t="n"/>
      <c r="Q296" s="1741" t="n"/>
      <c r="R296" s="694">
        <f t="array" ref="R296">R295/R274</f>
        <v/>
      </c>
      <c r="S296" s="1742" t="n"/>
      <c r="T296" s="1742" t="n"/>
      <c r="U296" s="1742" t="n"/>
      <c r="V296" s="1742" t="n"/>
      <c r="W296" s="695">
        <f t="array" ref="W296">W295/W274</f>
        <v/>
      </c>
      <c r="X296" s="1742" t="n"/>
      <c r="Y296" s="1742" t="n"/>
      <c r="Z296" s="1742" t="n"/>
      <c r="AA296" s="1743" t="n"/>
      <c r="AB296" s="695">
        <f t="array" ref="AB296">AB295/AB274</f>
        <v/>
      </c>
      <c r="AC296" s="695">
        <f t="array" ref="AC296">AC295/AC274</f>
        <v/>
      </c>
      <c r="AD296" s="695">
        <f t="array" ref="AD296">AD295/AD274</f>
        <v/>
      </c>
      <c r="AE296" s="695">
        <f t="array" ref="AE296">AE295/AE274</f>
        <v/>
      </c>
      <c r="AF296" s="695">
        <f t="array" ref="AF296">AF295/AF274</f>
        <v/>
      </c>
      <c r="AG296" s="695">
        <f t="array" ref="AG296">AG295/AG274</f>
        <v/>
      </c>
      <c r="AH296" s="695">
        <f t="array" ref="AH296">AH295/AH274</f>
        <v/>
      </c>
      <c r="AI296" s="695">
        <f t="array" ref="AI296">AI295/AI274</f>
        <v/>
      </c>
      <c r="AJ296" s="695">
        <f t="array" ref="AJ296">AJ295/AJ274</f>
        <v/>
      </c>
      <c r="AK296" s="695">
        <f t="array" ref="AK296">AK295/AK274</f>
        <v/>
      </c>
      <c r="AL296" s="695">
        <f t="array" ref="AL296">AL295/AL274</f>
        <v/>
      </c>
      <c r="AM296" s="695">
        <f t="array" ref="AM296">AM295/AM274</f>
        <v/>
      </c>
      <c r="AN296" s="695">
        <f t="array" ref="AN296">AN295/AN274</f>
        <v/>
      </c>
      <c r="AO296" s="695">
        <f t="array" ref="AO296">AO295/AO274</f>
        <v/>
      </c>
      <c r="AP296" s="695">
        <f t="array" ref="AP296">AP295/AP274</f>
        <v/>
      </c>
      <c r="AQ296" s="695">
        <f t="array" ref="AQ296">AQ295/AQ274</f>
        <v/>
      </c>
      <c r="AR296" s="695">
        <f t="array" ref="AR296">AR295/AR274</f>
        <v/>
      </c>
      <c r="AS296" s="695">
        <f t="array" ref="AS296">AS295/AS274</f>
        <v/>
      </c>
      <c r="AT296" s="695">
        <f t="array" ref="AT296">AT295/AT274</f>
        <v/>
      </c>
      <c r="AU296" s="695">
        <f t="array" ref="AU296">AU295/AU274</f>
        <v/>
      </c>
      <c r="AV296" s="695">
        <f t="array" ref="AV296">AV295/AV274</f>
        <v/>
      </c>
      <c r="AW296" s="696">
        <f t="array" ref="AW296">AW295/AW274</f>
        <v/>
      </c>
      <c r="AX296" s="693">
        <f t="array" ref="AX296">AX295/AX274</f>
        <v/>
      </c>
      <c r="AY296" s="693">
        <f t="array" ref="AY296">AY295/AY274</f>
        <v/>
      </c>
      <c r="AZ296" s="693">
        <f t="array" ref="AZ296">AZ295/AZ274</f>
        <v/>
      </c>
      <c r="BA296" s="694">
        <f t="array" ref="BA296">BA295/BA274</f>
        <v/>
      </c>
      <c r="BB296" s="696">
        <f t="array" ref="BB296">BB295/BB274</f>
        <v/>
      </c>
      <c r="BC296" s="693">
        <f t="array" ref="BC296">BC295/BC274</f>
        <v/>
      </c>
      <c r="BD296" s="1741" t="n"/>
      <c r="BE296" s="1741" t="n"/>
      <c r="BF296" s="694">
        <f t="array" ref="BF296">BF295/BF274</f>
        <v/>
      </c>
      <c r="BG296" s="1742" t="n"/>
      <c r="BH296" s="1742" t="n"/>
      <c r="BI296" s="1742" t="n"/>
      <c r="BJ296" s="1742" t="n"/>
      <c r="BK296" s="695">
        <f t="array" ref="BK296">BK295/BK274</f>
        <v/>
      </c>
      <c r="BL296" s="1742" t="n"/>
      <c r="BM296" s="1742" t="n"/>
      <c r="BN296" s="1742" t="n"/>
      <c r="BO296" s="1742" t="n"/>
      <c r="BP296" s="695">
        <f t="array" ref="BP296">BP295/BP274</f>
        <v/>
      </c>
      <c r="BQ296" s="1742" t="n"/>
      <c r="BR296" s="1742" t="n"/>
      <c r="BS296" s="1742" t="n"/>
      <c r="BT296" s="1742" t="n"/>
      <c r="BU296" s="695">
        <f t="array" ref="BU296">BU295/BU274</f>
        <v/>
      </c>
      <c r="BV296" s="1742" t="n"/>
      <c r="BW296" s="1742" t="n"/>
      <c r="BX296" s="1742" t="n"/>
      <c r="BY296" s="1742" t="n"/>
      <c r="BZ296" s="695">
        <f t="array" ref="BZ296">BZ295/BZ274</f>
        <v/>
      </c>
      <c r="CA296" s="543" t="n"/>
      <c r="CB296" s="98" t="n"/>
      <c r="CC296" s="701" t="n"/>
      <c r="CD296" s="701" t="n"/>
      <c r="CE296" s="701" t="n"/>
      <c r="CF296" s="701" t="n"/>
      <c r="CG296" s="701" t="n"/>
      <c r="CH296" s="701" t="n"/>
      <c r="CI296" s="701" t="n"/>
      <c r="CJ296" s="701" t="n"/>
      <c r="CK296" s="701" t="n"/>
      <c r="CL296" s="701" t="n"/>
      <c r="CM296" s="701" t="n"/>
      <c r="CN296" s="701" t="n"/>
      <c r="CO296" s="701" t="n"/>
      <c r="CP296" s="701" t="n"/>
      <c r="CQ296" s="701" t="n"/>
      <c r="CR296" s="701" t="n"/>
      <c r="CS296" s="701" t="n"/>
      <c r="CT296" s="701" t="n"/>
      <c r="CU296" s="701" t="n"/>
      <c r="CV296" s="701" t="n"/>
      <c r="CW296" s="30" t="n"/>
    </row>
    <row r="297" ht="12.75" customHeight="1" s="1676">
      <c r="A297" s="74" t="n"/>
      <c r="B297" s="179" t="n"/>
      <c r="C297" s="179" t="n"/>
      <c r="D297" s="179" t="n"/>
      <c r="E297" s="179" t="n"/>
      <c r="F297" s="179" t="n"/>
      <c r="G297" s="179" t="n"/>
      <c r="H297" s="179" t="n"/>
      <c r="I297" s="179" t="n"/>
      <c r="J297" s="179" t="n"/>
      <c r="K297" s="179" t="n"/>
      <c r="L297" s="179" t="n"/>
      <c r="M297" s="179" t="n"/>
      <c r="N297" s="179" t="n"/>
      <c r="O297" s="179" t="n"/>
      <c r="P297" s="179" t="n"/>
      <c r="Q297" s="179" t="n"/>
      <c r="R297" s="179" t="n"/>
      <c r="S297" s="179" t="n"/>
      <c r="T297" s="179" t="n"/>
      <c r="U297" s="179" t="n"/>
      <c r="V297" s="179" t="n"/>
      <c r="W297" s="179" t="n"/>
      <c r="X297" s="414" t="n"/>
      <c r="Y297" s="179" t="n"/>
      <c r="Z297" s="179" t="n"/>
      <c r="AA297" s="179" t="n"/>
      <c r="AB297" s="179" t="n"/>
      <c r="AC297" s="179" t="n"/>
      <c r="AD297" s="179" t="n"/>
      <c r="AE297" s="179" t="n"/>
      <c r="AF297" s="179" t="n"/>
      <c r="AG297" s="179" t="n"/>
      <c r="AH297" s="179" t="n"/>
      <c r="AI297" s="179" t="n"/>
      <c r="AJ297" s="179" t="n"/>
      <c r="AK297" s="179" t="n"/>
      <c r="AL297" s="179" t="n"/>
      <c r="AM297" s="179" t="n"/>
      <c r="AN297" s="179" t="n"/>
      <c r="AO297" s="179" t="n"/>
      <c r="AP297" s="179" t="n"/>
      <c r="AQ297" s="503" t="n"/>
      <c r="AR297" s="805" t="n"/>
      <c r="AS297" s="805" t="n"/>
      <c r="AT297" s="2084" t="n"/>
      <c r="AU297" s="805" t="n"/>
      <c r="AV297" s="501" t="n"/>
      <c r="AW297" s="179" t="n"/>
      <c r="AX297" s="179" t="n"/>
      <c r="AY297" s="2090" t="n"/>
      <c r="AZ297" s="179" t="n"/>
      <c r="BA297" s="179" t="n"/>
      <c r="BB297" s="179" t="n"/>
      <c r="BC297" s="2090" t="n"/>
      <c r="BD297" s="179" t="n"/>
      <c r="BE297" s="179" t="n"/>
      <c r="BF297" s="179" t="n"/>
      <c r="BG297" s="179" t="n"/>
      <c r="BH297" s="179" t="n"/>
      <c r="BI297" s="179" t="n"/>
      <c r="BJ297" s="179" t="n"/>
      <c r="BK297" s="179" t="n"/>
      <c r="BL297" s="179" t="n"/>
      <c r="BM297" s="179" t="n"/>
      <c r="BN297" s="179" t="n"/>
      <c r="BO297" s="179" t="n"/>
      <c r="BP297" s="179" t="n"/>
      <c r="BQ297" s="179" t="n"/>
      <c r="BR297" s="179" t="n"/>
      <c r="BS297" s="179" t="n"/>
      <c r="BT297" s="179" t="n"/>
      <c r="BU297" s="179" t="n"/>
      <c r="BV297" s="179" t="n"/>
      <c r="BW297" s="179" t="n"/>
      <c r="BX297" s="179" t="n"/>
      <c r="BY297" s="179" t="n"/>
      <c r="BZ297" s="179" t="n"/>
      <c r="CA297" s="179" t="n"/>
      <c r="CB297" s="701" t="n"/>
      <c r="CC297" s="701" t="n"/>
      <c r="CD297" s="701" t="n"/>
      <c r="CE297" s="701" t="n"/>
      <c r="CF297" s="701" t="n"/>
      <c r="CG297" s="701" t="n"/>
      <c r="CH297" s="701" t="n"/>
      <c r="CI297" s="701" t="n"/>
      <c r="CJ297" s="701" t="n"/>
      <c r="CK297" s="701" t="n"/>
      <c r="CL297" s="701" t="n"/>
      <c r="CM297" s="701" t="n"/>
      <c r="CN297" s="701" t="n"/>
      <c r="CO297" s="701" t="n"/>
      <c r="CP297" s="701" t="n"/>
      <c r="CQ297" s="701" t="n"/>
      <c r="CR297" s="701" t="n"/>
      <c r="CS297" s="701" t="n"/>
      <c r="CT297" s="701" t="n"/>
      <c r="CU297" s="701" t="n"/>
      <c r="CV297" s="701" t="n"/>
      <c r="CW297" s="30" t="n"/>
    </row>
    <row r="298" ht="12.75" customHeight="1" s="1676">
      <c r="A298" s="31" t="n"/>
      <c r="B298" s="99" t="inlineStr">
        <is>
          <t>Text_255</t>
        </is>
      </c>
      <c r="C298" s="33" t="n"/>
      <c r="D298" s="1710" t="n"/>
      <c r="E298" s="1710" t="n"/>
      <c r="F298" s="1710" t="n"/>
      <c r="G298" s="1710" t="n"/>
      <c r="H298" s="1710" t="n"/>
      <c r="I298" s="1710" t="n"/>
      <c r="J298" s="1710" t="n"/>
      <c r="K298" s="1710" t="n"/>
      <c r="L298" s="1710" t="n"/>
      <c r="M298" s="1710" t="n"/>
      <c r="N298" s="1710" t="n"/>
      <c r="O298" s="1710" t="n"/>
      <c r="P298" s="1710" t="n"/>
      <c r="Q298" s="1710" t="n"/>
      <c r="R298" s="1710" t="n"/>
      <c r="S298" s="1710" t="n"/>
      <c r="T298" s="1710" t="n"/>
      <c r="U298" s="1710" t="n"/>
      <c r="V298" s="1710" t="n"/>
      <c r="W298" s="1710" t="n"/>
      <c r="X298" s="1710" t="n"/>
      <c r="Y298" s="1710" t="n"/>
      <c r="Z298" s="1710" t="n"/>
      <c r="AA298" s="1710" t="n"/>
      <c r="AB298" s="1710" t="n"/>
      <c r="AC298" s="1710" t="n"/>
      <c r="AD298" s="1710" t="n"/>
      <c r="AE298" s="1710" t="n"/>
      <c r="AF298" s="1710" t="n"/>
      <c r="AG298" s="1710" t="n"/>
      <c r="AH298" s="1710" t="n"/>
      <c r="AI298" s="1710" t="n"/>
      <c r="AJ298" s="1710" t="n"/>
      <c r="AK298" s="1710" t="n"/>
      <c r="AL298" s="1710" t="n"/>
      <c r="AM298" s="1710" t="n"/>
      <c r="AN298" s="1710" t="n"/>
      <c r="AO298" s="1710" t="n"/>
      <c r="AP298" s="1710" t="n"/>
      <c r="AQ298" s="1710" t="n"/>
      <c r="AR298" s="1710" t="n"/>
      <c r="AS298" s="1710" t="n"/>
      <c r="AT298" s="1710" t="n"/>
      <c r="AU298" s="1710" t="n"/>
      <c r="AV298" s="1710" t="n"/>
      <c r="AW298" s="1710" t="n"/>
      <c r="AX298" s="1710" t="n"/>
      <c r="AY298" s="1710" t="n"/>
      <c r="AZ298" s="1710" t="n"/>
      <c r="BA298" s="1710" t="n"/>
      <c r="BB298" s="1710" t="n"/>
      <c r="BC298" s="1710" t="n"/>
      <c r="BD298" s="1710" t="n"/>
      <c r="BE298" s="1710" t="n"/>
      <c r="BF298" s="1710" t="n"/>
      <c r="BG298" s="1710" t="n"/>
      <c r="BH298" s="1710" t="n"/>
      <c r="BI298" s="1710" t="n"/>
      <c r="BJ298" s="1710" t="n"/>
      <c r="BK298" s="1710" t="n"/>
      <c r="BL298" s="1710" t="n"/>
      <c r="BM298" s="1710" t="n"/>
      <c r="BN298" s="1710" t="n"/>
      <c r="BO298" s="1710" t="n"/>
      <c r="BP298" s="1710" t="n"/>
      <c r="BQ298" s="1710" t="n"/>
      <c r="BR298" s="1710" t="n"/>
      <c r="BS298" s="1710" t="n"/>
      <c r="BT298" s="1710" t="n"/>
      <c r="BU298" s="1710" t="n"/>
      <c r="BV298" s="1710" t="n"/>
      <c r="BW298" s="1710" t="n"/>
      <c r="BX298" s="1710" t="n"/>
      <c r="BY298" s="1710" t="n"/>
      <c r="BZ298" s="1710" t="n"/>
      <c r="CA298" s="1710" t="n"/>
      <c r="CB298" s="456" t="n"/>
      <c r="CC298" s="701" t="n"/>
      <c r="CD298" s="701" t="n"/>
      <c r="CE298" s="701" t="n"/>
      <c r="CF298" s="701" t="n"/>
      <c r="CG298" s="701" t="n"/>
      <c r="CH298" s="701" t="n"/>
      <c r="CI298" s="701" t="n"/>
      <c r="CJ298" s="701" t="n"/>
      <c r="CK298" s="701" t="n"/>
      <c r="CL298" s="701" t="n"/>
      <c r="CM298" s="701" t="n"/>
      <c r="CN298" s="701" t="n"/>
      <c r="CO298" s="701" t="n"/>
      <c r="CP298" s="701" t="n"/>
      <c r="CQ298" s="701" t="n"/>
      <c r="CR298" s="701" t="n"/>
      <c r="CS298" s="701" t="n"/>
      <c r="CT298" s="701" t="n"/>
      <c r="CU298" s="701" t="n"/>
      <c r="CV298" s="701" t="n"/>
      <c r="CW298" s="30" t="n"/>
    </row>
    <row r="299" ht="12.75" customHeight="1" s="1676">
      <c r="A299" s="31" t="n"/>
      <c r="B299" s="270" t="inlineStr">
        <is>
          <t>Text_256</t>
        </is>
      </c>
      <c r="C299" s="699" t="n"/>
      <c r="D299" s="1745">
        <f t="array" ref="D299">D294</f>
        <v/>
      </c>
      <c r="E299" s="1745">
        <f t="array" ref="E299">E294</f>
        <v/>
      </c>
      <c r="F299" s="1745">
        <f t="array" ref="F299">F294</f>
        <v/>
      </c>
      <c r="G299" s="1745">
        <f t="array" ref="G299">G294</f>
        <v/>
      </c>
      <c r="H299" s="1745" t="n"/>
      <c r="I299" s="698">
        <f t="array" ref="I299">I294</f>
        <v/>
      </c>
      <c r="J299" s="698">
        <f t="array" ref="J299">J294</f>
        <v/>
      </c>
      <c r="K299" s="698">
        <f t="array" ref="K299">K294</f>
        <v/>
      </c>
      <c r="L299" s="698">
        <f t="array" ref="L299">L294</f>
        <v/>
      </c>
      <c r="M299" s="1714">
        <f t="array" ref="M299">M294</f>
        <v/>
      </c>
      <c r="N299" s="1714">
        <f t="array" ref="N299">N294</f>
        <v/>
      </c>
      <c r="O299" s="1714">
        <f t="array" ref="O299">O294</f>
        <v/>
      </c>
      <c r="P299" s="1714">
        <f t="array" ref="P299">P294</f>
        <v/>
      </c>
      <c r="Q299" s="1714">
        <f t="array" ref="Q299">Q294</f>
        <v/>
      </c>
      <c r="R299" s="1714">
        <f t="array" ref="R299">R294</f>
        <v/>
      </c>
      <c r="S299" s="1714">
        <f t="array" ref="S299">S294</f>
        <v/>
      </c>
      <c r="T299" s="1714">
        <f t="array" ref="T299">T294</f>
        <v/>
      </c>
      <c r="U299" s="1714">
        <f t="array" ref="U299">U294</f>
        <v/>
      </c>
      <c r="V299" s="1714">
        <f t="array" ref="V299">V294</f>
        <v/>
      </c>
      <c r="W299" s="1714">
        <f t="array" ref="W299">W294</f>
        <v/>
      </c>
      <c r="X299" s="1714">
        <f t="array" ref="X299">X294</f>
        <v/>
      </c>
      <c r="Y299" s="1714">
        <f t="array" ref="Y299">Y294</f>
        <v/>
      </c>
      <c r="Z299" s="1714">
        <f t="array" ref="Z299">Z294</f>
        <v/>
      </c>
      <c r="AA299" s="1714">
        <f t="array" ref="AA299">AA294</f>
        <v/>
      </c>
      <c r="AB299" s="1714">
        <f t="array" ref="AB299">AB294</f>
        <v/>
      </c>
      <c r="AC299" s="1714">
        <f t="array" ref="AC299">AC294</f>
        <v/>
      </c>
      <c r="AD299" s="1714">
        <f t="array" ref="AD299">AD294</f>
        <v/>
      </c>
      <c r="AE299" s="1714">
        <f t="array" ref="AE299">AE294</f>
        <v/>
      </c>
      <c r="AF299" s="1714">
        <f t="array" ref="AF299">AF294</f>
        <v/>
      </c>
      <c r="AG299" s="1714">
        <f t="array" ref="AG299">AG294</f>
        <v/>
      </c>
      <c r="AH299" s="1714">
        <f t="array" ref="AH299">AH294</f>
        <v/>
      </c>
      <c r="AI299" s="1714">
        <f t="array" ref="AI299">AI294</f>
        <v/>
      </c>
      <c r="AJ299" s="1714">
        <f t="array" ref="AJ299">AJ294</f>
        <v/>
      </c>
      <c r="AK299" s="1714">
        <f t="array" ref="AK299">AK294</f>
        <v/>
      </c>
      <c r="AL299" s="1714">
        <f t="array" ref="AL299">AL294</f>
        <v/>
      </c>
      <c r="AM299" s="1714">
        <f t="array" ref="AM299">AM294</f>
        <v/>
      </c>
      <c r="AN299" s="1714">
        <f t="array" ref="AN299">AN294</f>
        <v/>
      </c>
      <c r="AO299" s="1714">
        <f t="array" ref="AO299">AO294</f>
        <v/>
      </c>
      <c r="AP299" s="1714">
        <f t="array" ref="AP299">AP294</f>
        <v/>
      </c>
      <c r="AQ299" s="1714">
        <f t="array" ref="AQ299">AQ294</f>
        <v/>
      </c>
      <c r="AR299" s="1714">
        <f t="array" ref="AR299">AR294</f>
        <v/>
      </c>
      <c r="AS299" s="1714">
        <f t="array" ref="AS299">AS294</f>
        <v/>
      </c>
      <c r="AT299" s="1714">
        <f t="array" ref="AT299">AT294</f>
        <v/>
      </c>
      <c r="AU299" s="1714">
        <f t="array" ref="AU299">AU294</f>
        <v/>
      </c>
      <c r="AV299" s="1714">
        <f t="array" ref="AV299">AV294</f>
        <v/>
      </c>
      <c r="AW299" s="1879">
        <f t="array" ref="AW299">AW294</f>
        <v/>
      </c>
      <c r="AX299" s="1850">
        <f t="array" ref="AX299">AX294</f>
        <v/>
      </c>
      <c r="AY299" s="1850">
        <f t="array" ref="AY299">AY294</f>
        <v/>
      </c>
      <c r="AZ299" s="1850">
        <f t="array" ref="AZ299">AZ294</f>
        <v/>
      </c>
      <c r="BA299" s="2039">
        <f t="array" ref="BA299">BA294</f>
        <v/>
      </c>
      <c r="BB299" s="1879">
        <f t="array" ref="BB299">BB294</f>
        <v/>
      </c>
      <c r="BC299" s="1850">
        <f t="array" ref="BC299">BC294</f>
        <v/>
      </c>
      <c r="BD299" s="701" t="n"/>
      <c r="BE299" s="701" t="n"/>
      <c r="BF299" s="1748">
        <f t="array" ref="BF299">BF294</f>
        <v/>
      </c>
      <c r="BG299" s="699" t="n"/>
      <c r="BH299" s="699" t="n"/>
      <c r="BI299" s="699" t="n"/>
      <c r="BJ299" s="699" t="n"/>
      <c r="BK299" s="1745">
        <f t="array" ref="BK299">BK294</f>
        <v/>
      </c>
      <c r="BL299" s="699">
        <f t="array" ref="BL299">BL256</f>
        <v/>
      </c>
      <c r="BM299" s="699">
        <f t="array" ref="BM299">BM256</f>
        <v/>
      </c>
      <c r="BN299" s="699">
        <f t="array" ref="BN299">BN256</f>
        <v/>
      </c>
      <c r="BO299" s="699">
        <f t="array" ref="BO299">BO256</f>
        <v/>
      </c>
      <c r="BP299" s="1745">
        <f t="array" ref="BP299">BP294</f>
        <v/>
      </c>
      <c r="BQ299" s="699">
        <f t="array" ref="BQ299">BQ256</f>
        <v/>
      </c>
      <c r="BR299" s="699">
        <f t="array" ref="BR299">BR256</f>
        <v/>
      </c>
      <c r="BS299" s="699">
        <f t="array" ref="BS299">BS256</f>
        <v/>
      </c>
      <c r="BT299" s="699">
        <f t="array" ref="BT299">BT256</f>
        <v/>
      </c>
      <c r="BU299" s="1745">
        <f t="array" ref="BU299">BU294</f>
        <v/>
      </c>
      <c r="BV299" s="699">
        <f t="array" ref="BV299">BV256</f>
        <v/>
      </c>
      <c r="BW299" s="699">
        <f t="array" ref="BW299">BW256</f>
        <v/>
      </c>
      <c r="BX299" s="699">
        <f t="array" ref="BX299">BX256</f>
        <v/>
      </c>
      <c r="BY299" s="699">
        <f t="array" ref="BY299">BY256</f>
        <v/>
      </c>
      <c r="BZ299" s="1745">
        <f t="array" ref="BZ299">BZ294</f>
        <v/>
      </c>
      <c r="CA299" s="699" t="n"/>
      <c r="CB299" s="456" t="n"/>
      <c r="CC299" s="701" t="n"/>
      <c r="CD299" s="701" t="n"/>
      <c r="CE299" s="701" t="n"/>
      <c r="CF299" s="701" t="n"/>
      <c r="CG299" s="701" t="n"/>
      <c r="CH299" s="701" t="n"/>
      <c r="CI299" s="701" t="n"/>
      <c r="CJ299" s="701" t="n"/>
      <c r="CK299" s="701" t="n"/>
      <c r="CL299" s="701" t="n"/>
      <c r="CM299" s="701" t="n"/>
      <c r="CN299" s="701" t="n"/>
      <c r="CO299" s="701" t="n"/>
      <c r="CP299" s="701" t="n"/>
      <c r="CQ299" s="701" t="n"/>
      <c r="CR299" s="701" t="n"/>
      <c r="CS299" s="701" t="n"/>
      <c r="CT299" s="701" t="n"/>
      <c r="CU299" s="701" t="n"/>
      <c r="CV299" s="701" t="n"/>
      <c r="CW299" s="30" t="n"/>
    </row>
    <row r="300" ht="12.75" customHeight="1" s="1676">
      <c r="A300" s="31" t="n"/>
      <c r="B300" s="270" t="inlineStr">
        <is>
          <t>Text_257</t>
        </is>
      </c>
      <c r="C300" s="699" t="n"/>
      <c r="D300" s="1745" t="n"/>
      <c r="E300" s="1745" t="n"/>
      <c r="F300" s="1745" t="n"/>
      <c r="G300" s="1745" t="n"/>
      <c r="H300" s="1745" t="n"/>
      <c r="I300" s="1745" t="n">
        <v>0</v>
      </c>
      <c r="J300" s="1745" t="n">
        <v>0</v>
      </c>
      <c r="K300" s="1745" t="n">
        <v>0</v>
      </c>
      <c r="L300" s="1745">
        <f t="array" ref="L300">M300-K300-J300-I300</f>
        <v/>
      </c>
      <c r="M300" s="1745">
        <f t="array" ref="M300">-M255-M293</f>
        <v/>
      </c>
      <c r="N300" s="1745" t="n">
        <v>0</v>
      </c>
      <c r="O300" s="1745" t="n">
        <v>0</v>
      </c>
      <c r="P300" s="1745" t="n">
        <v>0</v>
      </c>
      <c r="Q300" s="1745">
        <f t="array" ref="Q300">R300-P300-O300-N300</f>
        <v/>
      </c>
      <c r="R300" s="1745">
        <f t="array" ref="R300">-R255-R293</f>
        <v/>
      </c>
      <c r="S300" s="1745" t="n">
        <v>0</v>
      </c>
      <c r="T300" s="1745" t="n">
        <v>0</v>
      </c>
      <c r="U300" s="1745" t="n">
        <v>0</v>
      </c>
      <c r="V300" s="1745">
        <f t="array" ref="V300">W300-U300-T300-S300</f>
        <v/>
      </c>
      <c r="W300" s="1745">
        <f t="array" ref="W300">-W255-W293</f>
        <v/>
      </c>
      <c r="X300" s="1745" t="n">
        <v>0</v>
      </c>
      <c r="Y300" s="1745" t="n">
        <v>0</v>
      </c>
      <c r="Z300" s="1745" t="n">
        <v>0</v>
      </c>
      <c r="AA300" s="1745">
        <f t="array" ref="AA300">AB300-Z300-Y300-X300</f>
        <v/>
      </c>
      <c r="AB300" s="1745">
        <f t="array" ref="AB300">-AB255-AB293</f>
        <v/>
      </c>
      <c r="AC300" s="1745" t="n">
        <v>0</v>
      </c>
      <c r="AD300" s="1745" t="n">
        <v>0</v>
      </c>
      <c r="AE300" s="1745" t="n">
        <v>0</v>
      </c>
      <c r="AF300" s="1745">
        <f t="array" ref="AF300">AG300-AE300-AD300-AC300</f>
        <v/>
      </c>
      <c r="AG300" s="1745">
        <f t="array" ref="AG300">-AG255-AG293</f>
        <v/>
      </c>
      <c r="AH300" s="1745">
        <f t="array" ref="AH300">-AH255-AH293</f>
        <v/>
      </c>
      <c r="AI300" s="1745">
        <f t="array" ref="AI300">-AI255-AI293</f>
        <v/>
      </c>
      <c r="AJ300" s="1745">
        <f t="array" ref="AJ300">-AJ255-AJ293</f>
        <v/>
      </c>
      <c r="AK300" s="1745">
        <f t="array" ref="AK300">-AK255-AK293</f>
        <v/>
      </c>
      <c r="AL300" s="1745">
        <f t="array" ref="AL300">-AL255-AL293</f>
        <v/>
      </c>
      <c r="AM300" s="1745">
        <f t="array" ref="AM300">-AM255-AM293</f>
        <v/>
      </c>
      <c r="AN300" s="1745">
        <f t="array" ref="AN300">-AN255-AN293</f>
        <v/>
      </c>
      <c r="AO300" s="1745">
        <f t="array" ref="AO300">-AO255-AO293</f>
        <v/>
      </c>
      <c r="AP300" s="1745">
        <f t="array" ref="AP300">-AP255-AP293</f>
        <v/>
      </c>
      <c r="AQ300" s="1745">
        <f t="array" ref="AQ300">-AQ255-AQ293</f>
        <v/>
      </c>
      <c r="AR300" s="1745">
        <f t="array" ref="AR300">-AR255-AR293</f>
        <v/>
      </c>
      <c r="AS300" s="1745">
        <f t="array" ref="AS300">-AS255-AS293</f>
        <v/>
      </c>
      <c r="AT300" s="1745">
        <f t="array" ref="AT300">-AT255-AT293</f>
        <v/>
      </c>
      <c r="AU300" s="1745">
        <f t="array" ref="AU300">-AU255-AU293</f>
        <v/>
      </c>
      <c r="AV300" s="1745">
        <f t="array" ref="AV300">-AV255-AV293</f>
        <v/>
      </c>
      <c r="AW300" s="1873">
        <f t="array" ref="AW300">-AW255-AW293</f>
        <v/>
      </c>
      <c r="AX300" s="1874">
        <f t="array" ref="AX300">-AX255-AX293</f>
        <v/>
      </c>
      <c r="AY300" s="1874">
        <f t="array" ref="AY300">-AY255-AY293</f>
        <v/>
      </c>
      <c r="AZ300" s="1874">
        <f t="array" ref="AZ300">-AZ255-AZ293</f>
        <v/>
      </c>
      <c r="BA300" s="1748">
        <f t="array" ref="BA300">-BA255-BA293</f>
        <v/>
      </c>
      <c r="BB300" s="1873">
        <f t="array" ref="BB300">-BB255-BB293</f>
        <v/>
      </c>
      <c r="BC300" s="1874">
        <f t="array" ref="BC300">-BC255-BC293</f>
        <v/>
      </c>
      <c r="BD300" s="701" t="n"/>
      <c r="BE300" s="701" t="n"/>
      <c r="BF300" s="1748">
        <f t="array" ref="BF300">-BF255-BF293</f>
        <v/>
      </c>
      <c r="BG300" s="699" t="n"/>
      <c r="BH300" s="699" t="n"/>
      <c r="BI300" s="699" t="n"/>
      <c r="BJ300" s="699" t="n"/>
      <c r="BK300" s="1745">
        <f t="array" ref="BK300">-BK255-BK293</f>
        <v/>
      </c>
      <c r="BL300" s="699" t="n"/>
      <c r="BM300" s="699" t="n"/>
      <c r="BN300" s="699" t="n"/>
      <c r="BO300" s="699" t="n"/>
      <c r="BP300" s="1745">
        <f t="array" ref="BP300">-BP255-BP293</f>
        <v/>
      </c>
      <c r="BQ300" s="699" t="n"/>
      <c r="BR300" s="699" t="n"/>
      <c r="BS300" s="699" t="n"/>
      <c r="BT300" s="699" t="n"/>
      <c r="BU300" s="1745">
        <f t="array" ref="BU300">-BU255-BU293</f>
        <v/>
      </c>
      <c r="BV300" s="699" t="n"/>
      <c r="BW300" s="699" t="n"/>
      <c r="BX300" s="699" t="n"/>
      <c r="BY300" s="699" t="n"/>
      <c r="BZ300" s="1745">
        <f t="array" ref="BZ300">-BZ255-BZ293</f>
        <v/>
      </c>
      <c r="CA300" s="699" t="n"/>
      <c r="CB300" s="456" t="n"/>
      <c r="CC300" s="701" t="n"/>
      <c r="CD300" s="701" t="n"/>
      <c r="CE300" s="701" t="n"/>
      <c r="CF300" s="701" t="n"/>
      <c r="CG300" s="701" t="n"/>
      <c r="CH300" s="701" t="n"/>
      <c r="CI300" s="701" t="n"/>
      <c r="CJ300" s="701" t="n"/>
      <c r="CK300" s="701" t="n"/>
      <c r="CL300" s="701" t="n"/>
      <c r="CM300" s="701" t="n"/>
      <c r="CN300" s="701" t="n"/>
      <c r="CO300" s="701" t="n"/>
      <c r="CP300" s="701" t="n"/>
      <c r="CQ300" s="701" t="n"/>
      <c r="CR300" s="701" t="n"/>
      <c r="CS300" s="701" t="n"/>
      <c r="CT300" s="701" t="n"/>
      <c r="CU300" s="701" t="n"/>
      <c r="CV300" s="701" t="n"/>
      <c r="CW300" s="30" t="n"/>
    </row>
    <row r="301" ht="12.75" customHeight="1" s="1676">
      <c r="A301" s="31" t="n"/>
      <c r="B301" s="522" t="inlineStr">
        <is>
          <t>Text_258</t>
        </is>
      </c>
      <c r="C301" s="699" t="n"/>
      <c r="D301" s="1745">
        <f t="array" ref="D301">-D234</f>
        <v/>
      </c>
      <c r="E301" s="1745">
        <f t="array" ref="E301">-E234</f>
        <v/>
      </c>
      <c r="F301" s="1745">
        <f t="array" ref="F301">-F234</f>
        <v/>
      </c>
      <c r="G301" s="1745">
        <f t="array" ref="G301">-G234</f>
        <v/>
      </c>
      <c r="H301" s="1745" t="n"/>
      <c r="I301" s="1745">
        <f t="array" ref="I301">-I234</f>
        <v/>
      </c>
      <c r="J301" s="1745">
        <f t="array" ref="J301">-J234</f>
        <v/>
      </c>
      <c r="K301" s="1745">
        <f t="array" ref="K301">-K234</f>
        <v/>
      </c>
      <c r="L301" s="1745">
        <f t="array" ref="L301">-L234</f>
        <v/>
      </c>
      <c r="M301" s="1745">
        <f t="array" ref="M301">-M234</f>
        <v/>
      </c>
      <c r="N301" s="1745">
        <f t="array" ref="N301">-N234</f>
        <v/>
      </c>
      <c r="O301" s="1745">
        <f t="array" ref="O301">-O234</f>
        <v/>
      </c>
      <c r="P301" s="1745">
        <f t="array" ref="P301">-P234</f>
        <v/>
      </c>
      <c r="Q301" s="1745">
        <f t="array" ref="Q301">-Q234</f>
        <v/>
      </c>
      <c r="R301" s="1745">
        <f t="array" ref="R301">-R234</f>
        <v/>
      </c>
      <c r="S301" s="1745">
        <f t="array" ref="S301">-S234</f>
        <v/>
      </c>
      <c r="T301" s="1745">
        <f t="array" ref="T301">-T234</f>
        <v/>
      </c>
      <c r="U301" s="1745">
        <f t="array" ref="U301">-U234</f>
        <v/>
      </c>
      <c r="V301" s="1745">
        <f t="array" ref="V301">-V234</f>
        <v/>
      </c>
      <c r="W301" s="1745">
        <f t="array" ref="W301">-W234</f>
        <v/>
      </c>
      <c r="X301" s="1745">
        <f t="array" ref="X301">-X234</f>
        <v/>
      </c>
      <c r="Y301" s="1745">
        <f t="array" ref="Y301">-Y234</f>
        <v/>
      </c>
      <c r="Z301" s="1745">
        <f t="array" ref="Z301">-Z234</f>
        <v/>
      </c>
      <c r="AA301" s="1745">
        <f t="array" ref="AA301">-AA234</f>
        <v/>
      </c>
      <c r="AB301" s="1745">
        <f t="array" ref="AB301">-AB234</f>
        <v/>
      </c>
      <c r="AC301" s="1745">
        <f t="array" ref="AC301">-AC234</f>
        <v/>
      </c>
      <c r="AD301" s="1745">
        <f t="array" ref="AD301">-AD234</f>
        <v/>
      </c>
      <c r="AE301" s="1745">
        <f t="array" ref="AE301">-AE234</f>
        <v/>
      </c>
      <c r="AF301" s="1745">
        <f t="array" ref="AF301">-AF234</f>
        <v/>
      </c>
      <c r="AG301" s="1745">
        <f t="array" ref="AG301">-AG234</f>
        <v/>
      </c>
      <c r="AH301" s="1745">
        <f t="array" ref="AH301">-AH234</f>
        <v/>
      </c>
      <c r="AI301" s="1745">
        <f t="array" ref="AI301">-AI234</f>
        <v/>
      </c>
      <c r="AJ301" s="1745">
        <f t="array" ref="AJ301">-AJ234</f>
        <v/>
      </c>
      <c r="AK301" s="1745">
        <f t="array" ref="AK301">-AK234</f>
        <v/>
      </c>
      <c r="AL301" s="1745">
        <f t="array" ref="AL301">-AL234</f>
        <v/>
      </c>
      <c r="AM301" s="1745">
        <f t="array" ref="AM301">-AM234</f>
        <v/>
      </c>
      <c r="AN301" s="1745">
        <f t="array" ref="AN301">-AN234</f>
        <v/>
      </c>
      <c r="AO301" s="1745">
        <f t="array" ref="AO301">-AO234</f>
        <v/>
      </c>
      <c r="AP301" s="1745">
        <f t="array" ref="AP301">-AP234</f>
        <v/>
      </c>
      <c r="AQ301" s="1745">
        <f t="array" ref="AQ301">-AQ234</f>
        <v/>
      </c>
      <c r="AR301" s="1745">
        <f t="array" ref="AR301">-AR234</f>
        <v/>
      </c>
      <c r="AS301" s="1745">
        <f t="array" ref="AS301">-AS234</f>
        <v/>
      </c>
      <c r="AT301" s="1745">
        <f t="array" ref="AT301">-AT234</f>
        <v/>
      </c>
      <c r="AU301" s="1745">
        <f t="array" ref="AU301">-AU234</f>
        <v/>
      </c>
      <c r="AV301" s="1745">
        <f t="array" ref="AV301">-AV234</f>
        <v/>
      </c>
      <c r="AW301" s="1873">
        <f t="array" ref="AW301">-AW234</f>
        <v/>
      </c>
      <c r="AX301" s="1874">
        <f t="array" ref="AX301">-AX234</f>
        <v/>
      </c>
      <c r="AY301" s="1874">
        <f t="array" ref="AY301">-AY234</f>
        <v/>
      </c>
      <c r="AZ301" s="1874">
        <f t="array" ref="AZ301">-AZ234</f>
        <v/>
      </c>
      <c r="BA301" s="1748">
        <f t="array" ref="BA301">-BA234</f>
        <v/>
      </c>
      <c r="BB301" s="1873">
        <f t="array" ref="BB301">-BB234</f>
        <v/>
      </c>
      <c r="BC301" s="1874">
        <f t="array" ref="BC301">-BC234</f>
        <v/>
      </c>
      <c r="BD301" s="701" t="n"/>
      <c r="BE301" s="701" t="n"/>
      <c r="BF301" s="1748">
        <f t="array" ref="BF301">-BF234</f>
        <v/>
      </c>
      <c r="BG301" s="699" t="n"/>
      <c r="BH301" s="699" t="n"/>
      <c r="BI301" s="699" t="n"/>
      <c r="BJ301" s="699" t="n"/>
      <c r="BK301" s="1745">
        <f t="array" ref="BK301">-BK234</f>
        <v/>
      </c>
      <c r="BL301" s="699" t="n"/>
      <c r="BM301" s="699" t="n"/>
      <c r="BN301" s="699" t="n"/>
      <c r="BO301" s="699" t="n"/>
      <c r="BP301" s="1745">
        <f t="array" ref="BP301">-BP234</f>
        <v/>
      </c>
      <c r="BQ301" s="699" t="n"/>
      <c r="BR301" s="699" t="n"/>
      <c r="BS301" s="699" t="n"/>
      <c r="BT301" s="699" t="n"/>
      <c r="BU301" s="1745">
        <f t="array" ref="BU301">-BU234</f>
        <v/>
      </c>
      <c r="BV301" s="699" t="n"/>
      <c r="BW301" s="699" t="n"/>
      <c r="BX301" s="699" t="n"/>
      <c r="BY301" s="699" t="n"/>
      <c r="BZ301" s="1745">
        <f t="array" ref="BZ301">-BZ234</f>
        <v/>
      </c>
      <c r="CA301" s="700" t="n"/>
      <c r="CB301" s="456" t="n"/>
      <c r="CC301" s="701" t="n"/>
      <c r="CD301" s="701" t="n"/>
      <c r="CE301" s="701" t="n"/>
      <c r="CF301" s="701" t="n"/>
      <c r="CG301" s="701" t="n"/>
      <c r="CH301" s="701" t="n"/>
      <c r="CI301" s="701" t="n"/>
      <c r="CJ301" s="701" t="n"/>
      <c r="CK301" s="701" t="n"/>
      <c r="CL301" s="701" t="n"/>
      <c r="CM301" s="701" t="n"/>
      <c r="CN301" s="701" t="n"/>
      <c r="CO301" s="701" t="n"/>
      <c r="CP301" s="701" t="n"/>
      <c r="CQ301" s="701" t="n"/>
      <c r="CR301" s="701" t="n"/>
      <c r="CS301" s="701" t="n"/>
      <c r="CT301" s="701" t="n"/>
      <c r="CU301" s="701" t="n"/>
      <c r="CV301" s="701" t="n"/>
      <c r="CW301" s="30" t="n"/>
    </row>
    <row r="302" ht="12.75" customHeight="1" s="1676">
      <c r="A302" s="31" t="n"/>
      <c r="B302" s="167" t="inlineStr">
        <is>
          <t>Text_187</t>
        </is>
      </c>
      <c r="C302" s="543" t="n"/>
      <c r="D302" s="1866" t="n"/>
      <c r="E302" s="1866" t="n"/>
      <c r="F302" s="1866" t="n"/>
      <c r="G302" s="1866" t="n"/>
      <c r="H302" s="1866" t="n"/>
      <c r="I302" s="1866" t="n"/>
      <c r="J302" s="1866" t="n"/>
      <c r="K302" s="1866" t="n"/>
      <c r="L302" s="1866" t="n"/>
      <c r="M302" s="1866">
        <f t="array" ref="M302">M301/M209</f>
        <v/>
      </c>
      <c r="N302" s="1866" t="n"/>
      <c r="O302" s="1866" t="n"/>
      <c r="P302" s="1866" t="n"/>
      <c r="Q302" s="1866" t="n"/>
      <c r="R302" s="1866">
        <f t="array" ref="R302">R301/R212</f>
        <v/>
      </c>
      <c r="S302" s="1866" t="n"/>
      <c r="T302" s="1866" t="n"/>
      <c r="U302" s="1866" t="n"/>
      <c r="V302" s="1866" t="n"/>
      <c r="W302" s="1866">
        <f t="array" ref="W302">W301/W212</f>
        <v/>
      </c>
      <c r="X302" s="1866" t="n"/>
      <c r="Y302" s="1866" t="n"/>
      <c r="Z302" s="1866" t="n"/>
      <c r="AA302" s="1866" t="n"/>
      <c r="AB302" s="1866">
        <f t="array" ref="AB302">AB301/AB212</f>
        <v/>
      </c>
      <c r="AC302" s="1866" t="n"/>
      <c r="AD302" s="1866" t="n"/>
      <c r="AE302" s="1866" t="n"/>
      <c r="AF302" s="1866" t="n"/>
      <c r="AG302" s="1866">
        <f t="array" ref="AG302">AG301/AG212</f>
        <v/>
      </c>
      <c r="AH302" s="1866" t="n"/>
      <c r="AI302" s="1866" t="n"/>
      <c r="AJ302" s="1866" t="n"/>
      <c r="AK302" s="1866" t="n"/>
      <c r="AL302" s="1866">
        <f t="array" ref="AL302">AL301/AL212</f>
        <v/>
      </c>
      <c r="AM302" s="1866">
        <f t="array" ref="AM302">AM301/AM212</f>
        <v/>
      </c>
      <c r="AN302" s="1866">
        <f t="array" ref="AN302">AN301/AN212</f>
        <v/>
      </c>
      <c r="AO302" s="1866">
        <f t="array" ref="AO302">AO301/AO212</f>
        <v/>
      </c>
      <c r="AP302" s="1866">
        <f t="array" ref="AP302">AP301/AP212</f>
        <v/>
      </c>
      <c r="AQ302" s="1866">
        <f t="array" ref="AQ302">AQ301/AQ212</f>
        <v/>
      </c>
      <c r="AR302" s="1866">
        <f t="array" ref="AR302">AR301/AR212</f>
        <v/>
      </c>
      <c r="AS302" s="1866">
        <f t="array" ref="AS302">AS301/AS212</f>
        <v/>
      </c>
      <c r="AT302" s="1866">
        <f t="array" ref="AT302">AT301/AT212</f>
        <v/>
      </c>
      <c r="AU302" s="1866">
        <f t="array" ref="AU302">AU301/AU212</f>
        <v/>
      </c>
      <c r="AV302" s="1866">
        <f t="array" ref="AV302">AV301/AV212</f>
        <v/>
      </c>
      <c r="AW302" s="1867">
        <f t="array" ref="AW302">AW301/AW212</f>
        <v/>
      </c>
      <c r="AX302" s="1868">
        <f t="array" ref="AX302">AX301/AX212</f>
        <v/>
      </c>
      <c r="AY302" s="1868">
        <f t="array" ref="AY302">AY301/AY212</f>
        <v/>
      </c>
      <c r="AZ302" s="1868">
        <f t="array" ref="AZ302">AZ301/AZ212</f>
        <v/>
      </c>
      <c r="BA302" s="1869">
        <f t="array" ref="BA302">BA301/BA212</f>
        <v/>
      </c>
      <c r="BB302" s="1867">
        <f t="array" ref="BB302">BB301/BB212</f>
        <v/>
      </c>
      <c r="BC302" s="1868">
        <f t="array" ref="BC302">BC301/BC212</f>
        <v/>
      </c>
      <c r="BD302" s="1868" t="n"/>
      <c r="BE302" s="1868" t="n"/>
      <c r="BF302" s="1869">
        <f t="array" ref="BF302">BF301/BF212</f>
        <v/>
      </c>
      <c r="BG302" s="1866" t="n"/>
      <c r="BH302" s="1866" t="n"/>
      <c r="BI302" s="1866" t="n"/>
      <c r="BJ302" s="1866" t="n"/>
      <c r="BK302" s="1866">
        <f t="array" ref="BK302">BK301/BK212</f>
        <v/>
      </c>
      <c r="BL302" s="1866" t="n"/>
      <c r="BM302" s="1866" t="n"/>
      <c r="BN302" s="1866" t="n"/>
      <c r="BO302" s="1866" t="n"/>
      <c r="BP302" s="1866">
        <f t="array" ref="BP302">BP301/BP212</f>
        <v/>
      </c>
      <c r="BQ302" s="1866" t="n"/>
      <c r="BR302" s="1866" t="n"/>
      <c r="BS302" s="1866" t="n"/>
      <c r="BT302" s="1866" t="n"/>
      <c r="BU302" s="1866">
        <f t="array" ref="BU302">BU301/BU212</f>
        <v/>
      </c>
      <c r="BV302" s="1866" t="n"/>
      <c r="BW302" s="1866" t="n"/>
      <c r="BX302" s="1866" t="n"/>
      <c r="BY302" s="1866" t="n"/>
      <c r="BZ302" s="1866">
        <f t="array" ref="BZ302">BZ301/BZ212</f>
        <v/>
      </c>
      <c r="CA302" s="700" t="n"/>
      <c r="CB302" s="456" t="n"/>
      <c r="CC302" s="701" t="n"/>
      <c r="CD302" s="701" t="n"/>
      <c r="CE302" s="701" t="n"/>
      <c r="CF302" s="701" t="n"/>
      <c r="CG302" s="701" t="n"/>
      <c r="CH302" s="701" t="n"/>
      <c r="CI302" s="701" t="n"/>
      <c r="CJ302" s="701" t="n"/>
      <c r="CK302" s="701" t="n"/>
      <c r="CL302" s="701" t="n"/>
      <c r="CM302" s="701" t="n"/>
      <c r="CN302" s="701" t="n"/>
      <c r="CO302" s="701" t="n"/>
      <c r="CP302" s="701" t="n"/>
      <c r="CQ302" s="701" t="n"/>
      <c r="CR302" s="701" t="n"/>
      <c r="CS302" s="701" t="n"/>
      <c r="CT302" s="701" t="n"/>
      <c r="CU302" s="701" t="n"/>
      <c r="CV302" s="701" t="n"/>
      <c r="CW302" s="30" t="n"/>
    </row>
    <row r="303" ht="12.75" customHeight="1" s="1676">
      <c r="A303" s="31" t="n"/>
      <c r="B303" s="522" t="inlineStr">
        <is>
          <t>Text_259</t>
        </is>
      </c>
      <c r="C303" s="699" t="n"/>
      <c r="D303" s="1797" t="n"/>
      <c r="E303" s="1797" t="n"/>
      <c r="F303" s="1797" t="n"/>
      <c r="G303" s="1797" t="n"/>
      <c r="H303" s="1797" t="n"/>
      <c r="I303" s="1797" t="n"/>
      <c r="J303" s="1797" t="n"/>
      <c r="K303" s="1797" t="n"/>
      <c r="L303" s="1797" t="n"/>
      <c r="M303" s="1797" t="n"/>
      <c r="N303" s="1797" t="n"/>
      <c r="O303" s="1797" t="n"/>
      <c r="P303" s="1797" t="n"/>
      <c r="Q303" s="1797" t="n"/>
      <c r="R303" s="1797" t="n">
        <v>41.6341598490829</v>
      </c>
      <c r="S303" s="1751" t="n"/>
      <c r="T303" s="1751" t="n"/>
      <c r="U303" s="1751" t="n"/>
      <c r="V303" s="1751" t="n"/>
      <c r="W303" s="1797" t="n">
        <v>54.3662933563028</v>
      </c>
      <c r="X303" s="1751" t="n"/>
      <c r="Y303" s="1751" t="n"/>
      <c r="Z303" s="1751" t="n"/>
      <c r="AA303" s="1797" t="n"/>
      <c r="AB303" s="1797" t="n">
        <v>80.3184240347116</v>
      </c>
      <c r="AC303" s="1745" t="n"/>
      <c r="AD303" s="1745" t="n"/>
      <c r="AE303" s="1745" t="n"/>
      <c r="AF303" s="1745" t="n"/>
      <c r="AG303" s="1797" t="n">
        <v>121.448947341629</v>
      </c>
      <c r="AH303" s="1797" t="n"/>
      <c r="AI303" s="1797" t="n"/>
      <c r="AJ303" s="1797" t="n"/>
      <c r="AK303" s="1745" t="n"/>
      <c r="AL303" s="1797" t="n">
        <v>126.051936059952</v>
      </c>
      <c r="AM303" s="1797" t="n">
        <v>30.973221846512</v>
      </c>
      <c r="AN303" s="1797" t="n">
        <v>27.8310023490002</v>
      </c>
      <c r="AO303" s="1797" t="n">
        <v>42.1412612799406</v>
      </c>
      <c r="AP303" s="1797" t="n">
        <v>40.2804016492366</v>
      </c>
      <c r="AQ303" s="1745">
        <f t="array" ref="AQ303">AP303+AO303+AN303+AM303</f>
        <v/>
      </c>
      <c r="AR303" s="1797" t="n">
        <v>25.642021349473</v>
      </c>
      <c r="AS303" s="1797" t="n">
        <v>39.7929212208277</v>
      </c>
      <c r="AT303" s="1797" t="n">
        <v>48.2909572492322</v>
      </c>
      <c r="AU303" s="1797" t="n">
        <v>45.8655002239873</v>
      </c>
      <c r="AV303" s="1745">
        <f t="array" ref="AV303">AU303+AT303+AS303+AR303</f>
        <v/>
      </c>
      <c r="AW303" s="1975" t="n">
        <v>50.040501054288</v>
      </c>
      <c r="AX303" s="1854" t="n">
        <v>52.2934413542702</v>
      </c>
      <c r="AY303" s="1854" t="n">
        <v>65.14627580672889</v>
      </c>
      <c r="AZ303" s="1854" t="n">
        <v>61.816814184647</v>
      </c>
      <c r="BA303" s="1748">
        <f t="array" ref="BA303">AZ303+AY303+AX303+AW303</f>
        <v/>
      </c>
      <c r="BB303" s="1975" t="n">
        <v>68.1444795342251</v>
      </c>
      <c r="BC303" s="1854" t="n">
        <v>53.4323959908903</v>
      </c>
      <c r="BD303" s="701" t="n">
        <v>61.0466253656108</v>
      </c>
      <c r="BE303" s="1874">
        <f t="array" ref="BE303">BF303-BC303-BB303</f>
        <v/>
      </c>
      <c r="BF303" s="1748">
        <f t="array" ref="BF303">BF304*BF212</f>
        <v/>
      </c>
      <c r="BG303" s="699" t="n"/>
      <c r="BH303" s="699" t="n"/>
      <c r="BI303" s="699" t="n"/>
      <c r="BJ303" s="699" t="n"/>
      <c r="BK303" s="1745">
        <f t="array" ref="BK303">BK304*BK212</f>
        <v/>
      </c>
      <c r="BL303" s="699" t="n"/>
      <c r="BM303" s="699" t="n"/>
      <c r="BN303" s="699" t="n"/>
      <c r="BO303" s="699" t="n"/>
      <c r="BP303" s="1745">
        <f t="array" ref="BP303">BP304*BP212</f>
        <v/>
      </c>
      <c r="BQ303" s="699" t="n"/>
      <c r="BR303" s="699" t="n"/>
      <c r="BS303" s="699" t="n"/>
      <c r="BT303" s="699" t="n"/>
      <c r="BU303" s="1745">
        <f t="array" ref="BU303">BU304*BU212</f>
        <v/>
      </c>
      <c r="BV303" s="699" t="n"/>
      <c r="BW303" s="699" t="n"/>
      <c r="BX303" s="699" t="n"/>
      <c r="BY303" s="699" t="n"/>
      <c r="BZ303" s="1745">
        <f t="array" ref="BZ303">BZ304*BZ212</f>
        <v/>
      </c>
      <c r="CA303" s="1866" t="n"/>
      <c r="CB303" s="456" t="n"/>
      <c r="CC303" s="701" t="n"/>
      <c r="CD303" s="701" t="n"/>
      <c r="CE303" s="701" t="n"/>
      <c r="CF303" s="701" t="n"/>
      <c r="CG303" s="701" t="n"/>
      <c r="CH303" s="701" t="n"/>
      <c r="CI303" s="701" t="n"/>
      <c r="CJ303" s="701" t="n"/>
      <c r="CK303" s="701" t="n"/>
      <c r="CL303" s="701" t="n"/>
      <c r="CM303" s="701" t="n"/>
      <c r="CN303" s="701" t="n"/>
      <c r="CO303" s="701" t="n"/>
      <c r="CP303" s="701" t="n"/>
      <c r="CQ303" s="701" t="n"/>
      <c r="CR303" s="701" t="n"/>
      <c r="CS303" s="701" t="n"/>
      <c r="CT303" s="701" t="n"/>
      <c r="CU303" s="701" t="n"/>
      <c r="CV303" s="701" t="n"/>
      <c r="CW303" s="30" t="n"/>
    </row>
    <row r="304" ht="12.75" customHeight="1" s="1676">
      <c r="A304" s="31" t="n"/>
      <c r="B304" s="167" t="inlineStr">
        <is>
          <t>Text_187</t>
        </is>
      </c>
      <c r="C304" s="699" t="n"/>
      <c r="D304" s="1751" t="n"/>
      <c r="E304" s="1751" t="n"/>
      <c r="F304" s="1751" t="n"/>
      <c r="G304" s="1751" t="n"/>
      <c r="H304" s="1751" t="n"/>
      <c r="I304" s="1751" t="n"/>
      <c r="J304" s="1751" t="n"/>
      <c r="K304" s="1751" t="n"/>
      <c r="L304" s="1751" t="n"/>
      <c r="M304" s="1751">
        <f t="array" ref="M304">M303/M212</f>
        <v/>
      </c>
      <c r="N304" s="1751" t="n"/>
      <c r="O304" s="1751" t="n"/>
      <c r="P304" s="1751" t="n"/>
      <c r="Q304" s="1751" t="n"/>
      <c r="R304" s="1751">
        <f t="array" ref="R304">R303/R212</f>
        <v/>
      </c>
      <c r="S304" s="1751" t="n"/>
      <c r="T304" s="1751" t="n"/>
      <c r="U304" s="1751" t="n"/>
      <c r="V304" s="1751" t="n"/>
      <c r="W304" s="1751">
        <f t="array" ref="W304">W303/W212</f>
        <v/>
      </c>
      <c r="X304" s="1751" t="n"/>
      <c r="Y304" s="1751" t="n"/>
      <c r="Z304" s="1751" t="n"/>
      <c r="AA304" s="1751" t="n"/>
      <c r="AB304" s="1751">
        <f t="array" ref="AB304">AB303/AB212</f>
        <v/>
      </c>
      <c r="AC304" s="1751" t="n"/>
      <c r="AD304" s="1751" t="n"/>
      <c r="AE304" s="1751" t="n"/>
      <c r="AF304" s="1751" t="n"/>
      <c r="AG304" s="1751">
        <f t="array" ref="AG304">AG303/AG212</f>
        <v/>
      </c>
      <c r="AH304" s="1751" t="n"/>
      <c r="AI304" s="1751" t="n"/>
      <c r="AJ304" s="1751" t="n"/>
      <c r="AK304" s="1751" t="n"/>
      <c r="AL304" s="1751">
        <f t="array" ref="AL304">AL303/AL212</f>
        <v/>
      </c>
      <c r="AM304" s="1751" t="n"/>
      <c r="AN304" s="1751" t="n"/>
      <c r="AO304" s="1751" t="n"/>
      <c r="AP304" s="1751" t="n"/>
      <c r="AQ304" s="1751">
        <f t="array" ref="AQ304">AQ303/AQ212</f>
        <v/>
      </c>
      <c r="AR304" s="1751" t="n"/>
      <c r="AS304" s="1751" t="n"/>
      <c r="AT304" s="1751" t="n"/>
      <c r="AU304" s="1751" t="n"/>
      <c r="AV304" s="1751">
        <f t="array" ref="AV304">AV303/AV212</f>
        <v/>
      </c>
      <c r="AW304" s="702" t="n"/>
      <c r="AX304" s="703" t="n"/>
      <c r="AY304" s="1750" t="n"/>
      <c r="AZ304" s="1750" t="n"/>
      <c r="BA304" s="1784">
        <f t="array" ref="BA304">BA303/BA212</f>
        <v/>
      </c>
      <c r="BB304" s="1749" t="n"/>
      <c r="BC304" s="1750" t="n"/>
      <c r="BD304" s="1750" t="n"/>
      <c r="BE304" s="1750" t="n"/>
      <c r="BF304" s="1855" t="n">
        <v>0.0144859520143093</v>
      </c>
      <c r="BG304" s="1751" t="n"/>
      <c r="BH304" s="1751" t="n"/>
      <c r="BI304" s="1751" t="n"/>
      <c r="BJ304" s="1751" t="n"/>
      <c r="BK304" s="1856">
        <f t="array" ref="BK304">BF304</f>
        <v/>
      </c>
      <c r="BL304" s="1751" t="n"/>
      <c r="BM304" s="1751" t="n"/>
      <c r="BN304" s="1751" t="n"/>
      <c r="BO304" s="1751" t="n"/>
      <c r="BP304" s="1856">
        <f t="array" ref="BP304">BK304</f>
        <v/>
      </c>
      <c r="BQ304" s="1751" t="n"/>
      <c r="BR304" s="1751" t="n"/>
      <c r="BS304" s="1751" t="n"/>
      <c r="BT304" s="1751" t="n"/>
      <c r="BU304" s="1856">
        <f t="array" ref="BU304">BP304</f>
        <v/>
      </c>
      <c r="BV304" s="1751" t="n"/>
      <c r="BW304" s="1751" t="n"/>
      <c r="BX304" s="1751" t="n"/>
      <c r="BY304" s="1751" t="n"/>
      <c r="BZ304" s="1856">
        <f t="array" ref="BZ304">BU304</f>
        <v/>
      </c>
      <c r="CA304" s="699" t="n"/>
      <c r="CB304" s="401" t="n"/>
      <c r="CC304" s="701" t="n"/>
      <c r="CD304" s="701" t="n"/>
      <c r="CE304" s="701" t="n"/>
      <c r="CF304" s="701" t="n"/>
      <c r="CG304" s="701" t="n"/>
      <c r="CH304" s="701" t="n"/>
      <c r="CI304" s="701" t="n"/>
      <c r="CJ304" s="701" t="n"/>
      <c r="CK304" s="701" t="n"/>
      <c r="CL304" s="701" t="n"/>
      <c r="CM304" s="701" t="n"/>
      <c r="CN304" s="701" t="n"/>
      <c r="CO304" s="701" t="n"/>
      <c r="CP304" s="701" t="n"/>
      <c r="CQ304" s="701" t="n"/>
      <c r="CR304" s="701" t="n"/>
      <c r="CS304" s="701" t="n"/>
      <c r="CT304" s="701" t="n"/>
      <c r="CU304" s="701" t="n"/>
      <c r="CV304" s="701" t="n"/>
      <c r="CW304" s="30" t="n"/>
    </row>
    <row r="305" ht="12.75" customHeight="1" s="1676">
      <c r="A305" s="31" t="n"/>
      <c r="B305" s="167" t="inlineStr">
        <is>
          <t>Text_260</t>
        </is>
      </c>
      <c r="C305" s="699" t="n"/>
      <c r="D305" s="1751" t="n"/>
      <c r="E305" s="1751" t="n"/>
      <c r="F305" s="1751" t="n"/>
      <c r="G305" s="1751" t="n"/>
      <c r="H305" s="1751" t="n"/>
      <c r="I305" s="1751" t="n"/>
      <c r="J305" s="1751" t="n"/>
      <c r="K305" s="1751" t="n"/>
      <c r="L305" s="1751" t="n"/>
      <c r="M305" s="1751">
        <f t="array" ref="M305">M303/M323</f>
        <v/>
      </c>
      <c r="N305" s="1751" t="n"/>
      <c r="O305" s="1751" t="n"/>
      <c r="P305" s="1751" t="n"/>
      <c r="Q305" s="1751" t="n"/>
      <c r="R305" s="1751">
        <f t="array" ref="R305">R303/R323</f>
        <v/>
      </c>
      <c r="S305" s="1751" t="n"/>
      <c r="T305" s="1751" t="n"/>
      <c r="U305" s="1751" t="n"/>
      <c r="V305" s="1751" t="n"/>
      <c r="W305" s="1751">
        <f t="array" ref="W305">W303/W323</f>
        <v/>
      </c>
      <c r="X305" s="1751" t="n"/>
      <c r="Y305" s="1751" t="n"/>
      <c r="Z305" s="1751" t="n"/>
      <c r="AA305" s="1935" t="n"/>
      <c r="AB305" s="1751">
        <f t="array" ref="AB305">AB303/AB323</f>
        <v/>
      </c>
      <c r="AC305" s="1751" t="n"/>
      <c r="AD305" s="1751" t="n"/>
      <c r="AE305" s="1751" t="n"/>
      <c r="AF305" s="1751" t="n"/>
      <c r="AG305" s="1751">
        <f t="array" ref="AG305">AG303/AG323</f>
        <v/>
      </c>
      <c r="AH305" s="1751" t="n"/>
      <c r="AI305" s="1751" t="n"/>
      <c r="AJ305" s="1751" t="n"/>
      <c r="AK305" s="1751" t="n"/>
      <c r="AL305" s="1751">
        <f t="array" ref="AL305">AL303/AL323</f>
        <v/>
      </c>
      <c r="AM305" s="1751" t="n"/>
      <c r="AN305" s="1751" t="n"/>
      <c r="AO305" s="1751" t="n"/>
      <c r="AP305" s="1751" t="n"/>
      <c r="AQ305" s="1751">
        <f t="array" ref="AQ305">AQ303/AQ323</f>
        <v/>
      </c>
      <c r="AR305" s="1751" t="n"/>
      <c r="AS305" s="1751" t="n"/>
      <c r="AT305" s="1751" t="n"/>
      <c r="AU305" s="1751" t="n"/>
      <c r="AV305" s="1751">
        <f t="array" ref="AV305">AV303/AV323</f>
        <v/>
      </c>
      <c r="AW305" s="1749" t="n"/>
      <c r="AX305" s="1750" t="n"/>
      <c r="AY305" s="1750" t="n"/>
      <c r="AZ305" s="1750" t="n"/>
      <c r="BA305" s="1784">
        <f t="array" ref="BA305">BA303/BA323</f>
        <v/>
      </c>
      <c r="BB305" s="1749" t="n"/>
      <c r="BC305" s="1750" t="n"/>
      <c r="BD305" s="1750" t="n"/>
      <c r="BE305" s="1750" t="n"/>
      <c r="BF305" s="1984">
        <f t="array" ref="BF305">BF303/BF323</f>
        <v/>
      </c>
      <c r="BG305" s="1985" t="n"/>
      <c r="BH305" s="1985" t="n"/>
      <c r="BI305" s="1985" t="n"/>
      <c r="BJ305" s="1985" t="n"/>
      <c r="BK305" s="1985">
        <f t="array" ref="BK305">BK303/BK323</f>
        <v/>
      </c>
      <c r="BL305" s="1985" t="n"/>
      <c r="BM305" s="1985" t="n"/>
      <c r="BN305" s="1985" t="n"/>
      <c r="BO305" s="1985" t="n"/>
      <c r="BP305" s="1985">
        <f t="array" ref="BP305">BP303/BP323</f>
        <v/>
      </c>
      <c r="BQ305" s="1985" t="n"/>
      <c r="BR305" s="1985" t="n"/>
      <c r="BS305" s="1985" t="n"/>
      <c r="BT305" s="1985" t="n"/>
      <c r="BU305" s="1985">
        <f t="array" ref="BU305">BU303/BU323</f>
        <v/>
      </c>
      <c r="BV305" s="1985" t="n"/>
      <c r="BW305" s="1985" t="n"/>
      <c r="BX305" s="1985" t="n"/>
      <c r="BY305" s="1985" t="n"/>
      <c r="BZ305" s="1985">
        <f t="array" ref="BZ305">BZ303/BZ323</f>
        <v/>
      </c>
      <c r="CA305" s="270" t="inlineStr">
        <is>
          <t>Text_261</t>
        </is>
      </c>
      <c r="CB305" s="401" t="n"/>
      <c r="CC305" s="701" t="n"/>
      <c r="CD305" s="701" t="n"/>
      <c r="CE305" s="701" t="n"/>
      <c r="CF305" s="701" t="n"/>
      <c r="CG305" s="701" t="n"/>
      <c r="CH305" s="701" t="n"/>
      <c r="CI305" s="701" t="n"/>
      <c r="CJ305" s="701" t="n"/>
      <c r="CK305" s="701" t="n"/>
      <c r="CL305" s="701" t="n"/>
      <c r="CM305" s="701" t="n"/>
      <c r="CN305" s="701" t="n"/>
      <c r="CO305" s="701" t="n"/>
      <c r="CP305" s="701" t="n"/>
      <c r="CQ305" s="701" t="n"/>
      <c r="CR305" s="701" t="n"/>
      <c r="CS305" s="701" t="n"/>
      <c r="CT305" s="701" t="n"/>
      <c r="CU305" s="701" t="n"/>
      <c r="CV305" s="701" t="n"/>
      <c r="CW305" s="30" t="n"/>
    </row>
    <row r="306" hidden="1" ht="12.75" customHeight="1" s="1676">
      <c r="A306" s="31" t="n"/>
      <c r="B306" s="183" t="inlineStr">
        <is>
          <t>Text_262</t>
        </is>
      </c>
      <c r="C306" s="699" t="n"/>
      <c r="D306" s="1797" t="n"/>
      <c r="E306" s="1797" t="n"/>
      <c r="F306" s="1797" t="n"/>
      <c r="G306" s="1797" t="n"/>
      <c r="H306" s="1797" t="n"/>
      <c r="I306" s="1797" t="n">
        <v>112.266542860146</v>
      </c>
      <c r="J306" s="1797" t="n">
        <v>35.0055872526789</v>
      </c>
      <c r="K306" s="1797" t="n">
        <v>-223.446318026479</v>
      </c>
      <c r="L306" s="1797" t="n">
        <v>17.9689645324666</v>
      </c>
      <c r="M306" s="1797" t="n">
        <v>-7.96527634684872</v>
      </c>
      <c r="N306" s="1797" t="n">
        <v>-42.8310055656098</v>
      </c>
      <c r="O306" s="1797" t="n">
        <v>-21.4990451944241</v>
      </c>
      <c r="P306" s="1797" t="n">
        <v>-65.9303899978165</v>
      </c>
      <c r="Q306" s="1797" t="n">
        <v>182.606332344408</v>
      </c>
      <c r="R306" s="1797" t="n">
        <v>41.7490349977923</v>
      </c>
      <c r="S306" s="1797" t="n">
        <v>-83.6884452594643</v>
      </c>
      <c r="T306" s="1797" t="n">
        <v>-69.60349831231849</v>
      </c>
      <c r="U306" s="1797" t="n">
        <v>101.225350384172</v>
      </c>
      <c r="V306" s="1797" t="n">
        <v>2.14044181884263</v>
      </c>
      <c r="W306" s="1797" t="n">
        <v>-61.3576198988769</v>
      </c>
      <c r="X306" s="1797" t="n">
        <v>39.8455142524214</v>
      </c>
      <c r="Y306" s="1797" t="n">
        <v>-45.4843240356625</v>
      </c>
      <c r="Z306" s="1797" t="n">
        <v>-79.9513745790811</v>
      </c>
      <c r="AA306" s="1745" t="n">
        <v>-47.1903484821004</v>
      </c>
      <c r="AB306" s="1797" t="n">
        <v>-172.930158877171</v>
      </c>
      <c r="AC306" s="1797" t="n">
        <v>-71.240918267374</v>
      </c>
      <c r="AD306" s="1797" t="n">
        <v>-117.912140408376</v>
      </c>
      <c r="AE306" s="1797" t="n">
        <v>62.8360652573811</v>
      </c>
      <c r="AF306" s="1745" t="n">
        <v>9.61990302871137</v>
      </c>
      <c r="AG306" s="1797" t="n">
        <v>-136.194454988604</v>
      </c>
      <c r="AH306" s="1797" t="n">
        <v>87.4929626587156</v>
      </c>
      <c r="AI306" s="1797" t="n">
        <v>-180.170568519027</v>
      </c>
      <c r="AJ306" s="1797" t="n">
        <v>15.7249774719901</v>
      </c>
      <c r="AK306" s="1745" t="n">
        <v>-111.083359674553</v>
      </c>
      <c r="AL306" s="1797" t="n">
        <v>-234.538041512153</v>
      </c>
      <c r="AM306" s="1797" t="n">
        <v>-187.066367139169</v>
      </c>
      <c r="AN306" s="1797" t="n">
        <v>-252.861751730017</v>
      </c>
      <c r="AO306" s="1797" t="n">
        <v>121.995670955615</v>
      </c>
      <c r="AP306" s="1797" t="n">
        <v>-207.082777250178</v>
      </c>
      <c r="AQ306" s="1797" t="n">
        <v>-408.917745436847</v>
      </c>
      <c r="AR306" s="1797" t="n">
        <v>-57.7074574327703</v>
      </c>
      <c r="AS306" s="1797" t="n">
        <v>-415.176371428781</v>
      </c>
      <c r="AT306" s="1797" t="n">
        <v>382.346786022631</v>
      </c>
      <c r="AU306" s="1797" t="n">
        <v>87.9859777131408</v>
      </c>
      <c r="AV306" s="1797" t="n">
        <v>-50.2463235296293</v>
      </c>
      <c r="AW306" s="1975" t="n">
        <v>106.203502691933</v>
      </c>
      <c r="AX306" s="1854" t="n">
        <v>-169.38892016368</v>
      </c>
      <c r="AY306" s="1854" t="n">
        <v>160.489506719032</v>
      </c>
      <c r="AZ306" s="1854" t="n">
        <v>-229.059216595989</v>
      </c>
      <c r="BA306" s="1748">
        <f t="array" ref="BA306">AZ306+AY306+AX306+AW306</f>
        <v/>
      </c>
      <c r="BB306" s="456" t="n"/>
      <c r="BC306" s="701" t="n"/>
      <c r="BD306" s="701" t="n"/>
      <c r="BE306" s="701" t="n"/>
      <c r="BF306" s="1795" t="n"/>
      <c r="BG306" s="699" t="n"/>
      <c r="BH306" s="699" t="n"/>
      <c r="BI306" s="699" t="n"/>
      <c r="BJ306" s="699" t="n"/>
      <c r="BK306" s="1797" t="n"/>
      <c r="BL306" s="699" t="n"/>
      <c r="BM306" s="699" t="n"/>
      <c r="BN306" s="699" t="n"/>
      <c r="BO306" s="699" t="n"/>
      <c r="BP306" s="1797" t="n"/>
      <c r="BQ306" s="699" t="n"/>
      <c r="BR306" s="699" t="n"/>
      <c r="BS306" s="699" t="n"/>
      <c r="BT306" s="699" t="n"/>
      <c r="BU306" s="1797" t="n"/>
      <c r="BV306" s="699" t="n"/>
      <c r="BW306" s="699" t="n"/>
      <c r="BX306" s="699" t="n"/>
      <c r="BY306" s="699" t="n"/>
      <c r="BZ306" s="1797" t="n"/>
      <c r="CA306" s="699" t="n"/>
      <c r="CB306" s="456" t="n"/>
      <c r="CC306" s="701" t="n"/>
      <c r="CD306" s="701" t="n"/>
      <c r="CE306" s="701" t="n"/>
      <c r="CF306" s="701" t="n"/>
      <c r="CG306" s="701" t="n"/>
      <c r="CH306" s="701" t="n"/>
      <c r="CI306" s="701" t="n"/>
      <c r="CJ306" s="701" t="n"/>
      <c r="CK306" s="701" t="n"/>
      <c r="CL306" s="701" t="n"/>
      <c r="CM306" s="701" t="n"/>
      <c r="CN306" s="701" t="n"/>
      <c r="CO306" s="701" t="n"/>
      <c r="CP306" s="701" t="n"/>
      <c r="CQ306" s="701" t="n"/>
      <c r="CR306" s="701" t="n"/>
      <c r="CS306" s="701" t="n"/>
      <c r="CT306" s="701" t="n"/>
      <c r="CU306" s="701" t="n"/>
      <c r="CV306" s="701" t="n"/>
      <c r="CW306" s="30" t="n"/>
    </row>
    <row r="307" hidden="1" ht="12.75" customHeight="1" s="1676">
      <c r="A307" s="31" t="n"/>
      <c r="B307" s="183" t="inlineStr">
        <is>
          <t>Text_263</t>
        </is>
      </c>
      <c r="C307" s="699" t="n"/>
      <c r="D307" s="1797" t="n"/>
      <c r="E307" s="1797" t="n"/>
      <c r="F307" s="1797" t="n"/>
      <c r="G307" s="1797" t="n"/>
      <c r="H307" s="1797" t="n"/>
      <c r="I307" s="1797" t="n">
        <v>-32.0113851926478</v>
      </c>
      <c r="J307" s="1797" t="n">
        <v>-37.5577137368209</v>
      </c>
      <c r="K307" s="1797" t="n">
        <v>-27.1439624119346</v>
      </c>
      <c r="L307" s="1797" t="n">
        <v>28.2602896555857</v>
      </c>
      <c r="M307" s="1797" t="n">
        <v>-75.82334064377071</v>
      </c>
      <c r="N307" s="1797" t="n">
        <v>1.15057029263896</v>
      </c>
      <c r="O307" s="1797" t="n">
        <v>14.8394195417938</v>
      </c>
      <c r="P307" s="1797" t="n">
        <v>-28.2682626959474</v>
      </c>
      <c r="Q307" s="1797" t="n">
        <v>-26.9718479895268</v>
      </c>
      <c r="R307" s="1797" t="n">
        <v>-38.2338781190343</v>
      </c>
      <c r="S307" s="1797" t="n">
        <v>-18.8550434430993</v>
      </c>
      <c r="T307" s="1797" t="n">
        <v>-27.0023610900728</v>
      </c>
      <c r="U307" s="1797" t="n">
        <v>-70.6574755282511</v>
      </c>
      <c r="V307" s="1797" t="n">
        <v>-81.6629160714526</v>
      </c>
      <c r="W307" s="1797" t="n">
        <v>-184.146286739684</v>
      </c>
      <c r="X307" s="1797" t="n">
        <v>-54.4047246992172</v>
      </c>
      <c r="Y307" s="1797" t="n">
        <v>-12.9783440904021</v>
      </c>
      <c r="Z307" s="1797" t="n">
        <v>-1.84963585101099</v>
      </c>
      <c r="AA307" s="1745" t="n">
        <v>12.8311764907222</v>
      </c>
      <c r="AB307" s="1797" t="n">
        <v>-49.7596520768591</v>
      </c>
      <c r="AC307" s="1797" t="n">
        <v>-4.52205418050111</v>
      </c>
      <c r="AD307" s="1797" t="n">
        <v>-1.49634383457762</v>
      </c>
      <c r="AE307" s="1797" t="n">
        <v>-12.7372474598977</v>
      </c>
      <c r="AF307" s="1745" t="n">
        <v>-67.8933817089774</v>
      </c>
      <c r="AG307" s="1797" t="n">
        <v>-87.7786960444524</v>
      </c>
      <c r="AH307" s="1797" t="n">
        <v>-90.8947296292923</v>
      </c>
      <c r="AI307" s="1797" t="n">
        <v>-25.3892070868416</v>
      </c>
      <c r="AJ307" s="1797" t="n">
        <v>-36.0302177498862</v>
      </c>
      <c r="AK307" s="1745" t="n">
        <v>-137.861898578791</v>
      </c>
      <c r="AL307" s="1797" t="n">
        <v>-228.865042067363</v>
      </c>
      <c r="AM307" s="1797" t="n">
        <v>-133.208938720896</v>
      </c>
      <c r="AN307" s="1797" t="n">
        <v>-115.524292900571</v>
      </c>
      <c r="AO307" s="1797" t="n">
        <v>-149.240338722359</v>
      </c>
      <c r="AP307" s="1797" t="n">
        <v>-175.504563788543</v>
      </c>
      <c r="AQ307" s="1797" t="n">
        <v>-586.90919636678</v>
      </c>
      <c r="AR307" s="1797" t="n">
        <v>-232.01759179783</v>
      </c>
      <c r="AS307" s="1797" t="n">
        <v>-120.612906968236</v>
      </c>
      <c r="AT307" s="1797" t="n">
        <v>-197.234454545166</v>
      </c>
      <c r="AU307" s="1797" t="n">
        <v>-117.238983470399</v>
      </c>
      <c r="AV307" s="1745" t="n">
        <v>-606.485907267011</v>
      </c>
      <c r="AW307" s="1975" t="n">
        <v>-156.784269235423</v>
      </c>
      <c r="AX307" s="1854" t="n">
        <v>-19.2656389570056</v>
      </c>
      <c r="AY307" s="1854" t="n">
        <v>28.5640782927066</v>
      </c>
      <c r="AZ307" s="1854" t="n">
        <v>-30.1988176053504</v>
      </c>
      <c r="BA307" s="1748">
        <f t="array" ref="BA307">AZ307+AY307+AX307+AW307</f>
        <v/>
      </c>
      <c r="BB307" s="456" t="n"/>
      <c r="BC307" s="701" t="n"/>
      <c r="BD307" s="701" t="n"/>
      <c r="BE307" s="701" t="n"/>
      <c r="BF307" s="1748" t="n"/>
      <c r="BG307" s="699" t="n"/>
      <c r="BH307" s="699" t="n"/>
      <c r="BI307" s="699" t="n"/>
      <c r="BJ307" s="699" t="n"/>
      <c r="BK307" s="1745" t="n"/>
      <c r="BL307" s="699" t="n"/>
      <c r="BM307" s="699" t="n"/>
      <c r="BN307" s="699" t="n"/>
      <c r="BO307" s="699" t="n"/>
      <c r="BP307" s="1745" t="n"/>
      <c r="BQ307" s="699" t="n"/>
      <c r="BR307" s="699" t="n"/>
      <c r="BS307" s="699" t="n"/>
      <c r="BT307" s="699" t="n"/>
      <c r="BU307" s="1745" t="n"/>
      <c r="BV307" s="699" t="n"/>
      <c r="BW307" s="699" t="n"/>
      <c r="BX307" s="699" t="n"/>
      <c r="BY307" s="699" t="n"/>
      <c r="BZ307" s="1745" t="n"/>
      <c r="CA307" s="1871" t="n"/>
      <c r="CB307" s="456" t="n"/>
      <c r="CC307" s="701" t="n"/>
      <c r="CD307" s="701" t="n"/>
      <c r="CE307" s="701" t="n"/>
      <c r="CF307" s="701" t="n"/>
      <c r="CG307" s="701" t="n"/>
      <c r="CH307" s="701" t="n"/>
      <c r="CI307" s="701" t="n"/>
      <c r="CJ307" s="701" t="n"/>
      <c r="CK307" s="701" t="n"/>
      <c r="CL307" s="701" t="n"/>
      <c r="CM307" s="701" t="n"/>
      <c r="CN307" s="701" t="n"/>
      <c r="CO307" s="701" t="n"/>
      <c r="CP307" s="701" t="n"/>
      <c r="CQ307" s="701" t="n"/>
      <c r="CR307" s="701" t="n"/>
      <c r="CS307" s="701" t="n"/>
      <c r="CT307" s="701" t="n"/>
      <c r="CU307" s="701" t="n"/>
      <c r="CV307" s="701" t="n"/>
      <c r="CW307" s="30" t="n"/>
    </row>
    <row r="308" hidden="1" ht="12.75" customHeight="1" s="1676">
      <c r="A308" s="31" t="n"/>
      <c r="B308" s="183" t="inlineStr">
        <is>
          <t>Text_264</t>
        </is>
      </c>
      <c r="C308" s="699" t="n"/>
      <c r="D308" s="1797" t="n"/>
      <c r="E308" s="1797" t="n"/>
      <c r="F308" s="1797" t="n"/>
      <c r="G308" s="1797" t="n"/>
      <c r="H308" s="1797" t="n"/>
      <c r="I308" s="1797" t="n">
        <v>4.89093772047584</v>
      </c>
      <c r="J308" s="1797" t="n">
        <v>13.5982553322613</v>
      </c>
      <c r="K308" s="1797" t="n">
        <v>3.6454570818335</v>
      </c>
      <c r="L308" s="1797" t="n">
        <v>-22.8060309125472</v>
      </c>
      <c r="M308" s="1797" t="n">
        <v>3.53422858366229</v>
      </c>
      <c r="N308" s="1797" t="n">
        <v>-1.48225318578776</v>
      </c>
      <c r="O308" s="1797" t="n">
        <v>13.2127816197009</v>
      </c>
      <c r="P308" s="1797" t="n">
        <v>22.6320350288184</v>
      </c>
      <c r="Q308" s="1797" t="n">
        <v>6.79737558422087</v>
      </c>
      <c r="R308" s="1797" t="n">
        <v>34.2210187575517</v>
      </c>
      <c r="S308" s="1797" t="n">
        <v>-7.3877998550488</v>
      </c>
      <c r="T308" s="1797" t="n">
        <v>12.078224075557</v>
      </c>
      <c r="U308" s="1797" t="n">
        <v>19.1558457142527</v>
      </c>
      <c r="V308" s="1797" t="n">
        <v>0.399606777753856</v>
      </c>
      <c r="W308" s="1797" t="n">
        <v>23.7772920814368</v>
      </c>
      <c r="X308" s="1797" t="n">
        <v>-16.3331191814415</v>
      </c>
      <c r="Y308" s="1797" t="n">
        <v>-2.10709437164529</v>
      </c>
      <c r="Z308" s="1797" t="n">
        <v>-0.598671045092241</v>
      </c>
      <c r="AA308" s="1745" t="n">
        <v>-3.27307073731524</v>
      </c>
      <c r="AB308" s="1797" t="n">
        <v>-23.8015955942201</v>
      </c>
      <c r="AC308" s="1797" t="n">
        <v>20.070639250442</v>
      </c>
      <c r="AD308" s="1797" t="n">
        <v>41.6977273240642</v>
      </c>
      <c r="AE308" s="1797" t="n">
        <v>-10.6791336972253</v>
      </c>
      <c r="AF308" s="1745" t="n">
        <v>16.3782696898063</v>
      </c>
      <c r="AG308" s="1797" t="n">
        <v>55.8168185980164</v>
      </c>
      <c r="AH308" s="1797" t="n">
        <v>-8.885789290261631</v>
      </c>
      <c r="AI308" s="1797" t="n">
        <v>7.22538502629592</v>
      </c>
      <c r="AJ308" s="1797" t="n">
        <v>38.0544974773425</v>
      </c>
      <c r="AK308" s="1745" t="n">
        <v>43.5638118878056</v>
      </c>
      <c r="AL308" s="1797" t="n">
        <v>72.12622478557</v>
      </c>
      <c r="AM308" s="1797" t="n">
        <v>46.2121945803661</v>
      </c>
      <c r="AN308" s="1797" t="n">
        <v>-1.28036195425583</v>
      </c>
      <c r="AO308" s="1797" t="n">
        <v>46.4232684596223</v>
      </c>
      <c r="AP308" s="1797" t="n">
        <v>15.9082762920239</v>
      </c>
      <c r="AQ308" s="1797" t="n">
        <v>101.126734222165</v>
      </c>
      <c r="AR308" s="1797" t="n">
        <v>29.6679820903539</v>
      </c>
      <c r="AS308" s="1797" t="n">
        <v>36.5642408070124</v>
      </c>
      <c r="AT308" s="1797" t="n">
        <v>-139.050943217885</v>
      </c>
      <c r="AU308" s="1797" t="n">
        <v>-90.5705148242283</v>
      </c>
      <c r="AV308" s="1797" t="n">
        <v>-146.537003327446</v>
      </c>
      <c r="AW308" s="1975" t="n">
        <v>8.04823712148116</v>
      </c>
      <c r="AX308" s="1854" t="n">
        <v>2.52761929371552</v>
      </c>
      <c r="AY308" s="1854" t="n">
        <v>-11.8753975172585</v>
      </c>
      <c r="AZ308" s="1854" t="n">
        <v>19.5526497055364</v>
      </c>
      <c r="BA308" s="1748">
        <f t="array" ref="BA308">AZ308+AY308+AX308+AW308</f>
        <v/>
      </c>
      <c r="BB308" s="456" t="n"/>
      <c r="BC308" s="701" t="n"/>
      <c r="BD308" s="701" t="n"/>
      <c r="BE308" s="701" t="n"/>
      <c r="BF308" s="1795" t="n"/>
      <c r="BG308" s="699" t="n"/>
      <c r="BH308" s="699" t="n"/>
      <c r="BI308" s="699" t="n"/>
      <c r="BJ308" s="699" t="n"/>
      <c r="BK308" s="1797" t="n"/>
      <c r="BL308" s="699" t="n"/>
      <c r="BM308" s="699" t="n"/>
      <c r="BN308" s="699" t="n"/>
      <c r="BO308" s="699" t="n"/>
      <c r="BP308" s="1797" t="n"/>
      <c r="BQ308" s="699" t="n"/>
      <c r="BR308" s="699" t="n"/>
      <c r="BS308" s="699" t="n"/>
      <c r="BT308" s="699" t="n"/>
      <c r="BU308" s="1797" t="n"/>
      <c r="BV308" s="699" t="n"/>
      <c r="BW308" s="699" t="n"/>
      <c r="BX308" s="699" t="n"/>
      <c r="BY308" s="699" t="n"/>
      <c r="BZ308" s="1797" t="n"/>
      <c r="CA308" s="699" t="n"/>
      <c r="CB308" s="456" t="n"/>
      <c r="CC308" s="701" t="n"/>
      <c r="CD308" s="701" t="n"/>
      <c r="CE308" s="701" t="n"/>
      <c r="CF308" s="701" t="n"/>
      <c r="CG308" s="701" t="n"/>
      <c r="CH308" s="701" t="n"/>
      <c r="CI308" s="701" t="n"/>
      <c r="CJ308" s="701" t="n"/>
      <c r="CK308" s="701" t="n"/>
      <c r="CL308" s="701" t="n"/>
      <c r="CM308" s="701" t="n"/>
      <c r="CN308" s="701" t="n"/>
      <c r="CO308" s="701" t="n"/>
      <c r="CP308" s="701" t="n"/>
      <c r="CQ308" s="701" t="n"/>
      <c r="CR308" s="701" t="n"/>
      <c r="CS308" s="701" t="n"/>
      <c r="CT308" s="701" t="n"/>
      <c r="CU308" s="701" t="n"/>
      <c r="CV308" s="701" t="n"/>
      <c r="CW308" s="30" t="n"/>
    </row>
    <row r="309" ht="12.75" customHeight="1" s="1676">
      <c r="A309" s="13" t="n"/>
      <c r="B309" s="525" t="inlineStr">
        <is>
          <t>Text_265</t>
        </is>
      </c>
      <c r="C309" s="526" t="n"/>
      <c r="D309" s="1882" t="n"/>
      <c r="E309" s="1882" t="n"/>
      <c r="F309" s="1882" t="n"/>
      <c r="G309" s="1882" t="n"/>
      <c r="H309" s="1882" t="n"/>
      <c r="I309" s="1882" t="n"/>
      <c r="J309" s="1882" t="n"/>
      <c r="K309" s="1882" t="n"/>
      <c r="L309" s="1882" t="n"/>
      <c r="M309" s="1882">
        <f t="array" ref="M309">M308+M307+M306</f>
        <v/>
      </c>
      <c r="N309" s="1882" t="n"/>
      <c r="O309" s="1882" t="n"/>
      <c r="P309" s="1882" t="n"/>
      <c r="Q309" s="1882" t="n"/>
      <c r="R309" s="1882">
        <f t="array" ref="R309">R308+R307+R306</f>
        <v/>
      </c>
      <c r="S309" s="1882" t="n"/>
      <c r="T309" s="1882" t="n"/>
      <c r="U309" s="1882" t="n"/>
      <c r="V309" s="1882" t="n"/>
      <c r="W309" s="1882">
        <f t="array" ref="W309">W308+W307+W306</f>
        <v/>
      </c>
      <c r="X309" s="1882" t="n"/>
      <c r="Y309" s="1882" t="n"/>
      <c r="Z309" s="1882" t="n"/>
      <c r="AA309" s="1882" t="n"/>
      <c r="AB309" s="1882">
        <f t="array" ref="AB309">AB308+AB307+AB306</f>
        <v/>
      </c>
      <c r="AC309" s="1882" t="n"/>
      <c r="AD309" s="1882" t="n"/>
      <c r="AE309" s="1882" t="n"/>
      <c r="AF309" s="1882" t="n"/>
      <c r="AG309" s="1882">
        <f t="array" ref="AG309">AG308+AG307+AG306</f>
        <v/>
      </c>
      <c r="AH309" s="1882" t="n"/>
      <c r="AI309" s="1882" t="n"/>
      <c r="AJ309" s="1882" t="n"/>
      <c r="AK309" s="1882" t="n"/>
      <c r="AL309" s="1882">
        <f t="array" ref="AL309">AL308+AL307+AL306</f>
        <v/>
      </c>
      <c r="AM309" s="1882">
        <f t="array" ref="AM309">AM308+AM307+AM306</f>
        <v/>
      </c>
      <c r="AN309" s="1882">
        <f t="array" ref="AN309">AN308+AN307+AN306</f>
        <v/>
      </c>
      <c r="AO309" s="1882">
        <f t="array" ref="AO309">AO308+AO307+AO306</f>
        <v/>
      </c>
      <c r="AP309" s="1882">
        <f t="array" ref="AP309">AP308+AP307+AP306</f>
        <v/>
      </c>
      <c r="AQ309" s="1882">
        <f t="array" ref="AQ309">AQ308+AQ307+AQ306</f>
        <v/>
      </c>
      <c r="AR309" s="1882">
        <f t="array" ref="AR309">AR308+AR307+AR306</f>
        <v/>
      </c>
      <c r="AS309" s="1882">
        <f t="array" ref="AS309">AS308+AS307+AS306</f>
        <v/>
      </c>
      <c r="AT309" s="1882">
        <f t="array" ref="AT309">AT308+AT307+AT306</f>
        <v/>
      </c>
      <c r="AU309" s="1882">
        <f t="array" ref="AU309">AU308+AU307+AU306</f>
        <v/>
      </c>
      <c r="AV309" s="1882">
        <f t="array" ref="AV309">AV308+AV307+AV306</f>
        <v/>
      </c>
      <c r="AW309" s="2004">
        <f t="array" ref="AW309">AW308+AW307+AW306</f>
        <v/>
      </c>
      <c r="AX309" s="2005">
        <f t="array" ref="AX309">AX308+AX307+AX306</f>
        <v/>
      </c>
      <c r="AY309" s="2005">
        <f t="array" ref="AY309">AY308+AY307+AY306</f>
        <v/>
      </c>
      <c r="AZ309" s="2005">
        <f t="array" ref="AZ309">BA309-AY309-AX309-AW309</f>
        <v/>
      </c>
      <c r="BA309" s="1881">
        <f t="array" ref="BA309">BA308+BA307+BA306</f>
        <v/>
      </c>
      <c r="BB309" s="704" t="n"/>
      <c r="BC309" s="705" t="n"/>
      <c r="BD309" s="705" t="n"/>
      <c r="BE309" s="705" t="n"/>
      <c r="BF309" s="1881">
        <f t="array" ref="BF309">BA368-BF368</f>
        <v/>
      </c>
      <c r="BG309" s="526" t="n"/>
      <c r="BH309" s="526" t="n"/>
      <c r="BI309" s="526" t="n"/>
      <c r="BJ309" s="526" t="n"/>
      <c r="BK309" s="1882">
        <f t="array" ref="BK309">BF368-BK368</f>
        <v/>
      </c>
      <c r="BL309" s="526" t="n"/>
      <c r="BM309" s="526" t="n"/>
      <c r="BN309" s="526" t="n"/>
      <c r="BO309" s="526" t="n"/>
      <c r="BP309" s="1882">
        <f t="array" ref="BP309">BK368-BP368</f>
        <v/>
      </c>
      <c r="BQ309" s="526" t="n"/>
      <c r="BR309" s="526" t="n"/>
      <c r="BS309" s="526" t="n"/>
      <c r="BT309" s="526" t="n"/>
      <c r="BU309" s="1882">
        <f t="array" ref="BU309">BP368-BU368</f>
        <v/>
      </c>
      <c r="BV309" s="526" t="n"/>
      <c r="BW309" s="526" t="n"/>
      <c r="BX309" s="526" t="n"/>
      <c r="BY309" s="526" t="n"/>
      <c r="BZ309" s="1882">
        <f t="array" ref="BZ309">BU368-BZ368</f>
        <v/>
      </c>
      <c r="CA309" s="238" t="inlineStr">
        <is>
          <t>Text_266</t>
        </is>
      </c>
      <c r="CB309" s="456" t="n"/>
      <c r="CC309" s="701" t="n"/>
      <c r="CD309" s="701" t="n"/>
      <c r="CE309" s="701" t="n"/>
      <c r="CF309" s="701" t="n"/>
      <c r="CG309" s="701" t="n"/>
      <c r="CH309" s="701" t="n"/>
      <c r="CI309" s="701" t="n"/>
      <c r="CJ309" s="701" t="n"/>
      <c r="CK309" s="701" t="n"/>
      <c r="CL309" s="701" t="n"/>
      <c r="CM309" s="701" t="n"/>
      <c r="CN309" s="701" t="n"/>
      <c r="CO309" s="701" t="n"/>
      <c r="CP309" s="701" t="n"/>
      <c r="CQ309" s="701" t="n"/>
      <c r="CR309" s="701" t="n"/>
      <c r="CS309" s="701" t="n"/>
      <c r="CT309" s="701" t="n"/>
      <c r="CU309" s="701" t="n"/>
      <c r="CV309" s="701" t="n"/>
      <c r="CW309" s="30" t="n"/>
    </row>
    <row r="310" ht="12.75" customHeight="1" s="1676">
      <c r="A310" s="548" t="n"/>
      <c r="B310" s="167" t="inlineStr">
        <is>
          <t>Text_187</t>
        </is>
      </c>
      <c r="C310" s="610" t="n"/>
      <c r="D310" s="2091" t="n"/>
      <c r="E310" s="2091" t="n"/>
      <c r="F310" s="2091" t="n"/>
      <c r="G310" s="2091" t="n"/>
      <c r="H310" s="2091" t="n"/>
      <c r="I310" s="2091" t="n"/>
      <c r="J310" s="2091" t="n"/>
      <c r="K310" s="2091" t="n"/>
      <c r="L310" s="2091" t="n"/>
      <c r="M310" s="1751">
        <f t="array" ref="M310">M309/M$212</f>
        <v/>
      </c>
      <c r="N310" s="2091" t="n"/>
      <c r="O310" s="2091" t="n"/>
      <c r="P310" s="2091" t="n"/>
      <c r="Q310" s="2091" t="n"/>
      <c r="R310" s="1751">
        <f t="array" ref="R310">R309/R$212</f>
        <v/>
      </c>
      <c r="S310" s="2091" t="n"/>
      <c r="T310" s="2091" t="n"/>
      <c r="U310" s="2091" t="n"/>
      <c r="V310" s="2091" t="n"/>
      <c r="W310" s="1751">
        <f t="array" ref="W310">W309/W$212</f>
        <v/>
      </c>
      <c r="X310" s="2091" t="n"/>
      <c r="Y310" s="2091" t="n"/>
      <c r="Z310" s="2091" t="n"/>
      <c r="AA310" s="2091" t="n"/>
      <c r="AB310" s="1751">
        <f t="array" ref="AB310">AB309/AB$212</f>
        <v/>
      </c>
      <c r="AC310" s="1751" t="n"/>
      <c r="AD310" s="1751" t="n"/>
      <c r="AE310" s="1751" t="n"/>
      <c r="AF310" s="1751" t="n"/>
      <c r="AG310" s="1751">
        <f t="array" ref="AG310">AG309/AG$212</f>
        <v/>
      </c>
      <c r="AH310" s="1751" t="n"/>
      <c r="AI310" s="1751" t="n"/>
      <c r="AJ310" s="1751" t="n"/>
      <c r="AK310" s="1751" t="n"/>
      <c r="AL310" s="1751">
        <f t="array" ref="AL310">AL309/AL$212</f>
        <v/>
      </c>
      <c r="AM310" s="1751">
        <f t="array" ref="AM310">AM309/AM$212</f>
        <v/>
      </c>
      <c r="AN310" s="1751">
        <f t="array" ref="AN310">AN309/AN$212</f>
        <v/>
      </c>
      <c r="AO310" s="1751">
        <f t="array" ref="AO310">AO309/AO$212</f>
        <v/>
      </c>
      <c r="AP310" s="1751">
        <f t="array" ref="AP310">AP309/AP$212</f>
        <v/>
      </c>
      <c r="AQ310" s="1751">
        <f t="array" ref="AQ310">AQ309/AQ$212</f>
        <v/>
      </c>
      <c r="AR310" s="1751">
        <f t="array" ref="AR310">AR309/AR$212</f>
        <v/>
      </c>
      <c r="AS310" s="1751">
        <f t="array" ref="AS310">AS309/AS$212</f>
        <v/>
      </c>
      <c r="AT310" s="1751">
        <f t="array" ref="AT310">AT309/AT$212</f>
        <v/>
      </c>
      <c r="AU310" s="1751">
        <f t="array" ref="AU310">AU309/AU$212</f>
        <v/>
      </c>
      <c r="AV310" s="1751">
        <f t="array" ref="AV310">AV309/AV$212</f>
        <v/>
      </c>
      <c r="AW310" s="1749">
        <f t="array" ref="AW310">AW309/AW$212</f>
        <v/>
      </c>
      <c r="AX310" s="1750">
        <f t="array" ref="AX310">AX309/AX$212</f>
        <v/>
      </c>
      <c r="AY310" s="1750">
        <f t="array" ref="AY310">AY309/AY$212</f>
        <v/>
      </c>
      <c r="AZ310" s="1750">
        <f t="array" ref="AZ310">AZ309/AZ$212</f>
        <v/>
      </c>
      <c r="BA310" s="1784">
        <f t="array" ref="BA310">BA309/BA$212</f>
        <v/>
      </c>
      <c r="BB310" s="707" t="n"/>
      <c r="BC310" s="376" t="n"/>
      <c r="BD310" s="376" t="n"/>
      <c r="BE310" s="376" t="n"/>
      <c r="BF310" s="1784">
        <f t="array" ref="BF310">BF309/BF$212</f>
        <v/>
      </c>
      <c r="BG310" s="610" t="n"/>
      <c r="BH310" s="610" t="n"/>
      <c r="BI310" s="610" t="n"/>
      <c r="BJ310" s="610" t="n"/>
      <c r="BK310" s="1751">
        <f t="array" ref="BK310">BK309/BK$212</f>
        <v/>
      </c>
      <c r="BL310" s="610" t="n"/>
      <c r="BM310" s="610" t="n"/>
      <c r="BN310" s="610" t="n"/>
      <c r="BO310" s="610" t="n"/>
      <c r="BP310" s="1751">
        <f t="array" ref="BP310">BP309/BP$212</f>
        <v/>
      </c>
      <c r="BQ310" s="610" t="n"/>
      <c r="BR310" s="610" t="n"/>
      <c r="BS310" s="610" t="n"/>
      <c r="BT310" s="610" t="n"/>
      <c r="BU310" s="1751">
        <f t="array" ref="BU310">BU309/BU$212</f>
        <v/>
      </c>
      <c r="BV310" s="610" t="n"/>
      <c r="BW310" s="610" t="n"/>
      <c r="BX310" s="610" t="n"/>
      <c r="BY310" s="610" t="n"/>
      <c r="BZ310" s="1751">
        <f t="array" ref="BZ310">BZ309/BZ$212</f>
        <v/>
      </c>
      <c r="CA310" s="1713" t="n"/>
      <c r="CB310" s="401" t="n"/>
      <c r="CC310" s="701" t="n"/>
      <c r="CD310" s="701" t="n"/>
      <c r="CE310" s="701" t="n"/>
      <c r="CF310" s="701" t="n"/>
      <c r="CG310" s="701" t="n"/>
      <c r="CH310" s="701" t="n"/>
      <c r="CI310" s="701" t="n"/>
      <c r="CJ310" s="701" t="n"/>
      <c r="CK310" s="701" t="n"/>
      <c r="CL310" s="701" t="n"/>
      <c r="CM310" s="701" t="n"/>
      <c r="CN310" s="701" t="n"/>
      <c r="CO310" s="701" t="n"/>
      <c r="CP310" s="701" t="n"/>
      <c r="CQ310" s="701" t="n"/>
      <c r="CR310" s="701" t="n"/>
      <c r="CS310" s="701" t="n"/>
      <c r="CT310" s="701" t="n"/>
      <c r="CU310" s="701" t="n"/>
      <c r="CV310" s="701" t="n"/>
      <c r="CW310" s="30" t="n"/>
    </row>
    <row r="311" ht="12.75" customHeight="1" s="1676">
      <c r="A311" s="548" t="n"/>
      <c r="B311" s="167" t="inlineStr">
        <is>
          <t>Text_260</t>
        </is>
      </c>
      <c r="C311" s="610" t="n"/>
      <c r="D311" s="2091" t="n"/>
      <c r="E311" s="2091" t="n"/>
      <c r="F311" s="2091" t="n"/>
      <c r="G311" s="2091" t="n"/>
      <c r="H311" s="2091" t="n"/>
      <c r="I311" s="2091" t="n"/>
      <c r="J311" s="2091" t="n"/>
      <c r="K311" s="2091" t="n"/>
      <c r="L311" s="2091" t="n"/>
      <c r="M311" s="1751">
        <f t="array" ref="M311">M309/M$323</f>
        <v/>
      </c>
      <c r="N311" s="2091" t="n"/>
      <c r="O311" s="2091" t="n"/>
      <c r="P311" s="2091" t="n"/>
      <c r="Q311" s="2091" t="n"/>
      <c r="R311" s="1751">
        <f t="array" ref="R311">R309/R$323</f>
        <v/>
      </c>
      <c r="S311" s="2091" t="n"/>
      <c r="T311" s="2091" t="n"/>
      <c r="U311" s="2091" t="n"/>
      <c r="V311" s="2091" t="n"/>
      <c r="W311" s="1751">
        <f t="array" ref="W311">W309/W$323</f>
        <v/>
      </c>
      <c r="X311" s="2091" t="n"/>
      <c r="Y311" s="2091" t="n"/>
      <c r="Z311" s="2091" t="n"/>
      <c r="AA311" s="2091" t="n"/>
      <c r="AB311" s="1751">
        <f t="array" ref="AB311">AB309/AB$323</f>
        <v/>
      </c>
      <c r="AC311" s="1751" t="n"/>
      <c r="AD311" s="1751" t="n"/>
      <c r="AE311" s="1751" t="n"/>
      <c r="AF311" s="1751" t="n"/>
      <c r="AG311" s="1751">
        <f t="array" ref="AG311">AG309/AG$323</f>
        <v/>
      </c>
      <c r="AH311" s="1751" t="n"/>
      <c r="AI311" s="1751" t="n"/>
      <c r="AJ311" s="1751" t="n"/>
      <c r="AK311" s="1751" t="n"/>
      <c r="AL311" s="1751">
        <f t="array" ref="AL311">AL309/AL$323</f>
        <v/>
      </c>
      <c r="AM311" s="1751">
        <f t="array" ref="AM311">AM309/AM$323</f>
        <v/>
      </c>
      <c r="AN311" s="1751">
        <f t="array" ref="AN311">AN309/AN$323</f>
        <v/>
      </c>
      <c r="AO311" s="1751">
        <f t="array" ref="AO311">AO309/AO$323</f>
        <v/>
      </c>
      <c r="AP311" s="1751">
        <f t="array" ref="AP311">AP309/AP$323</f>
        <v/>
      </c>
      <c r="AQ311" s="1751">
        <f t="array" ref="AQ311">AQ309/AQ$323</f>
        <v/>
      </c>
      <c r="AR311" s="1751">
        <f t="array" ref="AR311">AR309/AR$323</f>
        <v/>
      </c>
      <c r="AS311" s="1751">
        <f t="array" ref="AS311">AS309/AS$323</f>
        <v/>
      </c>
      <c r="AT311" s="1751">
        <f t="array" ref="AT311">AT309/AT$323</f>
        <v/>
      </c>
      <c r="AU311" s="1751">
        <f t="array" ref="AU311">AU309/AU$323</f>
        <v/>
      </c>
      <c r="AV311" s="1751">
        <f t="array" ref="AV311">AV309/AV$323</f>
        <v/>
      </c>
      <c r="AW311" s="1749">
        <f t="array" ref="AW311">AW309/AW$323</f>
        <v/>
      </c>
      <c r="AX311" s="1750">
        <f t="array" ref="AX311">AX309/AX$323</f>
        <v/>
      </c>
      <c r="AY311" s="1750">
        <f t="array" ref="AY311">AY309/AY$323</f>
        <v/>
      </c>
      <c r="AZ311" s="1750">
        <f t="array" ref="AZ311">AZ309/AZ$323</f>
        <v/>
      </c>
      <c r="BA311" s="1984">
        <f t="array" ref="BA311">BA309/BA$323</f>
        <v/>
      </c>
      <c r="BB311" s="707" t="n"/>
      <c r="BC311" s="376" t="n"/>
      <c r="BD311" s="376" t="n"/>
      <c r="BE311" s="376" t="n"/>
      <c r="BF311" s="1984">
        <f t="array" ref="BF311">BF309/BF$323</f>
        <v/>
      </c>
      <c r="BG311" s="708" t="n"/>
      <c r="BH311" s="708" t="n"/>
      <c r="BI311" s="708" t="n"/>
      <c r="BJ311" s="708" t="n"/>
      <c r="BK311" s="1985">
        <f t="array" ref="BK311">BK309/BK$323</f>
        <v/>
      </c>
      <c r="BL311" s="708" t="n"/>
      <c r="BM311" s="708" t="n"/>
      <c r="BN311" s="708" t="n"/>
      <c r="BO311" s="708" t="n"/>
      <c r="BP311" s="1985">
        <f t="array" ref="BP311">BP309/BP$323</f>
        <v/>
      </c>
      <c r="BQ311" s="708" t="n"/>
      <c r="BR311" s="708" t="n"/>
      <c r="BS311" s="708" t="n"/>
      <c r="BT311" s="708" t="n"/>
      <c r="BU311" s="1985">
        <f t="array" ref="BU311">BU309/BU$323</f>
        <v/>
      </c>
      <c r="BV311" s="708" t="n"/>
      <c r="BW311" s="708" t="n"/>
      <c r="BX311" s="708" t="n"/>
      <c r="BY311" s="708" t="n"/>
      <c r="BZ311" s="1985">
        <f t="array" ref="BZ311">BZ309/BZ$323</f>
        <v/>
      </c>
      <c r="CA311" s="1713" t="n"/>
      <c r="CB311" s="401" t="n"/>
      <c r="CC311" s="701" t="n"/>
      <c r="CD311" s="701" t="n"/>
      <c r="CE311" s="701" t="n"/>
      <c r="CF311" s="701" t="n"/>
      <c r="CG311" s="701" t="n"/>
      <c r="CH311" s="701" t="n"/>
      <c r="CI311" s="701" t="n"/>
      <c r="CJ311" s="701" t="n"/>
      <c r="CK311" s="701" t="n"/>
      <c r="CL311" s="701" t="n"/>
      <c r="CM311" s="701" t="n"/>
      <c r="CN311" s="701" t="n"/>
      <c r="CO311" s="701" t="n"/>
      <c r="CP311" s="701" t="n"/>
      <c r="CQ311" s="701" t="n"/>
      <c r="CR311" s="701" t="n"/>
      <c r="CS311" s="701" t="n"/>
      <c r="CT311" s="701" t="n"/>
      <c r="CU311" s="701" t="n"/>
      <c r="CV311" s="701" t="n"/>
      <c r="CW311" s="30" t="n"/>
    </row>
    <row r="312" ht="12.75" customHeight="1" s="1676">
      <c r="A312" s="31" t="n"/>
      <c r="B312" s="183" t="inlineStr">
        <is>
          <t>Text_267</t>
        </is>
      </c>
      <c r="C312" s="699" t="n"/>
      <c r="D312" s="1797" t="n"/>
      <c r="E312" s="1797" t="n"/>
      <c r="F312" s="1797" t="n"/>
      <c r="G312" s="1797" t="n"/>
      <c r="H312" s="1797" t="n"/>
      <c r="I312" s="1797" t="n"/>
      <c r="J312" s="1797" t="n"/>
      <c r="K312" s="1797" t="n"/>
      <c r="L312" s="1797" t="n"/>
      <c r="M312" s="1797" t="n"/>
      <c r="N312" s="1797" t="n"/>
      <c r="O312" s="1797" t="n"/>
      <c r="P312" s="1797" t="n"/>
      <c r="Q312" s="1797" t="n"/>
      <c r="R312" s="1797" t="n">
        <v>6.72340516790719</v>
      </c>
      <c r="S312" s="1797" t="n"/>
      <c r="T312" s="1797" t="n"/>
      <c r="U312" s="1797" t="n"/>
      <c r="V312" s="1797" t="n"/>
      <c r="W312" s="1797" t="n">
        <v>117.892128097431</v>
      </c>
      <c r="X312" s="1797" t="n"/>
      <c r="Y312" s="1797" t="n"/>
      <c r="Z312" s="1797" t="n"/>
      <c r="AA312" s="1745" t="n"/>
      <c r="AB312" s="1797" t="n">
        <v>-16.0512304430324</v>
      </c>
      <c r="AC312" s="1797" t="n"/>
      <c r="AD312" s="1797" t="n"/>
      <c r="AE312" s="1797" t="n"/>
      <c r="AF312" s="1745" t="n"/>
      <c r="AG312" s="1797" t="n">
        <v>67.7665909469212</v>
      </c>
      <c r="AH312" s="1797" t="n"/>
      <c r="AI312" s="1797" t="n"/>
      <c r="AJ312" s="1797" t="n"/>
      <c r="AK312" s="1745" t="n"/>
      <c r="AL312" s="1797" t="n">
        <v>-36.6730273996895</v>
      </c>
      <c r="AM312" s="1797" t="n">
        <v>32.3818374384372</v>
      </c>
      <c r="AN312" s="1797" t="n">
        <v>114.261825090528</v>
      </c>
      <c r="AO312" s="1797" t="n">
        <v>45.6560495493198</v>
      </c>
      <c r="AP312" s="1797" t="n">
        <v>86.1547158400256</v>
      </c>
      <c r="AQ312" s="1745">
        <f t="array" ref="AQ312">AP312+AO312+AN312+AM312</f>
        <v/>
      </c>
      <c r="AR312" s="1797" t="n">
        <v>-54.600806614951</v>
      </c>
      <c r="AS312" s="1797" t="n">
        <v>100.942506773421</v>
      </c>
      <c r="AT312" s="1797" t="n">
        <v>-1.69395230957613</v>
      </c>
      <c r="AU312" s="1797" t="n">
        <v>121.009706504448</v>
      </c>
      <c r="AV312" s="1745">
        <f t="array" ref="AV312">AU312+AT312+AS312+AR312</f>
        <v/>
      </c>
      <c r="AW312" s="1975" t="n">
        <v>13.8541995861512</v>
      </c>
      <c r="AX312" s="1854" t="n">
        <v>259.456065276833</v>
      </c>
      <c r="AY312" s="1854" t="n">
        <v>115.236387620457</v>
      </c>
      <c r="AZ312" s="1854" t="n">
        <v>-8.09451935311351</v>
      </c>
      <c r="BA312" s="1748">
        <f t="array" ref="BA312">AZ312+AY312+AX312+AW312</f>
        <v/>
      </c>
      <c r="BB312" s="456" t="n"/>
      <c r="BC312" s="701" t="n"/>
      <c r="BD312" s="701" t="n"/>
      <c r="BE312" s="701" t="n"/>
      <c r="BF312" s="1795" t="n"/>
      <c r="BG312" s="699" t="n"/>
      <c r="BH312" s="699" t="n"/>
      <c r="BI312" s="699" t="n"/>
      <c r="BJ312" s="699" t="n"/>
      <c r="BK312" s="1797" t="n"/>
      <c r="BL312" s="699" t="n"/>
      <c r="BM312" s="699" t="n"/>
      <c r="BN312" s="699" t="n"/>
      <c r="BO312" s="699" t="n"/>
      <c r="BP312" s="1797" t="n"/>
      <c r="BQ312" s="699" t="n"/>
      <c r="BR312" s="699" t="n"/>
      <c r="BS312" s="699" t="n"/>
      <c r="BT312" s="699" t="n"/>
      <c r="BU312" s="1797" t="n"/>
      <c r="BV312" s="699" t="n"/>
      <c r="BW312" s="699" t="n"/>
      <c r="BX312" s="699" t="n"/>
      <c r="BY312" s="699" t="n"/>
      <c r="BZ312" s="1797" t="n"/>
      <c r="CA312" s="699" t="n"/>
      <c r="CB312" s="456" t="n"/>
      <c r="CC312" s="701" t="n"/>
      <c r="CD312" s="701" t="n"/>
      <c r="CE312" s="701" t="n"/>
      <c r="CF312" s="701" t="n"/>
      <c r="CG312" s="701" t="n"/>
      <c r="CH312" s="701" t="n"/>
      <c r="CI312" s="701" t="n"/>
      <c r="CJ312" s="701" t="n"/>
      <c r="CK312" s="701" t="n"/>
      <c r="CL312" s="701" t="n"/>
      <c r="CM312" s="701" t="n"/>
      <c r="CN312" s="701" t="n"/>
      <c r="CO312" s="701" t="n"/>
      <c r="CP312" s="701" t="n"/>
      <c r="CQ312" s="701" t="n"/>
      <c r="CR312" s="701" t="n"/>
      <c r="CS312" s="701" t="n"/>
      <c r="CT312" s="701" t="n"/>
      <c r="CU312" s="701" t="n"/>
      <c r="CV312" s="701" t="n"/>
      <c r="CW312" s="30" t="n"/>
    </row>
    <row r="313" ht="12.75" customHeight="1" s="1676">
      <c r="A313" s="31" t="n"/>
      <c r="B313" s="183" t="inlineStr">
        <is>
          <t>Text_268</t>
        </is>
      </c>
      <c r="C313" s="699" t="n"/>
      <c r="D313" s="1797" t="n"/>
      <c r="E313" s="1797" t="n"/>
      <c r="F313" s="1797" t="n"/>
      <c r="G313" s="1797" t="n"/>
      <c r="H313" s="1797" t="n"/>
      <c r="I313" s="1797" t="n"/>
      <c r="J313" s="1797" t="n"/>
      <c r="K313" s="1797" t="n"/>
      <c r="L313" s="1797" t="n"/>
      <c r="M313" s="1797" t="n"/>
      <c r="N313" s="1797" t="n"/>
      <c r="O313" s="1797" t="n"/>
      <c r="P313" s="1797" t="n"/>
      <c r="Q313" s="1797" t="n"/>
      <c r="R313" s="1797" t="n">
        <v>0</v>
      </c>
      <c r="S313" s="1797" t="n"/>
      <c r="T313" s="1797" t="n"/>
      <c r="U313" s="1797" t="n"/>
      <c r="V313" s="1797" t="n"/>
      <c r="W313" s="1797" t="n">
        <v>0</v>
      </c>
      <c r="X313" s="1797" t="n"/>
      <c r="Y313" s="1797" t="n"/>
      <c r="Z313" s="1797" t="n"/>
      <c r="AA313" s="1745" t="n"/>
      <c r="AB313" s="1797" t="n">
        <v>13.4088696931142</v>
      </c>
      <c r="AC313" s="1797" t="n"/>
      <c r="AD313" s="1797" t="n"/>
      <c r="AE313" s="1797" t="n"/>
      <c r="AF313" s="1745" t="n"/>
      <c r="AG313" s="1797" t="n">
        <v>20.5099078314683</v>
      </c>
      <c r="AH313" s="1797" t="n"/>
      <c r="AI313" s="1797" t="n"/>
      <c r="AJ313" s="1797" t="n"/>
      <c r="AK313" s="1745" t="n"/>
      <c r="AL313" s="1797" t="n">
        <v>52.2745972686908</v>
      </c>
      <c r="AM313" s="1797" t="n">
        <v>5.03229053441751</v>
      </c>
      <c r="AN313" s="1797" t="n">
        <v>28.8231803460826</v>
      </c>
      <c r="AO313" s="1797" t="n">
        <v>-4.00452633577155</v>
      </c>
      <c r="AP313" s="1797" t="n">
        <v>55.4889981627337</v>
      </c>
      <c r="AQ313" s="1745">
        <f t="array" ref="AQ313">AP313+AO313+AN313+AM313</f>
        <v/>
      </c>
      <c r="AR313" s="1797" t="n">
        <v>-13.5171393268482</v>
      </c>
      <c r="AS313" s="1797" t="n">
        <v>35.2578809071188</v>
      </c>
      <c r="AT313" s="1797" t="n">
        <v>5.77527069537165</v>
      </c>
      <c r="AU313" s="1797" t="n">
        <v>53.5892979935487</v>
      </c>
      <c r="AV313" s="1745">
        <f t="array" ref="AV313">AU313+AT313+AS313+AR313</f>
        <v/>
      </c>
      <c r="AW313" s="1975" t="n">
        <v>7.41177492099683</v>
      </c>
      <c r="AX313" s="1854" t="n">
        <v>67.664233497948</v>
      </c>
      <c r="AY313" s="1854" t="n">
        <v>53.9556768142864</v>
      </c>
      <c r="AZ313" s="1854" t="n">
        <v>64.19009213117521</v>
      </c>
      <c r="BA313" s="1748">
        <f t="array" ref="BA313">AZ313+AY313+AX313+AW313</f>
        <v/>
      </c>
      <c r="BB313" s="456" t="n"/>
      <c r="BC313" s="701" t="n"/>
      <c r="BD313" s="701" t="n"/>
      <c r="BE313" s="701" t="n"/>
      <c r="BF313" s="1795" t="n"/>
      <c r="BG313" s="699" t="n"/>
      <c r="BH313" s="699" t="n"/>
      <c r="BI313" s="699" t="n"/>
      <c r="BJ313" s="699" t="n"/>
      <c r="BK313" s="1797" t="n"/>
      <c r="BL313" s="699" t="n"/>
      <c r="BM313" s="699" t="n"/>
      <c r="BN313" s="699" t="n"/>
      <c r="BO313" s="699" t="n"/>
      <c r="BP313" s="1797" t="n"/>
      <c r="BQ313" s="699" t="n"/>
      <c r="BR313" s="699" t="n"/>
      <c r="BS313" s="699" t="n"/>
      <c r="BT313" s="699" t="n"/>
      <c r="BU313" s="1797" t="n"/>
      <c r="BV313" s="699" t="n"/>
      <c r="BW313" s="699" t="n"/>
      <c r="BX313" s="699" t="n"/>
      <c r="BY313" s="699" t="n"/>
      <c r="BZ313" s="1797" t="n"/>
      <c r="CA313" s="699" t="n"/>
      <c r="CB313" s="456" t="n"/>
      <c r="CC313" s="701" t="n"/>
      <c r="CD313" s="701" t="n"/>
      <c r="CE313" s="701" t="n"/>
      <c r="CF313" s="701" t="n"/>
      <c r="CG313" s="701" t="n"/>
      <c r="CH313" s="701" t="n"/>
      <c r="CI313" s="701" t="n"/>
      <c r="CJ313" s="701" t="n"/>
      <c r="CK313" s="701" t="n"/>
      <c r="CL313" s="701" t="n"/>
      <c r="CM313" s="701" t="n"/>
      <c r="CN313" s="701" t="n"/>
      <c r="CO313" s="701" t="n"/>
      <c r="CP313" s="701" t="n"/>
      <c r="CQ313" s="701" t="n"/>
      <c r="CR313" s="701" t="n"/>
      <c r="CS313" s="701" t="n"/>
      <c r="CT313" s="701" t="n"/>
      <c r="CU313" s="701" t="n"/>
      <c r="CV313" s="701" t="n"/>
      <c r="CW313" s="30" t="n"/>
    </row>
    <row r="314" ht="12.75" customHeight="1" s="1676">
      <c r="A314" s="31" t="n"/>
      <c r="B314" s="525" t="inlineStr">
        <is>
          <t>Text_269</t>
        </is>
      </c>
      <c r="C314" s="699" t="n"/>
      <c r="D314" s="1797" t="n"/>
      <c r="E314" s="1797" t="n"/>
      <c r="F314" s="1797" t="n"/>
      <c r="G314" s="1797" t="n"/>
      <c r="H314" s="1797" t="n"/>
      <c r="I314" s="1797" t="n"/>
      <c r="J314" s="1797" t="n"/>
      <c r="K314" s="1797" t="n"/>
      <c r="L314" s="1797" t="n"/>
      <c r="M314" s="1797" t="n"/>
      <c r="N314" s="1797" t="n"/>
      <c r="O314" s="1797" t="n"/>
      <c r="P314" s="1797" t="n"/>
      <c r="Q314" s="1797" t="n"/>
      <c r="R314" s="1882">
        <f t="array" ref="R314">R313+R312</f>
        <v/>
      </c>
      <c r="S314" s="1797" t="n"/>
      <c r="T314" s="1797" t="n"/>
      <c r="U314" s="1797" t="n"/>
      <c r="V314" s="1797" t="n"/>
      <c r="W314" s="1882">
        <f t="array" ref="W314">W313+W312</f>
        <v/>
      </c>
      <c r="X314" s="1797" t="n"/>
      <c r="Y314" s="1797" t="n"/>
      <c r="Z314" s="1797" t="n"/>
      <c r="AA314" s="1745" t="n"/>
      <c r="AB314" s="1882">
        <f t="array" ref="AB314">AB313+AB312</f>
        <v/>
      </c>
      <c r="AC314" s="1797" t="n"/>
      <c r="AD314" s="1797" t="n"/>
      <c r="AE314" s="1797" t="n"/>
      <c r="AF314" s="1745" t="n"/>
      <c r="AG314" s="1882">
        <f t="array" ref="AG314">AG313+AG312</f>
        <v/>
      </c>
      <c r="AH314" s="1797" t="n"/>
      <c r="AI314" s="1797" t="n"/>
      <c r="AJ314" s="1797" t="n"/>
      <c r="AK314" s="1745" t="n"/>
      <c r="AL314" s="1882">
        <f t="array" ref="AL314">AL313+AL312</f>
        <v/>
      </c>
      <c r="AM314" s="1882">
        <f t="array" ref="AM314">AM313+AM312</f>
        <v/>
      </c>
      <c r="AN314" s="1882">
        <f t="array" ref="AN314">AN313+AN312</f>
        <v/>
      </c>
      <c r="AO314" s="1882">
        <f t="array" ref="AO314">AO313+AO312</f>
        <v/>
      </c>
      <c r="AP314" s="1882">
        <f t="array" ref="AP314">AP313+AP312</f>
        <v/>
      </c>
      <c r="AQ314" s="1882">
        <f t="array" ref="AQ314">AQ313+AQ312</f>
        <v/>
      </c>
      <c r="AR314" s="1882">
        <f t="array" ref="AR314">AR313+AR312</f>
        <v/>
      </c>
      <c r="AS314" s="1882">
        <f t="array" ref="AS314">AS313+AS312</f>
        <v/>
      </c>
      <c r="AT314" s="1882">
        <f t="array" ref="AT314">AT313+AT312</f>
        <v/>
      </c>
      <c r="AU314" s="1882">
        <f t="array" ref="AU314">AU313+AU312</f>
        <v/>
      </c>
      <c r="AV314" s="1882">
        <f t="array" ref="AV314">AV313+AV312</f>
        <v/>
      </c>
      <c r="AW314" s="2004">
        <f t="array" ref="AW314">AW313+AW312</f>
        <v/>
      </c>
      <c r="AX314" s="2005">
        <f t="array" ref="AX314">AX313+AX312</f>
        <v/>
      </c>
      <c r="AY314" s="2005">
        <f t="array" ref="AY314">AY313+AY312</f>
        <v/>
      </c>
      <c r="AZ314" s="2005">
        <f t="array" ref="AZ314">AZ313+AZ312</f>
        <v/>
      </c>
      <c r="BA314" s="1881">
        <f t="array" ref="BA314">BA313+BA312</f>
        <v/>
      </c>
      <c r="BB314" s="704" t="n"/>
      <c r="BC314" s="705" t="n"/>
      <c r="BD314" s="705" t="n"/>
      <c r="BE314" s="705" t="n"/>
      <c r="BF314" s="1881">
        <f t="array" ref="BF314">BA374-BF374</f>
        <v/>
      </c>
      <c r="BG314" s="526" t="n"/>
      <c r="BH314" s="526" t="n"/>
      <c r="BI314" s="526" t="n"/>
      <c r="BJ314" s="526" t="n"/>
      <c r="BK314" s="1882">
        <f t="array" ref="BK314">BF374-BK374</f>
        <v/>
      </c>
      <c r="BL314" s="526" t="n"/>
      <c r="BM314" s="526" t="n"/>
      <c r="BN314" s="526" t="n"/>
      <c r="BO314" s="526" t="n"/>
      <c r="BP314" s="1882">
        <f t="array" ref="BP314">BK374-BP374</f>
        <v/>
      </c>
      <c r="BQ314" s="526" t="n"/>
      <c r="BR314" s="526" t="n"/>
      <c r="BS314" s="526" t="n"/>
      <c r="BT314" s="526" t="n"/>
      <c r="BU314" s="1882">
        <f t="array" ref="BU314">BP374-BU374</f>
        <v/>
      </c>
      <c r="BV314" s="526" t="n"/>
      <c r="BW314" s="526" t="n"/>
      <c r="BX314" s="526" t="n"/>
      <c r="BY314" s="526" t="n"/>
      <c r="BZ314" s="1882">
        <f t="array" ref="BZ314">BU374-BZ374</f>
        <v/>
      </c>
      <c r="CA314" s="699" t="n"/>
      <c r="CB314" s="456" t="n"/>
      <c r="CC314" s="701" t="n"/>
      <c r="CD314" s="701" t="n"/>
      <c r="CE314" s="701" t="n"/>
      <c r="CF314" s="701" t="n"/>
      <c r="CG314" s="701" t="n"/>
      <c r="CH314" s="701" t="n"/>
      <c r="CI314" s="701" t="n"/>
      <c r="CJ314" s="701" t="n"/>
      <c r="CK314" s="701" t="n"/>
      <c r="CL314" s="701" t="n"/>
      <c r="CM314" s="701" t="n"/>
      <c r="CN314" s="701" t="n"/>
      <c r="CO314" s="701" t="n"/>
      <c r="CP314" s="701" t="n"/>
      <c r="CQ314" s="701" t="n"/>
      <c r="CR314" s="701" t="n"/>
      <c r="CS314" s="701" t="n"/>
      <c r="CT314" s="701" t="n"/>
      <c r="CU314" s="701" t="n"/>
      <c r="CV314" s="701" t="n"/>
      <c r="CW314" s="30" t="n"/>
    </row>
    <row r="315" ht="12.75" customHeight="1" s="1676">
      <c r="A315" s="31" t="n"/>
      <c r="B315" s="167" t="inlineStr">
        <is>
          <t>Text_187</t>
        </is>
      </c>
      <c r="C315" s="699" t="n"/>
      <c r="D315" s="1797" t="n"/>
      <c r="E315" s="1797" t="n"/>
      <c r="F315" s="1797" t="n"/>
      <c r="G315" s="1797" t="n"/>
      <c r="H315" s="1797" t="n"/>
      <c r="I315" s="1797" t="n"/>
      <c r="J315" s="1797" t="n"/>
      <c r="K315" s="1797" t="n"/>
      <c r="L315" s="1797" t="n"/>
      <c r="M315" s="1797" t="n"/>
      <c r="N315" s="1797" t="n"/>
      <c r="O315" s="1797" t="n"/>
      <c r="P315" s="1797" t="n"/>
      <c r="Q315" s="1797" t="n"/>
      <c r="R315" s="1866">
        <f t="array" ref="R315">R314/R$212</f>
        <v/>
      </c>
      <c r="S315" s="1797" t="n"/>
      <c r="T315" s="1797" t="n"/>
      <c r="U315" s="1797" t="n"/>
      <c r="V315" s="1797" t="n"/>
      <c r="W315" s="1866">
        <f t="array" ref="W315">W314/W$212</f>
        <v/>
      </c>
      <c r="X315" s="1797" t="n"/>
      <c r="Y315" s="1797" t="n"/>
      <c r="Z315" s="1797" t="n"/>
      <c r="AA315" s="1745" t="n"/>
      <c r="AB315" s="1866">
        <f t="array" ref="AB315">AB314/AB$212</f>
        <v/>
      </c>
      <c r="AC315" s="1797" t="n"/>
      <c r="AD315" s="1797" t="n"/>
      <c r="AE315" s="1797" t="n"/>
      <c r="AF315" s="1745" t="n"/>
      <c r="AG315" s="1866">
        <f t="array" ref="AG315">AG314/AG$212</f>
        <v/>
      </c>
      <c r="AH315" s="1797" t="n"/>
      <c r="AI315" s="1797" t="n"/>
      <c r="AJ315" s="1797" t="n"/>
      <c r="AK315" s="1745" t="n"/>
      <c r="AL315" s="1866">
        <f t="array" ref="AL315">AL314/AL$212</f>
        <v/>
      </c>
      <c r="AM315" s="1866">
        <f t="array" ref="AM315">AM314/AM$212</f>
        <v/>
      </c>
      <c r="AN315" s="1866">
        <f t="array" ref="AN315">AN314/AN$212</f>
        <v/>
      </c>
      <c r="AO315" s="1866">
        <f t="array" ref="AO315">AO314/AO$212</f>
        <v/>
      </c>
      <c r="AP315" s="1866">
        <f t="array" ref="AP315">AP314/AP$212</f>
        <v/>
      </c>
      <c r="AQ315" s="1866">
        <f t="array" ref="AQ315">AQ314/AQ$212</f>
        <v/>
      </c>
      <c r="AR315" s="1866">
        <f t="array" ref="AR315">AR314/AR$212</f>
        <v/>
      </c>
      <c r="AS315" s="1866">
        <f t="array" ref="AS315">AS314/AS$212</f>
        <v/>
      </c>
      <c r="AT315" s="1866">
        <f t="array" ref="AT315">AT314/AT$212</f>
        <v/>
      </c>
      <c r="AU315" s="1866">
        <f t="array" ref="AU315">AU314/AU$212</f>
        <v/>
      </c>
      <c r="AV315" s="1866">
        <f t="array" ref="AV315">AV314/AV$212</f>
        <v/>
      </c>
      <c r="AW315" s="1867">
        <f t="array" ref="AW315">AW314/AW$212</f>
        <v/>
      </c>
      <c r="AX315" s="1868">
        <f t="array" ref="AX315">AX314/AX$212</f>
        <v/>
      </c>
      <c r="AY315" s="1868">
        <f t="array" ref="AY315">AY314/AY$212</f>
        <v/>
      </c>
      <c r="AZ315" s="1868">
        <f t="array" ref="AZ315">AZ314/AZ$212</f>
        <v/>
      </c>
      <c r="BA315" s="1869">
        <f t="array" ref="BA315">BA314/BA$212</f>
        <v/>
      </c>
      <c r="BB315" s="704" t="n"/>
      <c r="BC315" s="705" t="n"/>
      <c r="BD315" s="705" t="n"/>
      <c r="BE315" s="705" t="n"/>
      <c r="BF315" s="1869">
        <f t="array" ref="BF315">BF314/BF$212</f>
        <v/>
      </c>
      <c r="BG315" s="526" t="n"/>
      <c r="BH315" s="526" t="n"/>
      <c r="BI315" s="526" t="n"/>
      <c r="BJ315" s="526" t="n"/>
      <c r="BK315" s="1866">
        <f t="array" ref="BK315">BK314/BK$212</f>
        <v/>
      </c>
      <c r="BL315" s="526" t="n"/>
      <c r="BM315" s="526" t="n"/>
      <c r="BN315" s="526" t="n"/>
      <c r="BO315" s="526" t="n"/>
      <c r="BP315" s="1866">
        <f t="array" ref="BP315">BP314/BP$212</f>
        <v/>
      </c>
      <c r="BQ315" s="526" t="n"/>
      <c r="BR315" s="526" t="n"/>
      <c r="BS315" s="526" t="n"/>
      <c r="BT315" s="526" t="n"/>
      <c r="BU315" s="1866">
        <f t="array" ref="BU315">BU314/BU$212</f>
        <v/>
      </c>
      <c r="BV315" s="526" t="n"/>
      <c r="BW315" s="526" t="n"/>
      <c r="BX315" s="526" t="n"/>
      <c r="BY315" s="526" t="n"/>
      <c r="BZ315" s="1866">
        <f t="array" ref="BZ315">BZ314/BZ$212</f>
        <v/>
      </c>
      <c r="CA315" s="699" t="n"/>
      <c r="CB315" s="456" t="n"/>
      <c r="CC315" s="701" t="n"/>
      <c r="CD315" s="701" t="n"/>
      <c r="CE315" s="701" t="n"/>
      <c r="CF315" s="701" t="n"/>
      <c r="CG315" s="701" t="n"/>
      <c r="CH315" s="701" t="n"/>
      <c r="CI315" s="701" t="n"/>
      <c r="CJ315" s="701" t="n"/>
      <c r="CK315" s="701" t="n"/>
      <c r="CL315" s="701" t="n"/>
      <c r="CM315" s="701" t="n"/>
      <c r="CN315" s="701" t="n"/>
      <c r="CO315" s="701" t="n"/>
      <c r="CP315" s="701" t="n"/>
      <c r="CQ315" s="701" t="n"/>
      <c r="CR315" s="701" t="n"/>
      <c r="CS315" s="701" t="n"/>
      <c r="CT315" s="701" t="n"/>
      <c r="CU315" s="701" t="n"/>
      <c r="CV315" s="701" t="n"/>
      <c r="CW315" s="30" t="n"/>
    </row>
    <row r="316" ht="12.75" customHeight="1" s="1676">
      <c r="A316" s="31" t="n"/>
      <c r="B316" s="167" t="inlineStr">
        <is>
          <t>Text_260</t>
        </is>
      </c>
      <c r="C316" s="699" t="n"/>
      <c r="D316" s="1797" t="n"/>
      <c r="E316" s="1797" t="n"/>
      <c r="F316" s="1797" t="n"/>
      <c r="G316" s="1797" t="n"/>
      <c r="H316" s="1797" t="n"/>
      <c r="I316" s="1797" t="n"/>
      <c r="J316" s="1797" t="n"/>
      <c r="K316" s="1797" t="n"/>
      <c r="L316" s="1797" t="n"/>
      <c r="M316" s="1797" t="n"/>
      <c r="N316" s="1797" t="n"/>
      <c r="O316" s="1797" t="n"/>
      <c r="P316" s="1797" t="n"/>
      <c r="Q316" s="1797" t="n"/>
      <c r="R316" s="1866">
        <f t="array" ref="R316">R314/R$323</f>
        <v/>
      </c>
      <c r="S316" s="2091" t="n"/>
      <c r="T316" s="2091" t="n"/>
      <c r="U316" s="2091" t="n"/>
      <c r="V316" s="2091" t="n"/>
      <c r="W316" s="1866">
        <f t="array" ref="W316">W314/W$323</f>
        <v/>
      </c>
      <c r="X316" s="2091" t="n"/>
      <c r="Y316" s="2091" t="n"/>
      <c r="Z316" s="2091" t="n"/>
      <c r="AA316" s="2091" t="n"/>
      <c r="AB316" s="1866">
        <f t="array" ref="AB316">AB314/AB$323</f>
        <v/>
      </c>
      <c r="AC316" s="1866" t="n"/>
      <c r="AD316" s="1866" t="n"/>
      <c r="AE316" s="1866" t="n"/>
      <c r="AF316" s="1866" t="n"/>
      <c r="AG316" s="1866">
        <f t="array" ref="AG316">AG314/AG$323</f>
        <v/>
      </c>
      <c r="AH316" s="1866" t="n"/>
      <c r="AI316" s="1866" t="n"/>
      <c r="AJ316" s="1866" t="n"/>
      <c r="AK316" s="1866" t="n"/>
      <c r="AL316" s="1866">
        <f t="array" ref="AL316">AL314/AL$323</f>
        <v/>
      </c>
      <c r="AM316" s="1866">
        <f t="array" ref="AM316">AM314/AM$323</f>
        <v/>
      </c>
      <c r="AN316" s="1866">
        <f t="array" ref="AN316">AN314/AN$323</f>
        <v/>
      </c>
      <c r="AO316" s="1866">
        <f t="array" ref="AO316">AO314/AO$323</f>
        <v/>
      </c>
      <c r="AP316" s="1866">
        <f t="array" ref="AP316">AP314/AP$323</f>
        <v/>
      </c>
      <c r="AQ316" s="1866">
        <f t="array" ref="AQ316">AQ314/AQ$323</f>
        <v/>
      </c>
      <c r="AR316" s="1866">
        <f t="array" ref="AR316">AR314/AR$323</f>
        <v/>
      </c>
      <c r="AS316" s="1866">
        <f t="array" ref="AS316">AS314/AS$323</f>
        <v/>
      </c>
      <c r="AT316" s="1866">
        <f t="array" ref="AT316">AT314/AT$323</f>
        <v/>
      </c>
      <c r="AU316" s="1866">
        <f t="array" ref="AU316">AU314/AU$323</f>
        <v/>
      </c>
      <c r="AV316" s="1866">
        <f t="array" ref="AV316">AV314/AV$323</f>
        <v/>
      </c>
      <c r="AW316" s="1867">
        <f t="array" ref="AW316">AW314/AW$323</f>
        <v/>
      </c>
      <c r="AX316" s="1868">
        <f t="array" ref="AX316">AX314/AX$323</f>
        <v/>
      </c>
      <c r="AY316" s="1868">
        <f t="array" ref="AY316">AY314/AY$323</f>
        <v/>
      </c>
      <c r="AZ316" s="1868">
        <f t="array" ref="AZ316">AZ314/AZ$323</f>
        <v/>
      </c>
      <c r="BA316" s="1869">
        <f t="array" ref="BA316">BA314/BA$323</f>
        <v/>
      </c>
      <c r="BB316" s="704" t="n"/>
      <c r="BC316" s="705" t="n"/>
      <c r="BD316" s="705" t="n"/>
      <c r="BE316" s="705" t="n"/>
      <c r="BF316" s="1869">
        <f t="array" ref="BF316">BF314/BF$323</f>
        <v/>
      </c>
      <c r="BG316" s="526" t="n"/>
      <c r="BH316" s="526" t="n"/>
      <c r="BI316" s="526" t="n"/>
      <c r="BJ316" s="526" t="n"/>
      <c r="BK316" s="1866">
        <f t="array" ref="BK316">BK314/BK$323</f>
        <v/>
      </c>
      <c r="BL316" s="526" t="n"/>
      <c r="BM316" s="526" t="n"/>
      <c r="BN316" s="526" t="n"/>
      <c r="BO316" s="526" t="n"/>
      <c r="BP316" s="1866">
        <f t="array" ref="BP316">BP314/BP$323</f>
        <v/>
      </c>
      <c r="BQ316" s="526" t="n"/>
      <c r="BR316" s="526" t="n"/>
      <c r="BS316" s="526" t="n"/>
      <c r="BT316" s="526" t="n"/>
      <c r="BU316" s="1866">
        <f t="array" ref="BU316">BU314/BU$323</f>
        <v/>
      </c>
      <c r="BV316" s="526" t="n"/>
      <c r="BW316" s="526" t="n"/>
      <c r="BX316" s="526" t="n"/>
      <c r="BY316" s="526" t="n"/>
      <c r="BZ316" s="1866">
        <f t="array" ref="BZ316">BZ314/BZ$323</f>
        <v/>
      </c>
      <c r="CA316" s="699" t="n"/>
      <c r="CB316" s="456" t="n"/>
      <c r="CC316" s="701" t="n"/>
      <c r="CD316" s="701" t="n"/>
      <c r="CE316" s="701" t="n"/>
      <c r="CF316" s="701" t="n"/>
      <c r="CG316" s="701" t="n"/>
      <c r="CH316" s="701" t="n"/>
      <c r="CI316" s="701" t="n"/>
      <c r="CJ316" s="701" t="n"/>
      <c r="CK316" s="701" t="n"/>
      <c r="CL316" s="701" t="n"/>
      <c r="CM316" s="701" t="n"/>
      <c r="CN316" s="701" t="n"/>
      <c r="CO316" s="701" t="n"/>
      <c r="CP316" s="701" t="n"/>
      <c r="CQ316" s="701" t="n"/>
      <c r="CR316" s="701" t="n"/>
      <c r="CS316" s="701" t="n"/>
      <c r="CT316" s="701" t="n"/>
      <c r="CU316" s="701" t="n"/>
      <c r="CV316" s="701" t="n"/>
      <c r="CW316" s="30" t="n"/>
    </row>
    <row r="317" ht="12.75" customHeight="1" s="1676">
      <c r="A317" s="31" t="n"/>
      <c r="B317" s="277" t="inlineStr">
        <is>
          <t>Text_270</t>
        </is>
      </c>
      <c r="C317" s="805" t="n"/>
      <c r="D317" s="805" t="n"/>
      <c r="E317" s="805" t="n"/>
      <c r="F317" s="805" t="n"/>
      <c r="G317" s="805" t="n"/>
      <c r="H317" s="2084" t="n"/>
      <c r="I317" s="805" t="n"/>
      <c r="J317" s="805" t="n"/>
      <c r="K317" s="805" t="n"/>
      <c r="L317" s="805" t="n"/>
      <c r="M317" s="2084">
        <f t="array" ref="M317">M318-M299-M301-M303-M309-M300-M312-M313</f>
        <v/>
      </c>
      <c r="N317" s="805" t="n"/>
      <c r="O317" s="805" t="n"/>
      <c r="P317" s="805" t="n"/>
      <c r="Q317" s="805" t="n"/>
      <c r="R317" s="2084">
        <f t="array" ref="R317">R318-R299-R301-R303-R309-R300-R312-R313</f>
        <v/>
      </c>
      <c r="S317" s="805" t="n"/>
      <c r="T317" s="805" t="n"/>
      <c r="U317" s="805" t="n"/>
      <c r="V317" s="805" t="n"/>
      <c r="W317" s="2084">
        <f t="array" ref="W317">W318-W299-W301-W303-W309-W300-W312-W313</f>
        <v/>
      </c>
      <c r="X317" s="2084" t="n"/>
      <c r="Y317" s="2084" t="n"/>
      <c r="Z317" s="2084" t="n"/>
      <c r="AA317" s="2084" t="n"/>
      <c r="AB317" s="2084">
        <f t="array" ref="AB317">AB318-AB299-AB301-AB303-AB309-AB300-AB312-AB313</f>
        <v/>
      </c>
      <c r="AC317" s="2084" t="n"/>
      <c r="AD317" s="2084" t="n"/>
      <c r="AE317" s="2084" t="n"/>
      <c r="AF317" s="2084" t="n"/>
      <c r="AG317" s="2084">
        <f t="array" ref="AG317">AG318-AG299-AG301-AG303-AG309-AG300-AG312-AG313</f>
        <v/>
      </c>
      <c r="AH317" s="2084" t="n"/>
      <c r="AI317" s="2084" t="n"/>
      <c r="AJ317" s="2084" t="n"/>
      <c r="AK317" s="2084" t="n"/>
      <c r="AL317" s="2084">
        <f t="array" ref="AL317">AL318-AL299-AL301-AL303-AL309-AL300-AL312-AL313</f>
        <v/>
      </c>
      <c r="AM317" s="2084">
        <f t="array" ref="AM317">AM318-AM299-AM301-AM303-AM309-AM300-AM312-AM313</f>
        <v/>
      </c>
      <c r="AN317" s="2084">
        <f t="array" ref="AN317">AN318-AN299-AN301-AN303-AN309-AN300-AN312-AN313</f>
        <v/>
      </c>
      <c r="AO317" s="2084">
        <f t="array" ref="AO317">AO318-AO299-AO301-AO303-AO309-AO300-AO312-AO313</f>
        <v/>
      </c>
      <c r="AP317" s="2084">
        <f t="array" ref="AP317">AP318-AP299-AP301-AP303-AP309-AP300-AP312-AP313</f>
        <v/>
      </c>
      <c r="AQ317" s="2084">
        <f t="array" ref="AQ317">AQ318-AQ299-AQ301-AQ303-AQ309-AQ300-AQ312-AQ313</f>
        <v/>
      </c>
      <c r="AR317" s="2084">
        <f t="array" ref="AR317">AR318-AR299-AR301-AR303-AR309-AR300-AR312-AR313</f>
        <v/>
      </c>
      <c r="AS317" s="2084">
        <f t="array" ref="AS317">AS318-AS299-AS301-AS303-AS309-AS300-AS312-AS313</f>
        <v/>
      </c>
      <c r="AT317" s="2084">
        <f t="array" ref="AT317">AT318-AT299-AT301-AT303-AT309-AT300-AT312-AT313</f>
        <v/>
      </c>
      <c r="AU317" s="2084">
        <f t="array" ref="AU317">AU318-AU299-AU301-AU303-AU309-AU300-AU312-AU313</f>
        <v/>
      </c>
      <c r="AV317" s="2084">
        <f t="array" ref="AV317">AV318-AV299-AV301-AV303-AV309-AV300-AV312-AV313</f>
        <v/>
      </c>
      <c r="AW317" s="2085">
        <f t="array" ref="AW317">AW318-AW299-AW301-AW303-AW309-AW300-AW312-AW313</f>
        <v/>
      </c>
      <c r="AX317" s="2086">
        <f t="array" ref="AX317">AX318-AX299-AX301-AX303-AX309-AX300-AX312-AX313</f>
        <v/>
      </c>
      <c r="AY317" s="2086">
        <f t="array" ref="AY317">AY318-AY299-AY301-AY303-AY309-AY300-AY312-AY313</f>
        <v/>
      </c>
      <c r="AZ317" s="2086">
        <f t="array" ref="AZ317">BA317-AY317-AX317-AW317</f>
        <v/>
      </c>
      <c r="BA317" s="2087">
        <f t="array" ref="BA317">BA318-BA299-BA301-BA303-BA309-BA300-BA312-BA313</f>
        <v/>
      </c>
      <c r="BB317" s="501" t="n"/>
      <c r="BC317" s="179" t="n"/>
      <c r="BD317" s="179" t="n"/>
      <c r="BE317" s="179" t="n"/>
      <c r="BF317" s="2092" t="n"/>
      <c r="BG317" s="805" t="n"/>
      <c r="BH317" s="805" t="n"/>
      <c r="BI317" s="805" t="n"/>
      <c r="BJ317" s="805" t="n"/>
      <c r="BK317" s="1934" t="n"/>
      <c r="BL317" s="805" t="n"/>
      <c r="BM317" s="805" t="n"/>
      <c r="BN317" s="805" t="n"/>
      <c r="BO317" s="805" t="n"/>
      <c r="BP317" s="1934" t="n"/>
      <c r="BQ317" s="805" t="n"/>
      <c r="BR317" s="805" t="n"/>
      <c r="BS317" s="805" t="n"/>
      <c r="BT317" s="805" t="n"/>
      <c r="BU317" s="1934" t="n"/>
      <c r="BV317" s="805" t="n"/>
      <c r="BW317" s="805" t="n"/>
      <c r="BX317" s="805" t="n"/>
      <c r="BY317" s="805" t="n"/>
      <c r="BZ317" s="1934" t="n"/>
      <c r="CA317" s="1726" t="n"/>
      <c r="CB317" s="456" t="n"/>
      <c r="CC317" s="701" t="n"/>
      <c r="CD317" s="701" t="n"/>
      <c r="CE317" s="701" t="n"/>
      <c r="CF317" s="701" t="n"/>
      <c r="CG317" s="701" t="n"/>
      <c r="CH317" s="701" t="n"/>
      <c r="CI317" s="701" t="n"/>
      <c r="CJ317" s="701" t="n"/>
      <c r="CK317" s="701" t="n"/>
      <c r="CL317" s="701" t="n"/>
      <c r="CM317" s="701" t="n"/>
      <c r="CN317" s="701" t="n"/>
      <c r="CO317" s="701" t="n"/>
      <c r="CP317" s="701" t="n"/>
      <c r="CQ317" s="701" t="n"/>
      <c r="CR317" s="701" t="n"/>
      <c r="CS317" s="701" t="n"/>
      <c r="CT317" s="701" t="n"/>
      <c r="CU317" s="701" t="n"/>
      <c r="CV317" s="701" t="n"/>
      <c r="CW317" s="30" t="n"/>
    </row>
    <row r="318" ht="12.75" customHeight="1" s="1676">
      <c r="A318" s="13" t="n"/>
      <c r="B318" s="14" t="inlineStr">
        <is>
          <t>Text_271</t>
        </is>
      </c>
      <c r="C318" s="711" t="n"/>
      <c r="D318" s="1961" t="n"/>
      <c r="E318" s="1961" t="n"/>
      <c r="F318" s="1961" t="n"/>
      <c r="G318" s="1961" t="n"/>
      <c r="H318" s="1961" t="n"/>
      <c r="I318" s="1961" t="n">
        <v>228.329311328803</v>
      </c>
      <c r="J318" s="1961" t="n">
        <v>114.36837166737</v>
      </c>
      <c r="K318" s="1961" t="n">
        <v>119.035193418073</v>
      </c>
      <c r="L318" s="1961" t="n">
        <v>348.752648832555</v>
      </c>
      <c r="M318" s="1961" t="n">
        <v>732.883453951834</v>
      </c>
      <c r="N318" s="1961" t="n">
        <v>180.029728932995</v>
      </c>
      <c r="O318" s="1961" t="n">
        <v>226.454855348159</v>
      </c>
      <c r="P318" s="1961" t="n">
        <v>185.470944232109</v>
      </c>
      <c r="Q318" s="1961" t="n">
        <v>464.950675167664</v>
      </c>
      <c r="R318" s="1961" t="n">
        <v>1211.99030455988</v>
      </c>
      <c r="S318" s="1961" t="n">
        <v>367.53733449067</v>
      </c>
      <c r="T318" s="1961" t="n">
        <v>106.185469757909</v>
      </c>
      <c r="U318" s="1961" t="n">
        <v>392.984478820082</v>
      </c>
      <c r="V318" s="1961" t="n">
        <v>328.895196142782</v>
      </c>
      <c r="W318" s="1961" t="n">
        <v>1110.44641623103</v>
      </c>
      <c r="X318" s="1961" t="n">
        <v>330.251930692338</v>
      </c>
      <c r="Y318" s="1961" t="n">
        <v>263.008578113968</v>
      </c>
      <c r="Z318" s="1961" t="n">
        <v>180.395202328651</v>
      </c>
      <c r="AA318" s="1807" t="n">
        <v>327.984736488004</v>
      </c>
      <c r="AB318" s="1961" t="n">
        <v>1016.56668511475</v>
      </c>
      <c r="AC318" s="1961" t="n">
        <v>571.243514853024</v>
      </c>
      <c r="AD318" s="1961" t="n">
        <v>446.601260880885</v>
      </c>
      <c r="AE318" s="1961" t="n">
        <v>507.550416026495</v>
      </c>
      <c r="AF318" s="1807" t="n">
        <v>405.531963655714</v>
      </c>
      <c r="AG318" s="1961" t="n">
        <v>1744.15484295854</v>
      </c>
      <c r="AH318" s="1961" t="n">
        <v>611.530054870131</v>
      </c>
      <c r="AI318" s="1961" t="n">
        <v>622.129412888194</v>
      </c>
      <c r="AJ318" s="1961" t="n">
        <v>523.941691689958</v>
      </c>
      <c r="AK318" s="1807" t="n">
        <v>384.641876876757</v>
      </c>
      <c r="AL318" s="1961" t="n">
        <v>2153.4996770752</v>
      </c>
      <c r="AM318" s="1961" t="n">
        <v>1005.19027446504</v>
      </c>
      <c r="AN318" s="1961" t="n">
        <v>823.349736150586</v>
      </c>
      <c r="AO318" s="1961" t="n">
        <v>818.161484381641</v>
      </c>
      <c r="AP318" s="1961" t="n">
        <v>689.9460454967081</v>
      </c>
      <c r="AQ318" s="1961" t="n">
        <v>3520.44830659215</v>
      </c>
      <c r="AR318" s="1961" t="n">
        <v>1141.79020238219</v>
      </c>
      <c r="AS318" s="1961" t="n">
        <v>655.367714786952</v>
      </c>
      <c r="AT318" s="1961" t="n">
        <v>1122.29644702685</v>
      </c>
      <c r="AU318" s="1807" t="n">
        <v>1137.30961036243</v>
      </c>
      <c r="AV318" s="1961" t="n">
        <v>3234.95726821563</v>
      </c>
      <c r="AW318" s="1962" t="n">
        <v>891.986931308816</v>
      </c>
      <c r="AX318" s="1963" t="n">
        <v>569.261318925785</v>
      </c>
      <c r="AY318" s="1963" t="n">
        <v>1016.57443140943</v>
      </c>
      <c r="AZ318" s="1963" t="n">
        <v>920.319400914404</v>
      </c>
      <c r="BA318" s="1810">
        <f t="array" ref="BA318">AZ318+AY318+AX318+AW318</f>
        <v/>
      </c>
      <c r="BB318" s="1962" t="n">
        <v>1048.81461443117</v>
      </c>
      <c r="BC318" s="1963" t="n">
        <v>950.748018922439</v>
      </c>
      <c r="BD318" s="710" t="n"/>
      <c r="BE318" s="710" t="n"/>
      <c r="BF318" s="1810">
        <f t="array" ref="BF318">BF317+BF309+BF303+BF301+BF299+BF314</f>
        <v/>
      </c>
      <c r="BG318" s="711" t="n"/>
      <c r="BH318" s="711" t="n"/>
      <c r="BI318" s="711" t="n"/>
      <c r="BJ318" s="711" t="n"/>
      <c r="BK318" s="1807">
        <f t="array" ref="BK318">BK317+BK309+BK303+BK301+BK299+BK314</f>
        <v/>
      </c>
      <c r="BL318" s="711" t="n">
        <v>0</v>
      </c>
      <c r="BM318" s="711" t="n">
        <v>0</v>
      </c>
      <c r="BN318" s="711" t="n">
        <v>0</v>
      </c>
      <c r="BO318" s="711" t="n">
        <v>0</v>
      </c>
      <c r="BP318" s="1807">
        <f t="array" ref="BP318">BP317+BP309+BP303+BP301+BP299+BP314</f>
        <v/>
      </c>
      <c r="BQ318" s="711" t="n">
        <v>0</v>
      </c>
      <c r="BR318" s="711" t="n">
        <v>0</v>
      </c>
      <c r="BS318" s="711" t="n">
        <v>0</v>
      </c>
      <c r="BT318" s="711" t="n">
        <v>0</v>
      </c>
      <c r="BU318" s="1807">
        <f t="array" ref="BU318">BU317+BU309+BU303+BU301+BU299+BU314</f>
        <v/>
      </c>
      <c r="BV318" s="711" t="n">
        <v>0</v>
      </c>
      <c r="BW318" s="711" t="n">
        <v>0</v>
      </c>
      <c r="BX318" s="711" t="n">
        <v>0</v>
      </c>
      <c r="BY318" s="711" t="n">
        <v>0</v>
      </c>
      <c r="BZ318" s="1807">
        <f t="array" ref="BZ318">BZ317+BZ309+BZ303+BZ301+BZ299+BZ314</f>
        <v/>
      </c>
      <c r="CA318" s="712" t="n"/>
      <c r="CB318" s="713" t="n"/>
      <c r="CC318" s="701" t="n"/>
      <c r="CD318" s="701" t="n"/>
      <c r="CE318" s="701" t="n"/>
      <c r="CF318" s="701" t="n"/>
      <c r="CG318" s="701" t="n"/>
      <c r="CH318" s="701" t="n"/>
      <c r="CI318" s="701" t="n"/>
      <c r="CJ318" s="701" t="n"/>
      <c r="CK318" s="701" t="n"/>
      <c r="CL318" s="701" t="n"/>
      <c r="CM318" s="701" t="n"/>
      <c r="CN318" s="701" t="n"/>
      <c r="CO318" s="701" t="n"/>
      <c r="CP318" s="701" t="n"/>
      <c r="CQ318" s="701" t="n"/>
      <c r="CR318" s="701" t="n"/>
      <c r="CS318" s="701" t="n"/>
      <c r="CT318" s="701" t="n"/>
      <c r="CU318" s="701" t="n"/>
      <c r="CV318" s="701" t="n"/>
      <c r="CW318" s="30" t="n"/>
    </row>
    <row r="319" ht="12.75" customHeight="1" s="1676">
      <c r="A319" s="13" t="n"/>
      <c r="B319" s="293" t="inlineStr">
        <is>
          <t>Text_180</t>
        </is>
      </c>
      <c r="C319" s="714" t="n"/>
      <c r="D319" s="2093" t="n"/>
      <c r="E319" s="2093" t="n"/>
      <c r="F319" s="2093" t="n"/>
      <c r="G319" s="2093" t="n"/>
      <c r="H319" s="1742" t="n"/>
      <c r="I319" s="2093" t="n"/>
      <c r="J319" s="2093" t="n"/>
      <c r="K319" s="2093" t="n"/>
      <c r="L319" s="2093" t="n"/>
      <c r="M319" s="1742">
        <f t="array" ref="M319">M318/M$212</f>
        <v/>
      </c>
      <c r="N319" s="2093" t="n"/>
      <c r="O319" s="2093" t="n"/>
      <c r="P319" s="2093" t="n"/>
      <c r="Q319" s="2093" t="n"/>
      <c r="R319" s="1742">
        <f t="array" ref="R319">R318/R$212</f>
        <v/>
      </c>
      <c r="S319" s="2093" t="n"/>
      <c r="T319" s="2093" t="n"/>
      <c r="U319" s="2093" t="n"/>
      <c r="V319" s="2093" t="n"/>
      <c r="W319" s="1742">
        <f t="array" ref="W319">W318/W$212</f>
        <v/>
      </c>
      <c r="X319" s="2093" t="n"/>
      <c r="Y319" s="2093" t="n"/>
      <c r="Z319" s="2093" t="n"/>
      <c r="AA319" s="2093" t="n"/>
      <c r="AB319" s="1742">
        <f t="array" ref="AB319">AB318/AB$212</f>
        <v/>
      </c>
      <c r="AC319" s="2093" t="n"/>
      <c r="AD319" s="2093" t="n"/>
      <c r="AE319" s="2094" t="n"/>
      <c r="AF319" s="2094" t="n"/>
      <c r="AG319" s="1742">
        <f t="array" ref="AG319">AG318/AG$212</f>
        <v/>
      </c>
      <c r="AH319" s="2093" t="n"/>
      <c r="AI319" s="2093" t="n"/>
      <c r="AJ319" s="2093" t="n"/>
      <c r="AK319" s="2094" t="n"/>
      <c r="AL319" s="1742">
        <f t="array" ref="AL319">AL318/AL$212</f>
        <v/>
      </c>
      <c r="AM319" s="1742">
        <f t="array" ref="AM319">AM318/AM$212</f>
        <v/>
      </c>
      <c r="AN319" s="1742">
        <f t="array" ref="AN319">AN318/AN$212</f>
        <v/>
      </c>
      <c r="AO319" s="1742">
        <f t="array" ref="AO319">AO318/AO$212</f>
        <v/>
      </c>
      <c r="AP319" s="1742">
        <f t="array" ref="AP319">AP318/AP$212</f>
        <v/>
      </c>
      <c r="AQ319" s="1742">
        <f t="array" ref="AQ319">AQ318/AQ$212</f>
        <v/>
      </c>
      <c r="AR319" s="1742">
        <f t="array" ref="AR319">AR318/AR$212</f>
        <v/>
      </c>
      <c r="AS319" s="1742">
        <f t="array" ref="AS319">AS318/AS$212</f>
        <v/>
      </c>
      <c r="AT319" s="1742">
        <f t="array" ref="AT319">AT318/AT$212</f>
        <v/>
      </c>
      <c r="AU319" s="1742">
        <f t="array" ref="AU319">AU318/AU$212</f>
        <v/>
      </c>
      <c r="AV319" s="1742">
        <f t="array" ref="AV319">AV318/AV$212</f>
        <v/>
      </c>
      <c r="AW319" s="1740">
        <f t="array" ref="AW319">AW318/AW$212</f>
        <v/>
      </c>
      <c r="AX319" s="1741">
        <f t="array" ref="AX319">AX318/AX$212</f>
        <v/>
      </c>
      <c r="AY319" s="1741">
        <f t="array" ref="AY319">AY318/AY$212</f>
        <v/>
      </c>
      <c r="AZ319" s="1741">
        <f t="array" ref="AZ319">AZ318/AZ$212</f>
        <v/>
      </c>
      <c r="BA319" s="1844">
        <f t="array" ref="BA319">BA318/BA$212</f>
        <v/>
      </c>
      <c r="BB319" s="1740">
        <f t="array" ref="BB319">BB318/BB$212</f>
        <v/>
      </c>
      <c r="BC319" s="1741">
        <f t="array" ref="BC319">BC318/BC$212</f>
        <v/>
      </c>
      <c r="BD319" s="717" t="n"/>
      <c r="BE319" s="717" t="n"/>
      <c r="BF319" s="1844">
        <f t="array" ref="BF319">BF318/BF$212</f>
        <v/>
      </c>
      <c r="BG319" s="714" t="n"/>
      <c r="BH319" s="714" t="n"/>
      <c r="BI319" s="714" t="n"/>
      <c r="BJ319" s="714" t="n"/>
      <c r="BK319" s="1742">
        <f t="array" ref="BK319">BK318/BK$212</f>
        <v/>
      </c>
      <c r="BL319" s="714" t="n"/>
      <c r="BM319" s="714" t="n"/>
      <c r="BN319" s="714" t="n"/>
      <c r="BO319" s="714" t="n"/>
      <c r="BP319" s="1742">
        <f t="array" ref="BP319">BP318/BP$212</f>
        <v/>
      </c>
      <c r="BQ319" s="714" t="n"/>
      <c r="BR319" s="714" t="n"/>
      <c r="BS319" s="714" t="n"/>
      <c r="BT319" s="714" t="n"/>
      <c r="BU319" s="1742">
        <f t="array" ref="BU319">BU318/BU$212</f>
        <v/>
      </c>
      <c r="BV319" s="714" t="n"/>
      <c r="BW319" s="714" t="n"/>
      <c r="BX319" s="714" t="n"/>
      <c r="BY319" s="714" t="n"/>
      <c r="BZ319" s="1742">
        <f t="array" ref="BZ319">BZ318/BZ$212</f>
        <v/>
      </c>
      <c r="CA319" s="718" t="n"/>
      <c r="CB319" s="456" t="n"/>
      <c r="CC319" s="701" t="n"/>
      <c r="CD319" s="701" t="n"/>
      <c r="CE319" s="701" t="n"/>
      <c r="CF319" s="701" t="n"/>
      <c r="CG319" s="701" t="n"/>
      <c r="CH319" s="701" t="n"/>
      <c r="CI319" s="701" t="n"/>
      <c r="CJ319" s="701" t="n"/>
      <c r="CK319" s="701" t="n"/>
      <c r="CL319" s="701" t="n"/>
      <c r="CM319" s="701" t="n"/>
      <c r="CN319" s="701" t="n"/>
      <c r="CO319" s="701" t="n"/>
      <c r="CP319" s="701" t="n"/>
      <c r="CQ319" s="701" t="n"/>
      <c r="CR319" s="701" t="n"/>
      <c r="CS319" s="701" t="n"/>
      <c r="CT319" s="701" t="n"/>
      <c r="CU319" s="701" t="n"/>
      <c r="CV319" s="701" t="n"/>
      <c r="CW319" s="30" t="n"/>
    </row>
    <row r="320" ht="12.75" customHeight="1" s="1676">
      <c r="A320" s="31" t="n"/>
      <c r="B320" s="522" t="inlineStr">
        <is>
          <t>Text_272</t>
        </is>
      </c>
      <c r="C320" s="699" t="n"/>
      <c r="D320" s="1797" t="n"/>
      <c r="E320" s="1797" t="n"/>
      <c r="F320" s="1797" t="n"/>
      <c r="G320" s="1797" t="n"/>
      <c r="H320" s="1797" t="n"/>
      <c r="I320" s="1797" t="n">
        <v>7.03552769592603</v>
      </c>
      <c r="J320" s="1797" t="n">
        <v>9.254827949178679</v>
      </c>
      <c r="K320" s="1797" t="n">
        <v>9.072296190928769</v>
      </c>
      <c r="L320" s="1797" t="n">
        <v>6.48163310586825</v>
      </c>
      <c r="M320" s="1797" t="n">
        <v>-34.2282135639184</v>
      </c>
      <c r="N320" s="1797" t="n">
        <v>11.0423207705525</v>
      </c>
      <c r="O320" s="1797" t="n">
        <v>7.99653460456627</v>
      </c>
      <c r="P320" s="1797" t="n">
        <v>10.7589942101545</v>
      </c>
      <c r="Q320" s="1797" t="n">
        <v>12.4010944967365</v>
      </c>
      <c r="R320" s="1797" t="n">
        <v>-35.1499407143437</v>
      </c>
      <c r="S320" s="1797" t="n">
        <v>18.8033457296404</v>
      </c>
      <c r="T320" s="1797" t="n">
        <v>11.4476689673935</v>
      </c>
      <c r="U320" s="1797" t="n">
        <v>13.2068091728108</v>
      </c>
      <c r="V320" s="1797" t="n">
        <v>19.9445938520503</v>
      </c>
      <c r="W320" s="1797" t="n">
        <v>-77.49757164635879</v>
      </c>
      <c r="X320" s="1797" t="n">
        <v>23.7081410773666</v>
      </c>
      <c r="Y320" s="1797" t="n">
        <v>22.6969526125754</v>
      </c>
      <c r="Z320" s="1797" t="n">
        <v>25.3364138588675</v>
      </c>
      <c r="AA320" s="1745" t="n">
        <v>58.4215734032193</v>
      </c>
      <c r="AB320" s="1797" t="n">
        <v>-108.755158465178</v>
      </c>
      <c r="AC320" s="1797" t="n">
        <v>37.5475085814214</v>
      </c>
      <c r="AD320" s="1797" t="n">
        <v>39.1091478779952</v>
      </c>
      <c r="AE320" s="1797" t="n">
        <v>43.5354833112148</v>
      </c>
      <c r="AF320" s="1745" t="n">
        <v>49.5984885006723</v>
      </c>
      <c r="AG320" s="1797" t="n">
        <v>-147.65266300433</v>
      </c>
      <c r="AH320" s="1797" t="n">
        <v>66.7545478368465</v>
      </c>
      <c r="AI320" s="1797" t="n">
        <v>63.1165841636967</v>
      </c>
      <c r="AJ320" s="1797" t="n">
        <v>64.4788370045984</v>
      </c>
      <c r="AK320" s="1745" t="n">
        <v>47.9759009308016</v>
      </c>
      <c r="AL320" s="1797" t="n">
        <v>-267.012912349132</v>
      </c>
      <c r="AM320" s="1797" t="n">
        <v>-66.9550205722264</v>
      </c>
      <c r="AN320" s="1797" t="n">
        <v>-56.1324441074755</v>
      </c>
      <c r="AO320" s="1797" t="n">
        <v>-80.7490338734594</v>
      </c>
      <c r="AP320" s="1745">
        <f t="array" ref="AP320">AQ320-AO320-AN320-AM320</f>
        <v/>
      </c>
      <c r="AQ320" s="1797" t="n">
        <v>-314.665646678299</v>
      </c>
      <c r="AR320" s="1797" t="n">
        <v>-85.2764851701168</v>
      </c>
      <c r="AS320" s="1797" t="n">
        <v>-101.858284762357</v>
      </c>
      <c r="AT320" s="1797" t="n">
        <v>-98.1693489255815</v>
      </c>
      <c r="AU320" s="1745">
        <f t="array" ref="AU320">AV320-AT320-AS320-AR320</f>
        <v/>
      </c>
      <c r="AV320" s="1797" t="n">
        <v>-284.122629861919</v>
      </c>
      <c r="AW320" s="1975" t="n">
        <v>-74.34587147408401</v>
      </c>
      <c r="AX320" s="1854" t="n">
        <v>-67.19816988745541</v>
      </c>
      <c r="AY320" s="1854" t="n">
        <v>-82.07884207092491</v>
      </c>
      <c r="AZ320" s="1854" t="n">
        <v>-68.4976052598105</v>
      </c>
      <c r="BA320" s="1748">
        <f t="array" ref="BA320">AZ320+AY320+AX320+AW320</f>
        <v/>
      </c>
      <c r="BB320" s="1975" t="n">
        <v>-61.3784628979368</v>
      </c>
      <c r="BC320" s="1854" t="n">
        <v>-100.08709835892</v>
      </c>
      <c r="BD320" s="1874" t="n">
        <v>-90.7225244368029</v>
      </c>
      <c r="BE320" s="1874">
        <f t="array" ref="BE320">BF320-BD320-BC320-BB320</f>
        <v/>
      </c>
      <c r="BF320" s="1865" t="n">
        <v>-345.963505850594</v>
      </c>
      <c r="BG320" s="699" t="n"/>
      <c r="BH320" s="699" t="n"/>
      <c r="BI320" s="699" t="n"/>
      <c r="BJ320" s="699" t="n"/>
      <c r="BK320" s="1862" t="n">
        <v>-451.461903633675</v>
      </c>
      <c r="BL320" s="699" t="n"/>
      <c r="BM320" s="699" t="n"/>
      <c r="BN320" s="699" t="n"/>
      <c r="BO320" s="699" t="n"/>
      <c r="BP320" s="1862" t="n">
        <v>-442.667735491179</v>
      </c>
      <c r="BQ320" s="699" t="n"/>
      <c r="BR320" s="699" t="n"/>
      <c r="BS320" s="699" t="n"/>
      <c r="BT320" s="699" t="n"/>
      <c r="BU320" s="1862" t="n">
        <v>-471.559653065088</v>
      </c>
      <c r="BV320" s="699" t="n"/>
      <c r="BW320" s="699" t="n"/>
      <c r="BX320" s="699" t="n"/>
      <c r="BY320" s="699" t="n"/>
      <c r="BZ320" s="1862" t="n">
        <v>-498.84248945006</v>
      </c>
      <c r="CA320" s="577" t="n"/>
      <c r="CB320" s="456" t="n"/>
      <c r="CC320" s="701" t="n"/>
      <c r="CD320" s="701" t="n"/>
      <c r="CE320" s="701" t="n"/>
      <c r="CF320" s="701" t="n"/>
      <c r="CG320" s="701" t="n"/>
      <c r="CH320" s="701" t="n"/>
      <c r="CI320" s="701" t="n"/>
      <c r="CJ320" s="701" t="n"/>
      <c r="CK320" s="701" t="n"/>
      <c r="CL320" s="701" t="n"/>
      <c r="CM320" s="701" t="n"/>
      <c r="CN320" s="701" t="n"/>
      <c r="CO320" s="701" t="n"/>
      <c r="CP320" s="701" t="n"/>
      <c r="CQ320" s="701" t="n"/>
      <c r="CR320" s="701" t="n"/>
      <c r="CS320" s="701" t="n"/>
      <c r="CT320" s="701" t="n"/>
      <c r="CU320" s="701" t="n"/>
      <c r="CV320" s="701" t="n"/>
      <c r="CW320" s="30" t="n"/>
    </row>
    <row r="321" ht="12.75" customHeight="1" s="1676">
      <c r="A321" s="31" t="n"/>
      <c r="B321" s="103" t="inlineStr">
        <is>
          <t>Text_187</t>
        </is>
      </c>
      <c r="C321" s="699" t="n"/>
      <c r="D321" s="699" t="n"/>
      <c r="E321" s="699" t="n"/>
      <c r="F321" s="699" t="n"/>
      <c r="G321" s="699" t="n"/>
      <c r="H321" s="1751" t="n"/>
      <c r="I321" s="699" t="n"/>
      <c r="J321" s="699" t="n"/>
      <c r="K321" s="699" t="n"/>
      <c r="L321" s="699" t="n"/>
      <c r="M321" s="1751">
        <f t="array" ref="M321">-M320/M212</f>
        <v/>
      </c>
      <c r="N321" s="699" t="n"/>
      <c r="O321" s="699" t="n"/>
      <c r="P321" s="699" t="n"/>
      <c r="Q321" s="699" t="n"/>
      <c r="R321" s="1751">
        <f t="array" ref="R321">-R320/R212</f>
        <v/>
      </c>
      <c r="S321" s="699" t="n"/>
      <c r="T321" s="699" t="n"/>
      <c r="U321" s="699" t="n"/>
      <c r="V321" s="699" t="n"/>
      <c r="W321" s="1751">
        <f t="array" ref="W321">-W320/W212</f>
        <v/>
      </c>
      <c r="X321" s="699" t="n"/>
      <c r="Y321" s="699" t="n"/>
      <c r="Z321" s="699" t="n"/>
      <c r="AA321" s="699" t="n"/>
      <c r="AB321" s="1751">
        <f t="array" ref="AB321">-AB320/AB212</f>
        <v/>
      </c>
      <c r="AC321" s="1751" t="n"/>
      <c r="AD321" s="1751" t="n"/>
      <c r="AE321" s="1751" t="n"/>
      <c r="AF321" s="1751" t="n"/>
      <c r="AG321" s="1751">
        <f t="array" ref="AG321">-AG320/AG212</f>
        <v/>
      </c>
      <c r="AH321" s="1751" t="n"/>
      <c r="AI321" s="1751" t="n"/>
      <c r="AJ321" s="1751" t="n"/>
      <c r="AK321" s="1751" t="n"/>
      <c r="AL321" s="1751">
        <f t="array" ref="AL321">-AL320/AL212</f>
        <v/>
      </c>
      <c r="AM321" s="1751">
        <f t="array" ref="AM321">-AM320/AM212</f>
        <v/>
      </c>
      <c r="AN321" s="1751">
        <f t="array" ref="AN321">-AN320/AN212</f>
        <v/>
      </c>
      <c r="AO321" s="1751">
        <f t="array" ref="AO321">-AO320/AO212</f>
        <v/>
      </c>
      <c r="AP321" s="1751">
        <f t="array" ref="AP321">-AP320/AP212</f>
        <v/>
      </c>
      <c r="AQ321" s="1751">
        <f t="array" ref="AQ321">-AQ320/AQ212</f>
        <v/>
      </c>
      <c r="AR321" s="1751">
        <f t="array" ref="AR321">-AR320/AR212</f>
        <v/>
      </c>
      <c r="AS321" s="1751">
        <f t="array" ref="AS321">-AS320/AS212</f>
        <v/>
      </c>
      <c r="AT321" s="1751">
        <f t="array" ref="AT321">-AT320/AT212</f>
        <v/>
      </c>
      <c r="AU321" s="1751">
        <f t="array" ref="AU321">-AU320/AU212</f>
        <v/>
      </c>
      <c r="AV321" s="1751">
        <f t="array" ref="AV321">-AV320/AV212</f>
        <v/>
      </c>
      <c r="AW321" s="1749">
        <f t="array" ref="AW321">-AW320/AW212</f>
        <v/>
      </c>
      <c r="AX321" s="1750">
        <f t="array" ref="AX321">-AX320/AX212</f>
        <v/>
      </c>
      <c r="AY321" s="1750">
        <f t="array" ref="AY321">-AY320/AY212</f>
        <v/>
      </c>
      <c r="AZ321" s="1750">
        <f t="array" ref="AZ321">-AZ320/AZ212</f>
        <v/>
      </c>
      <c r="BA321" s="1784">
        <f t="array" ref="BA321">-BA320/BA212</f>
        <v/>
      </c>
      <c r="BB321" s="1749">
        <f t="array" ref="BB321">-BB320/BB212</f>
        <v/>
      </c>
      <c r="BC321" s="1750">
        <f t="array" ref="BC321">-BC320/BC212</f>
        <v/>
      </c>
      <c r="BD321" s="701" t="n"/>
      <c r="BE321" s="701" t="n"/>
      <c r="BF321" s="1784">
        <f t="array" ref="BF321">-BF320/BF212</f>
        <v/>
      </c>
      <c r="BG321" s="699" t="n"/>
      <c r="BH321" s="699" t="n"/>
      <c r="BI321" s="699" t="n"/>
      <c r="BJ321" s="699" t="n"/>
      <c r="BK321" s="1751">
        <f t="array" ref="BK321">-BK320/BK212</f>
        <v/>
      </c>
      <c r="BL321" s="699" t="n"/>
      <c r="BM321" s="699" t="n"/>
      <c r="BN321" s="699" t="n"/>
      <c r="BO321" s="699" t="n"/>
      <c r="BP321" s="1751">
        <f t="array" ref="BP321">-BP320/BP212</f>
        <v/>
      </c>
      <c r="BQ321" s="699" t="n"/>
      <c r="BR321" s="699" t="n"/>
      <c r="BS321" s="699" t="n"/>
      <c r="BT321" s="699" t="n"/>
      <c r="BU321" s="1751">
        <f t="array" ref="BU321">-BU320/BU212</f>
        <v/>
      </c>
      <c r="BV321" s="699" t="n"/>
      <c r="BW321" s="699" t="n"/>
      <c r="BX321" s="699" t="n"/>
      <c r="BY321" s="699" t="n"/>
      <c r="BZ321" s="1751">
        <f t="array" ref="BZ321">-BZ320/BZ212</f>
        <v/>
      </c>
      <c r="CA321" s="524" t="n"/>
      <c r="CB321" s="456" t="n"/>
      <c r="CC321" s="701" t="n"/>
      <c r="CD321" s="701" t="n"/>
      <c r="CE321" s="701" t="n"/>
      <c r="CF321" s="701" t="n"/>
      <c r="CG321" s="701" t="n"/>
      <c r="CH321" s="701" t="n"/>
      <c r="CI321" s="701" t="n"/>
      <c r="CJ321" s="701" t="n"/>
      <c r="CK321" s="701" t="n"/>
      <c r="CL321" s="701" t="n"/>
      <c r="CM321" s="701" t="n"/>
      <c r="CN321" s="701" t="n"/>
      <c r="CO321" s="701" t="n"/>
      <c r="CP321" s="701" t="n"/>
      <c r="CQ321" s="701" t="n"/>
      <c r="CR321" s="701" t="n"/>
      <c r="CS321" s="701" t="n"/>
      <c r="CT321" s="701" t="n"/>
      <c r="CU321" s="701" t="n"/>
      <c r="CV321" s="701" t="n"/>
      <c r="CW321" s="30" t="n"/>
    </row>
    <row r="322" ht="12.75" customHeight="1" s="1676">
      <c r="A322" s="31" t="n"/>
      <c r="B322" s="551" t="inlineStr">
        <is>
          <t>Text_273</t>
        </is>
      </c>
      <c r="C322" s="805" t="n"/>
      <c r="D322" s="805" t="n"/>
      <c r="E322" s="805" t="n"/>
      <c r="F322" s="805" t="n"/>
      <c r="G322" s="805" t="n"/>
      <c r="H322" s="2095" t="n"/>
      <c r="I322" s="805" t="n"/>
      <c r="J322" s="805" t="n"/>
      <c r="K322" s="805" t="n"/>
      <c r="L322" s="805" t="n"/>
      <c r="M322" s="2095">
        <f t="array" ref="M322">-M320/M301</f>
        <v/>
      </c>
      <c r="N322" s="805" t="n"/>
      <c r="O322" s="805" t="n"/>
      <c r="P322" s="805" t="n"/>
      <c r="Q322" s="805" t="n"/>
      <c r="R322" s="2095">
        <f t="array" ref="R322">R320/R234</f>
        <v/>
      </c>
      <c r="S322" s="805" t="n"/>
      <c r="T322" s="805" t="n"/>
      <c r="U322" s="805" t="n"/>
      <c r="V322" s="805" t="n"/>
      <c r="W322" s="2095">
        <f t="array" ref="W322">W320/W234</f>
        <v/>
      </c>
      <c r="X322" s="2095" t="n"/>
      <c r="Y322" s="2095" t="n"/>
      <c r="Z322" s="2095" t="n"/>
      <c r="AA322" s="2095" t="n"/>
      <c r="AB322" s="2095">
        <f t="array" ref="AB322">AB320/AB234</f>
        <v/>
      </c>
      <c r="AC322" s="2095" t="n"/>
      <c r="AD322" s="2095" t="n"/>
      <c r="AE322" s="2095" t="n"/>
      <c r="AF322" s="2095" t="n"/>
      <c r="AG322" s="2095">
        <f t="array" ref="AG322">AG320/AG234</f>
        <v/>
      </c>
      <c r="AH322" s="2095" t="n"/>
      <c r="AI322" s="2095" t="n"/>
      <c r="AJ322" s="2095" t="n"/>
      <c r="AK322" s="2095" t="n"/>
      <c r="AL322" s="2095">
        <f t="array" ref="AL322">AL320/AL234</f>
        <v/>
      </c>
      <c r="AM322" s="2095">
        <f t="array" ref="AM322">AM320/AM234</f>
        <v/>
      </c>
      <c r="AN322" s="2095">
        <f t="array" ref="AN322">AN320/AN234</f>
        <v/>
      </c>
      <c r="AO322" s="2095">
        <f t="array" ref="AO322">AO320/AO234</f>
        <v/>
      </c>
      <c r="AP322" s="2095">
        <f t="array" ref="AP322">AP320/AP234</f>
        <v/>
      </c>
      <c r="AQ322" s="2095">
        <f t="array" ref="AQ322">AQ320/AQ234</f>
        <v/>
      </c>
      <c r="AR322" s="2095">
        <f t="array" ref="AR322">AR320/AR234</f>
        <v/>
      </c>
      <c r="AS322" s="2095">
        <f t="array" ref="AS322">AS320/AS234</f>
        <v/>
      </c>
      <c r="AT322" s="2095">
        <f t="array" ref="AT322">AT320/AT234</f>
        <v/>
      </c>
      <c r="AU322" s="2095">
        <f t="array" ref="AU322">AU320/AU234</f>
        <v/>
      </c>
      <c r="AV322" s="2095">
        <f t="array" ref="AV322">AV320/AV234</f>
        <v/>
      </c>
      <c r="AW322" s="2096">
        <f t="array" ref="AW322">AW320/AW234</f>
        <v/>
      </c>
      <c r="AX322" s="2097">
        <f t="array" ref="AX322">AX320/AX234</f>
        <v/>
      </c>
      <c r="AY322" s="2097">
        <f t="array" ref="AY322">AY320/AY234</f>
        <v/>
      </c>
      <c r="AZ322" s="2097">
        <f t="array" ref="AZ322">AZ320/AZ234</f>
        <v/>
      </c>
      <c r="BA322" s="2098">
        <f t="array" ref="BA322">BA320/BA234</f>
        <v/>
      </c>
      <c r="BB322" s="2096">
        <f t="array" ref="BB322">BB320/BB234</f>
        <v/>
      </c>
      <c r="BC322" s="2097">
        <f t="array" ref="BC322">BC320/BC234</f>
        <v/>
      </c>
      <c r="BD322" s="179" t="n"/>
      <c r="BE322" s="179" t="n"/>
      <c r="BF322" s="2098">
        <f t="array" ref="BF322">BF320/BF234</f>
        <v/>
      </c>
      <c r="BG322" s="805" t="n"/>
      <c r="BH322" s="805" t="n"/>
      <c r="BI322" s="805" t="n"/>
      <c r="BJ322" s="805" t="n"/>
      <c r="BK322" s="2095">
        <f t="array" ref="BK322">BK320/BK234</f>
        <v/>
      </c>
      <c r="BL322" s="805" t="n"/>
      <c r="BM322" s="805" t="n"/>
      <c r="BN322" s="805" t="n"/>
      <c r="BO322" s="805" t="n"/>
      <c r="BP322" s="2095">
        <f t="array" ref="BP322">BP320/BP234</f>
        <v/>
      </c>
      <c r="BQ322" s="805" t="n"/>
      <c r="BR322" s="805" t="n"/>
      <c r="BS322" s="805" t="n"/>
      <c r="BT322" s="805" t="n"/>
      <c r="BU322" s="2095">
        <f t="array" ref="BU322">BU320/BU234</f>
        <v/>
      </c>
      <c r="BV322" s="805" t="n"/>
      <c r="BW322" s="805" t="n"/>
      <c r="BX322" s="805" t="n"/>
      <c r="BY322" s="805" t="n"/>
      <c r="BZ322" s="2095">
        <f t="array" ref="BZ322">BZ320/BZ234</f>
        <v/>
      </c>
      <c r="CA322" s="723" t="n"/>
      <c r="CB322" s="713" t="n"/>
      <c r="CC322" s="701" t="n"/>
      <c r="CD322" s="701" t="n"/>
      <c r="CE322" s="701" t="n"/>
      <c r="CF322" s="701" t="n"/>
      <c r="CG322" s="701" t="n"/>
      <c r="CH322" s="701" t="n"/>
      <c r="CI322" s="701" t="n"/>
      <c r="CJ322" s="701" t="n"/>
      <c r="CK322" s="701" t="n"/>
      <c r="CL322" s="701" t="n"/>
      <c r="CM322" s="701" t="n"/>
      <c r="CN322" s="701" t="n"/>
      <c r="CO322" s="701" t="n"/>
      <c r="CP322" s="701" t="n"/>
      <c r="CQ322" s="701" t="n"/>
      <c r="CR322" s="701" t="n"/>
      <c r="CS322" s="701" t="n"/>
      <c r="CT322" s="701" t="n"/>
      <c r="CU322" s="701" t="n"/>
      <c r="CV322" s="701" t="n"/>
      <c r="CW322" s="30" t="n"/>
    </row>
    <row r="323" ht="12.75" customHeight="1" s="1676">
      <c r="A323" s="13" t="n"/>
      <c r="B323" s="250" t="inlineStr">
        <is>
          <t>Text_274</t>
        </is>
      </c>
      <c r="C323" s="711" t="n"/>
      <c r="D323" s="1807">
        <f t="array" ref="D323">D320+D318</f>
        <v/>
      </c>
      <c r="E323" s="1807">
        <f t="array" ref="E323">E320+E318</f>
        <v/>
      </c>
      <c r="F323" s="1807">
        <f t="array" ref="F323">F320+F318</f>
        <v/>
      </c>
      <c r="G323" s="1807">
        <f t="array" ref="G323">G320+G318</f>
        <v/>
      </c>
      <c r="H323" s="1807" t="n"/>
      <c r="I323" s="1807">
        <f t="array" ref="I323">I320+I318</f>
        <v/>
      </c>
      <c r="J323" s="1807">
        <f t="array" ref="J323">J320+J318</f>
        <v/>
      </c>
      <c r="K323" s="1807">
        <f t="array" ref="K323">K320+K318</f>
        <v/>
      </c>
      <c r="L323" s="1807">
        <f t="array" ref="L323">L320+L318</f>
        <v/>
      </c>
      <c r="M323" s="1807">
        <f t="array" ref="M323">M320+M318</f>
        <v/>
      </c>
      <c r="N323" s="1807" t="n"/>
      <c r="O323" s="1807" t="n"/>
      <c r="P323" s="1807" t="n"/>
      <c r="Q323" s="1807" t="n"/>
      <c r="R323" s="1807">
        <f t="array" ref="R323">R320+R318</f>
        <v/>
      </c>
      <c r="S323" s="1807" t="n"/>
      <c r="T323" s="1807" t="n"/>
      <c r="U323" s="1807" t="n"/>
      <c r="V323" s="1807" t="n"/>
      <c r="W323" s="1807">
        <f t="array" ref="W323">W320+W318</f>
        <v/>
      </c>
      <c r="X323" s="1807" t="n"/>
      <c r="Y323" s="1807" t="n"/>
      <c r="Z323" s="1807" t="n"/>
      <c r="AA323" s="1807" t="n"/>
      <c r="AB323" s="1807">
        <f t="array" ref="AB323">AB320+AB318</f>
        <v/>
      </c>
      <c r="AC323" s="1807" t="n"/>
      <c r="AD323" s="1807" t="n"/>
      <c r="AE323" s="1807" t="n"/>
      <c r="AF323" s="1807" t="n"/>
      <c r="AG323" s="1807">
        <f t="array" ref="AG323">AG320+AG318</f>
        <v/>
      </c>
      <c r="AH323" s="1807" t="n"/>
      <c r="AI323" s="1807" t="n"/>
      <c r="AJ323" s="1807" t="n"/>
      <c r="AK323" s="1807" t="n"/>
      <c r="AL323" s="1807">
        <f t="array" ref="AL323">AL320+AL318</f>
        <v/>
      </c>
      <c r="AM323" s="1807">
        <f t="array" ref="AM323">AM320+AM318</f>
        <v/>
      </c>
      <c r="AN323" s="1807">
        <f t="array" ref="AN323">AN320+AN318</f>
        <v/>
      </c>
      <c r="AO323" s="1807">
        <f t="array" ref="AO323">AO320+AO318</f>
        <v/>
      </c>
      <c r="AP323" s="1807">
        <f t="array" ref="AP323">AP320+AP318</f>
        <v/>
      </c>
      <c r="AQ323" s="1807">
        <f t="array" ref="AQ323">AQ320+AQ318</f>
        <v/>
      </c>
      <c r="AR323" s="1807">
        <f t="array" ref="AR323">AR320+AR318</f>
        <v/>
      </c>
      <c r="AS323" s="1807">
        <f t="array" ref="AS323">AS320+AS318</f>
        <v/>
      </c>
      <c r="AT323" s="1807">
        <f t="array" ref="AT323">AT320+AT318</f>
        <v/>
      </c>
      <c r="AU323" s="1807">
        <f t="array" ref="AU323">AU320+AU318</f>
        <v/>
      </c>
      <c r="AV323" s="1807">
        <f t="array" ref="AV323">AV320+AV318</f>
        <v/>
      </c>
      <c r="AW323" s="1808">
        <f t="array" ref="AW323">AW320+AW318</f>
        <v/>
      </c>
      <c r="AX323" s="1809">
        <f t="array" ref="AX323">AX320+AX318</f>
        <v/>
      </c>
      <c r="AY323" s="1809">
        <f t="array" ref="AY323">AY320+AY318</f>
        <v/>
      </c>
      <c r="AZ323" s="1809">
        <f t="array" ref="AZ323">AZ320+AZ318</f>
        <v/>
      </c>
      <c r="BA323" s="1810">
        <f t="array" ref="BA323">BA320+BA318</f>
        <v/>
      </c>
      <c r="BB323" s="1808">
        <f t="array" ref="BB323">BB320+BB318</f>
        <v/>
      </c>
      <c r="BC323" s="1809">
        <f t="array" ref="BC323">BC320+BC318</f>
        <v/>
      </c>
      <c r="BD323" s="710" t="n"/>
      <c r="BE323" s="710" t="n"/>
      <c r="BF323" s="1810">
        <f t="array" ref="BF323">BF320+BF318</f>
        <v/>
      </c>
      <c r="BG323" s="711" t="n"/>
      <c r="BH323" s="711" t="n"/>
      <c r="BI323" s="711" t="n"/>
      <c r="BJ323" s="711" t="n"/>
      <c r="BK323" s="1807">
        <f t="array" ref="BK323">BK320+BK318</f>
        <v/>
      </c>
      <c r="BL323" s="711" t="n"/>
      <c r="BM323" s="711" t="n"/>
      <c r="BN323" s="711" t="n"/>
      <c r="BO323" s="711" t="n"/>
      <c r="BP323" s="1807">
        <f t="array" ref="BP323">BP320+BP318</f>
        <v/>
      </c>
      <c r="BQ323" s="711" t="n"/>
      <c r="BR323" s="711" t="n"/>
      <c r="BS323" s="711" t="n"/>
      <c r="BT323" s="711" t="n"/>
      <c r="BU323" s="1807">
        <f t="array" ref="BU323">BU320+BU318</f>
        <v/>
      </c>
      <c r="BV323" s="711" t="n"/>
      <c r="BW323" s="711" t="n"/>
      <c r="BX323" s="711" t="n"/>
      <c r="BY323" s="711" t="n"/>
      <c r="BZ323" s="1807">
        <f t="array" ref="BZ323">BZ320+BZ318</f>
        <v/>
      </c>
      <c r="CA323" s="724">
        <f t="array" ref="CA323">(BC323+BB323+AZ323+AY323)/(BC256+BB256+AZ256+AY256)</f>
        <v/>
      </c>
      <c r="CB323" s="713" t="n"/>
      <c r="CC323" s="701" t="n"/>
      <c r="CD323" s="701" t="n"/>
      <c r="CE323" s="701" t="n"/>
      <c r="CF323" s="701" t="n"/>
      <c r="CG323" s="701" t="n"/>
      <c r="CH323" s="701" t="n"/>
      <c r="CI323" s="701" t="n"/>
      <c r="CJ323" s="701" t="n"/>
      <c r="CK323" s="701" t="n"/>
      <c r="CL323" s="701" t="n"/>
      <c r="CM323" s="701" t="n"/>
      <c r="CN323" s="701" t="n"/>
      <c r="CO323" s="701" t="n"/>
      <c r="CP323" s="701" t="n"/>
      <c r="CQ323" s="701" t="n"/>
      <c r="CR323" s="701" t="n"/>
      <c r="CS323" s="701" t="n"/>
      <c r="CT323" s="701" t="n"/>
      <c r="CU323" s="701" t="n"/>
      <c r="CV323" s="701" t="n"/>
      <c r="CW323" s="30" t="n"/>
    </row>
    <row r="324" ht="12.75" customHeight="1" s="1676">
      <c r="A324" s="31" t="n"/>
      <c r="B324" s="144" t="inlineStr">
        <is>
          <t>Text_180</t>
        </is>
      </c>
      <c r="C324" s="33" t="n"/>
      <c r="D324" s="2093" t="n"/>
      <c r="E324" s="2093" t="n"/>
      <c r="F324" s="2093" t="n"/>
      <c r="G324" s="2093" t="n"/>
      <c r="H324" s="1742" t="n"/>
      <c r="I324" s="2093" t="n"/>
      <c r="J324" s="2093" t="n"/>
      <c r="K324" s="2093" t="n"/>
      <c r="L324" s="2093" t="n"/>
      <c r="M324" s="1742">
        <f t="array" ref="M324">M323/M$212</f>
        <v/>
      </c>
      <c r="N324" s="2093" t="n"/>
      <c r="O324" s="2093" t="n"/>
      <c r="P324" s="2093" t="n"/>
      <c r="Q324" s="2093" t="n"/>
      <c r="R324" s="1742">
        <f t="array" ref="R324">R323/R$212</f>
        <v/>
      </c>
      <c r="S324" s="2093" t="n"/>
      <c r="T324" s="2093" t="n"/>
      <c r="U324" s="2093" t="n"/>
      <c r="V324" s="2093" t="n"/>
      <c r="W324" s="1742">
        <f t="array" ref="W324">W323/W$212</f>
        <v/>
      </c>
      <c r="X324" s="2093" t="n"/>
      <c r="Y324" s="2093" t="n"/>
      <c r="Z324" s="2093" t="n"/>
      <c r="AA324" s="2093" t="n"/>
      <c r="AB324" s="1742">
        <f t="array" ref="AB324">AB323/AB$212</f>
        <v/>
      </c>
      <c r="AC324" s="1742" t="n"/>
      <c r="AD324" s="1742" t="n"/>
      <c r="AE324" s="1742" t="n"/>
      <c r="AF324" s="1742" t="n"/>
      <c r="AG324" s="1742">
        <f t="array" ref="AG324">AG323/AG$212</f>
        <v/>
      </c>
      <c r="AH324" s="1742" t="n"/>
      <c r="AI324" s="1742" t="n"/>
      <c r="AJ324" s="1742" t="n"/>
      <c r="AK324" s="1742" t="n"/>
      <c r="AL324" s="1742">
        <f t="array" ref="AL324">AL323/AL$212</f>
        <v/>
      </c>
      <c r="AM324" s="1742">
        <f t="array" ref="AM324">AM323/AM$212</f>
        <v/>
      </c>
      <c r="AN324" s="1742">
        <f t="array" ref="AN324">AN323/AN$212</f>
        <v/>
      </c>
      <c r="AO324" s="1742">
        <f t="array" ref="AO324">AO323/AO$212</f>
        <v/>
      </c>
      <c r="AP324" s="1742">
        <f t="array" ref="AP324">AP323/AP$212</f>
        <v/>
      </c>
      <c r="AQ324" s="1742">
        <f t="array" ref="AQ324">AQ323/AQ$212</f>
        <v/>
      </c>
      <c r="AR324" s="1742">
        <f t="array" ref="AR324">AR323/AR$212</f>
        <v/>
      </c>
      <c r="AS324" s="1742">
        <f t="array" ref="AS324">AS323/AS$212</f>
        <v/>
      </c>
      <c r="AT324" s="1742">
        <f t="array" ref="AT324">AT323/AT$212</f>
        <v/>
      </c>
      <c r="AU324" s="1742">
        <f t="array" ref="AU324">AU323/AU$212</f>
        <v/>
      </c>
      <c r="AV324" s="1742">
        <f t="array" ref="AV324">AV323/AV$212</f>
        <v/>
      </c>
      <c r="AW324" s="1740">
        <f t="array" ref="AW324">AW323/AW$212</f>
        <v/>
      </c>
      <c r="AX324" s="1741">
        <f t="array" ref="AX324">AX323/AX$212</f>
        <v/>
      </c>
      <c r="AY324" s="1741">
        <f t="array" ref="AY324">AY323/AY$212</f>
        <v/>
      </c>
      <c r="AZ324" s="1741">
        <f t="array" ref="AZ324">AZ323/AZ$212</f>
        <v/>
      </c>
      <c r="BA324" s="1844">
        <f t="array" ref="BA324">BA323/BA$212</f>
        <v/>
      </c>
      <c r="BB324" s="1740">
        <f t="array" ref="BB324">BB323/BB$212</f>
        <v/>
      </c>
      <c r="BC324" s="1741">
        <f t="array" ref="BC324">BC323/BC$212</f>
        <v/>
      </c>
      <c r="BD324" s="266" t="n"/>
      <c r="BE324" s="266" t="n"/>
      <c r="BF324" s="1844">
        <f t="array" ref="BF324">BF323/BF$212</f>
        <v/>
      </c>
      <c r="BG324" s="33" t="n"/>
      <c r="BH324" s="33" t="n"/>
      <c r="BI324" s="33" t="n"/>
      <c r="BJ324" s="33" t="n"/>
      <c r="BK324" s="1742">
        <f t="array" ref="BK324">BK323/BK$212</f>
        <v/>
      </c>
      <c r="BL324" s="33" t="n"/>
      <c r="BM324" s="33" t="n"/>
      <c r="BN324" s="33" t="n"/>
      <c r="BO324" s="33" t="n"/>
      <c r="BP324" s="1742">
        <f t="array" ref="BP324">BP323/BP$212</f>
        <v/>
      </c>
      <c r="BQ324" s="33" t="n"/>
      <c r="BR324" s="33" t="n"/>
      <c r="BS324" s="33" t="n"/>
      <c r="BT324" s="33" t="n"/>
      <c r="BU324" s="1742">
        <f t="array" ref="BU324">BU323/BU$212</f>
        <v/>
      </c>
      <c r="BV324" s="33" t="n"/>
      <c r="BW324" s="33" t="n"/>
      <c r="BX324" s="33" t="n"/>
      <c r="BY324" s="33" t="n"/>
      <c r="BZ324" s="1742">
        <f t="array" ref="BZ324">BZ323/BZ$212</f>
        <v/>
      </c>
      <c r="CA324" s="725" t="n"/>
      <c r="CB324" s="98" t="n"/>
      <c r="CC324" s="701" t="n"/>
      <c r="CD324" s="701" t="n"/>
      <c r="CE324" s="701" t="n"/>
      <c r="CF324" s="701" t="n"/>
      <c r="CG324" s="701" t="n"/>
      <c r="CH324" s="701" t="n"/>
      <c r="CI324" s="701" t="n"/>
      <c r="CJ324" s="701" t="n"/>
      <c r="CK324" s="701" t="n"/>
      <c r="CL324" s="701" t="n"/>
      <c r="CM324" s="701" t="n"/>
      <c r="CN324" s="701" t="n"/>
      <c r="CO324" s="701" t="n"/>
      <c r="CP324" s="701" t="n"/>
      <c r="CQ324" s="701" t="n"/>
      <c r="CR324" s="701" t="n"/>
      <c r="CS324" s="701" t="n"/>
      <c r="CT324" s="701" t="n"/>
      <c r="CU324" s="701" t="n"/>
      <c r="CV324" s="701" t="n"/>
      <c r="CW324" s="30" t="n"/>
    </row>
    <row r="325" ht="12.75" customHeight="1" s="1676">
      <c r="A325" s="31" t="n"/>
      <c r="B325" s="103" t="inlineStr">
        <is>
          <t>Text_24</t>
        </is>
      </c>
      <c r="C325" s="699" t="n"/>
      <c r="D325" s="699" t="n"/>
      <c r="E325" s="699" t="n"/>
      <c r="F325" s="699" t="n"/>
      <c r="G325" s="699" t="n"/>
      <c r="H325" s="1751" t="n"/>
      <c r="I325" s="699" t="n"/>
      <c r="J325" s="699" t="n"/>
      <c r="K325" s="699" t="n"/>
      <c r="L325" s="699" t="n"/>
      <c r="M325" s="1751" t="n"/>
      <c r="N325" s="699" t="n"/>
      <c r="O325" s="699" t="n"/>
      <c r="P325" s="699" t="n"/>
      <c r="Q325" s="699" t="n"/>
      <c r="R325" s="1751">
        <f t="array" ref="R325">R323/M323-1</f>
        <v/>
      </c>
      <c r="S325" s="699" t="n"/>
      <c r="T325" s="699" t="n"/>
      <c r="U325" s="699" t="n"/>
      <c r="V325" s="699" t="n"/>
      <c r="W325" s="1751">
        <f t="array" ref="W325">W323/R323-1</f>
        <v/>
      </c>
      <c r="X325" s="1751" t="n"/>
      <c r="Y325" s="1751" t="n"/>
      <c r="Z325" s="1751" t="n"/>
      <c r="AA325" s="1751" t="n"/>
      <c r="AB325" s="1751">
        <f t="array" ref="AB325">AB323/W323-1</f>
        <v/>
      </c>
      <c r="AC325" s="1751" t="n"/>
      <c r="AD325" s="1751" t="n"/>
      <c r="AE325" s="1751" t="n"/>
      <c r="AF325" s="1751" t="n"/>
      <c r="AG325" s="1751">
        <f t="array" ref="AG325">AG323/AB323-1</f>
        <v/>
      </c>
      <c r="AH325" s="1751" t="n"/>
      <c r="AI325" s="1751" t="n"/>
      <c r="AJ325" s="1751" t="n"/>
      <c r="AK325" s="1751" t="n"/>
      <c r="AL325" s="1751">
        <f t="array" ref="AL325">AL323/AG323-1</f>
        <v/>
      </c>
      <c r="AM325" s="1751" t="n"/>
      <c r="AN325" s="1751" t="n"/>
      <c r="AO325" s="1751" t="n"/>
      <c r="AP325" s="1751" t="n"/>
      <c r="AQ325" s="1751">
        <f t="array" ref="AQ325">AQ323/AL323-1</f>
        <v/>
      </c>
      <c r="AR325" s="1751">
        <f t="array" ref="AR325">AR323/AM323-1</f>
        <v/>
      </c>
      <c r="AS325" s="1751">
        <f t="array" ref="AS325">AS323/AN323-1</f>
        <v/>
      </c>
      <c r="AT325" s="1751">
        <f t="array" ref="AT325">AT323/AO323-1</f>
        <v/>
      </c>
      <c r="AU325" s="1751">
        <f t="array" ref="AU325">AU323/AP323-1</f>
        <v/>
      </c>
      <c r="AV325" s="1751">
        <f t="array" ref="AV325">AV323/AQ323-1</f>
        <v/>
      </c>
      <c r="AW325" s="1749">
        <f t="array" ref="AW325">AW323/AR323-1</f>
        <v/>
      </c>
      <c r="AX325" s="1750">
        <f t="array" ref="AX325">AX323/AS323-1</f>
        <v/>
      </c>
      <c r="AY325" s="1750">
        <f t="array" ref="AY325">AY323/AT323-1</f>
        <v/>
      </c>
      <c r="AZ325" s="1750">
        <f t="array" ref="AZ325">AZ323/AU323-1</f>
        <v/>
      </c>
      <c r="BA325" s="1784">
        <f t="array" ref="BA325">BA323/AV323-1</f>
        <v/>
      </c>
      <c r="BB325" s="1749">
        <f t="array" ref="BB325">BB323/AW323-1</f>
        <v/>
      </c>
      <c r="BC325" s="1750">
        <f t="array" ref="BC325">BC323/AX323-1</f>
        <v/>
      </c>
      <c r="BD325" s="701" t="n"/>
      <c r="BE325" s="701" t="n"/>
      <c r="BF325" s="1784">
        <f t="array" ref="BF325">BF323/BA323-1</f>
        <v/>
      </c>
      <c r="BG325" s="699" t="n"/>
      <c r="BH325" s="699" t="n"/>
      <c r="BI325" s="699" t="n"/>
      <c r="BJ325" s="699" t="n"/>
      <c r="BK325" s="1751">
        <f t="array" ref="BK325">BK323/BF323-1</f>
        <v/>
      </c>
      <c r="BL325" s="699" t="n"/>
      <c r="BM325" s="699" t="n"/>
      <c r="BN325" s="699" t="n"/>
      <c r="BO325" s="699" t="n"/>
      <c r="BP325" s="1751">
        <f t="array" ref="BP325">BP323/BK323-1</f>
        <v/>
      </c>
      <c r="BQ325" s="699" t="n"/>
      <c r="BR325" s="699" t="n"/>
      <c r="BS325" s="699" t="n"/>
      <c r="BT325" s="699" t="n"/>
      <c r="BU325" s="1751">
        <f t="array" ref="BU325">BU323/BP323-1</f>
        <v/>
      </c>
      <c r="BV325" s="699" t="n"/>
      <c r="BW325" s="699" t="n"/>
      <c r="BX325" s="699" t="n"/>
      <c r="BY325" s="699" t="n"/>
      <c r="BZ325" s="1751">
        <f t="array" ref="BZ325">BZ323/BU323-1</f>
        <v/>
      </c>
      <c r="CA325" s="559" t="n"/>
      <c r="CB325" s="456" t="n"/>
      <c r="CC325" s="701" t="n"/>
      <c r="CD325" s="701" t="n"/>
      <c r="CE325" s="701" t="n"/>
      <c r="CF325" s="701" t="n"/>
      <c r="CG325" s="701" t="n"/>
      <c r="CH325" s="701" t="n"/>
      <c r="CI325" s="701" t="n"/>
      <c r="CJ325" s="701" t="n"/>
      <c r="CK325" s="701" t="n"/>
      <c r="CL325" s="701" t="n"/>
      <c r="CM325" s="701" t="n"/>
      <c r="CN325" s="701" t="n"/>
      <c r="CO325" s="701" t="n"/>
      <c r="CP325" s="701" t="n"/>
      <c r="CQ325" s="701" t="n"/>
      <c r="CR325" s="701" t="n"/>
      <c r="CS325" s="701" t="n"/>
      <c r="CT325" s="701" t="n"/>
      <c r="CU325" s="701" t="n"/>
      <c r="CV325" s="701" t="n"/>
      <c r="CW325" s="30" t="n"/>
    </row>
    <row r="326" ht="12.75" customHeight="1" s="1676">
      <c r="A326" s="13" t="n"/>
      <c r="B326" s="726" t="inlineStr">
        <is>
          <t>Text_275</t>
        </is>
      </c>
      <c r="C326" s="727" t="n"/>
      <c r="D326" s="728">
        <f t="array" ref="D326">D323/D256</f>
        <v/>
      </c>
      <c r="E326" s="728">
        <f t="array" ref="E326">E323/E256</f>
        <v/>
      </c>
      <c r="F326" s="728">
        <f t="array" ref="F326">F323/F256</f>
        <v/>
      </c>
      <c r="G326" s="728">
        <f t="array" ref="G326">G323/G256</f>
        <v/>
      </c>
      <c r="H326" s="728" t="n"/>
      <c r="I326" s="728">
        <f t="array" ref="I326">I323/I256</f>
        <v/>
      </c>
      <c r="J326" s="728">
        <f t="array" ref="J326">J323/J256</f>
        <v/>
      </c>
      <c r="K326" s="728">
        <f t="array" ref="K326">K323/K256</f>
        <v/>
      </c>
      <c r="L326" s="728">
        <f t="array" ref="L326">L323/L256</f>
        <v/>
      </c>
      <c r="M326" s="728">
        <f t="array" ref="M326">M323/M256</f>
        <v/>
      </c>
      <c r="N326" s="728" t="n"/>
      <c r="O326" s="728" t="n"/>
      <c r="P326" s="728" t="n"/>
      <c r="Q326" s="728" t="n"/>
      <c r="R326" s="728">
        <f t="array" ref="R326">R323/R256</f>
        <v/>
      </c>
      <c r="S326" s="728" t="n"/>
      <c r="T326" s="728" t="n"/>
      <c r="U326" s="728" t="n"/>
      <c r="V326" s="728" t="n"/>
      <c r="W326" s="728">
        <f t="array" ref="W326">W323/W256</f>
        <v/>
      </c>
      <c r="X326" s="728" t="n"/>
      <c r="Y326" s="728" t="n"/>
      <c r="Z326" s="728" t="n"/>
      <c r="AA326" s="728" t="n"/>
      <c r="AB326" s="728">
        <f t="array" ref="AB326">AB323/AB256</f>
        <v/>
      </c>
      <c r="AC326" s="728" t="n"/>
      <c r="AD326" s="728" t="n"/>
      <c r="AE326" s="728" t="n"/>
      <c r="AF326" s="728" t="n"/>
      <c r="AG326" s="728">
        <f t="array" ref="AG326">AG323/AG256</f>
        <v/>
      </c>
      <c r="AH326" s="728" t="n"/>
      <c r="AI326" s="728" t="n"/>
      <c r="AJ326" s="728" t="n"/>
      <c r="AK326" s="728" t="n"/>
      <c r="AL326" s="728">
        <f t="array" ref="AL326">AL323/AL256</f>
        <v/>
      </c>
      <c r="AM326" s="728">
        <f t="array" ref="AM326">AM323/AM256</f>
        <v/>
      </c>
      <c r="AN326" s="728">
        <f t="array" ref="AN326">AN323/AN256</f>
        <v/>
      </c>
      <c r="AO326" s="728">
        <f t="array" ref="AO326">AO323/AO256</f>
        <v/>
      </c>
      <c r="AP326" s="728">
        <f t="array" ref="AP326">AP323/AP256</f>
        <v/>
      </c>
      <c r="AQ326" s="728">
        <f t="array" ref="AQ326">AQ323/AQ256</f>
        <v/>
      </c>
      <c r="AR326" s="728">
        <f t="array" ref="AR326">AR323/AR256</f>
        <v/>
      </c>
      <c r="AS326" s="728">
        <f t="array" ref="AS326">AS323/AS256</f>
        <v/>
      </c>
      <c r="AT326" s="728">
        <f t="array" ref="AT326">AT323/AT256</f>
        <v/>
      </c>
      <c r="AU326" s="728">
        <f t="array" ref="AU326">AU323/AU256</f>
        <v/>
      </c>
      <c r="AV326" s="728">
        <f t="array" ref="AV326">AV323/AV256</f>
        <v/>
      </c>
      <c r="AW326" s="729">
        <f t="array" ref="AW326">AW323/AW256</f>
        <v/>
      </c>
      <c r="AX326" s="730">
        <f t="array" ref="AX326">AX323/AX256</f>
        <v/>
      </c>
      <c r="AY326" s="730">
        <f t="array" ref="AY326">AY323/AY256</f>
        <v/>
      </c>
      <c r="AZ326" s="730">
        <f t="array" ref="AZ326">AZ323/AZ256</f>
        <v/>
      </c>
      <c r="BA326" s="731">
        <f t="array" ref="BA326">BA323/BA256</f>
        <v/>
      </c>
      <c r="BB326" s="729">
        <f t="array" ref="BB326">BB323/BB256</f>
        <v/>
      </c>
      <c r="BC326" s="730">
        <f t="array" ref="BC326">BC323/BC256</f>
        <v/>
      </c>
      <c r="BD326" s="732" t="n"/>
      <c r="BE326" s="732" t="n"/>
      <c r="BF326" s="731">
        <f t="array" ref="BF326">BF323/BF256</f>
        <v/>
      </c>
      <c r="BG326" s="727" t="n"/>
      <c r="BH326" s="727" t="n"/>
      <c r="BI326" s="727" t="n"/>
      <c r="BJ326" s="727" t="n"/>
      <c r="BK326" s="728">
        <f t="array" ref="BK326">BK323/BK256</f>
        <v/>
      </c>
      <c r="BL326" s="727" t="n"/>
      <c r="BM326" s="727" t="n"/>
      <c r="BN326" s="727" t="n"/>
      <c r="BO326" s="727" t="n"/>
      <c r="BP326" s="728">
        <f t="array" ref="BP326">BP323/BP256</f>
        <v/>
      </c>
      <c r="BQ326" s="727" t="n"/>
      <c r="BR326" s="727" t="n"/>
      <c r="BS326" s="727" t="n"/>
      <c r="BT326" s="727" t="n"/>
      <c r="BU326" s="728">
        <f t="array" ref="BU326">BU323/BU256</f>
        <v/>
      </c>
      <c r="BV326" s="727" t="n"/>
      <c r="BW326" s="727" t="n"/>
      <c r="BX326" s="727" t="n"/>
      <c r="BY326" s="727" t="n"/>
      <c r="BZ326" s="728">
        <f t="array" ref="BZ326">BZ323/BZ256</f>
        <v/>
      </c>
      <c r="CA326" s="1853" t="n"/>
      <c r="CB326" s="456" t="n"/>
      <c r="CC326" s="701" t="n"/>
      <c r="CD326" s="701" t="n"/>
      <c r="CE326" s="701" t="n"/>
      <c r="CF326" s="701" t="n"/>
      <c r="CG326" s="701" t="n"/>
      <c r="CH326" s="701" t="n"/>
      <c r="CI326" s="701" t="n"/>
      <c r="CJ326" s="701" t="n"/>
      <c r="CK326" s="701" t="n"/>
      <c r="CL326" s="701" t="n"/>
      <c r="CM326" s="701" t="n"/>
      <c r="CN326" s="701" t="n"/>
      <c r="CO326" s="701" t="n"/>
      <c r="CP326" s="701" t="n"/>
      <c r="CQ326" s="701" t="n"/>
      <c r="CR326" s="701" t="n"/>
      <c r="CS326" s="701" t="n"/>
      <c r="CT326" s="701" t="n"/>
      <c r="CU326" s="701" t="n"/>
      <c r="CV326" s="701" t="n"/>
      <c r="CW326" s="30" t="n"/>
    </row>
    <row r="327" ht="12.75" customHeight="1" s="1676">
      <c r="A327" s="13" t="n"/>
      <c r="B327" s="156" t="inlineStr">
        <is>
          <t>Text_276</t>
        </is>
      </c>
      <c r="C327" s="526" t="n"/>
      <c r="D327" s="733" t="n"/>
      <c r="E327" s="733" t="n"/>
      <c r="F327" s="733" t="n"/>
      <c r="G327" s="733" t="n"/>
      <c r="H327" s="733" t="n"/>
      <c r="I327" s="733" t="n"/>
      <c r="J327" s="733" t="n"/>
      <c r="K327" s="733" t="n"/>
      <c r="L327" s="733" t="n"/>
      <c r="M327" s="2040">
        <f t="array" ref="M327">M323/M269</f>
        <v/>
      </c>
      <c r="N327" s="733" t="n"/>
      <c r="O327" s="733" t="n"/>
      <c r="P327" s="733" t="n"/>
      <c r="Q327" s="733" t="n"/>
      <c r="R327" s="2040">
        <f t="array" ref="R327">R323/R269</f>
        <v/>
      </c>
      <c r="S327" s="733" t="n"/>
      <c r="T327" s="733" t="n"/>
      <c r="U327" s="733" t="n"/>
      <c r="V327" s="733" t="n"/>
      <c r="W327" s="2040">
        <f t="array" ref="W327">W323/W269</f>
        <v/>
      </c>
      <c r="X327" s="733" t="n"/>
      <c r="Y327" s="733" t="n"/>
      <c r="Z327" s="733" t="n"/>
      <c r="AA327" s="733" t="n"/>
      <c r="AB327" s="2040">
        <f t="array" ref="AB327">AB323/AB269</f>
        <v/>
      </c>
      <c r="AC327" s="733" t="n"/>
      <c r="AD327" s="733" t="n"/>
      <c r="AE327" s="733" t="n"/>
      <c r="AF327" s="733" t="n"/>
      <c r="AG327" s="2040">
        <f t="array" ref="AG327">AG323/AG269</f>
        <v/>
      </c>
      <c r="AH327" s="733" t="n"/>
      <c r="AI327" s="733" t="n"/>
      <c r="AJ327" s="733" t="n"/>
      <c r="AK327" s="733" t="n"/>
      <c r="AL327" s="2040">
        <f t="array" ref="AL327">AL323/AL269</f>
        <v/>
      </c>
      <c r="AM327" s="2040">
        <f t="array" ref="AM327">AM323/AM269</f>
        <v/>
      </c>
      <c r="AN327" s="2040">
        <f t="array" ref="AN327">AN323/AN269</f>
        <v/>
      </c>
      <c r="AO327" s="2040">
        <f t="array" ref="AO327">AO323/AO269</f>
        <v/>
      </c>
      <c r="AP327" s="2040">
        <f t="array" ref="AP327">AP323/AP269</f>
        <v/>
      </c>
      <c r="AQ327" s="2040">
        <f t="array" ref="AQ327">AQ323/AQ269</f>
        <v/>
      </c>
      <c r="AR327" s="2040">
        <f t="array" ref="AR327">AR323/AR269</f>
        <v/>
      </c>
      <c r="AS327" s="2040">
        <f t="array" ref="AS327">AS323/AS269</f>
        <v/>
      </c>
      <c r="AT327" s="2040">
        <f t="array" ref="AT327">AT323/AT269</f>
        <v/>
      </c>
      <c r="AU327" s="2040">
        <f t="array" ref="AU327">AU323/AU269</f>
        <v/>
      </c>
      <c r="AV327" s="2040">
        <f t="array" ref="AV327">AV323/AV269</f>
        <v/>
      </c>
      <c r="AW327" s="2099">
        <f t="array" ref="AW327">AW323/AW269</f>
        <v/>
      </c>
      <c r="AX327" s="2100">
        <f t="array" ref="AX327">AX323/AX269</f>
        <v/>
      </c>
      <c r="AY327" s="2100">
        <f t="array" ref="AY327">AY323/AY269</f>
        <v/>
      </c>
      <c r="AZ327" s="2100">
        <f t="array" ref="AZ327">AZ323/AZ269</f>
        <v/>
      </c>
      <c r="BA327" s="2101">
        <f t="array" ref="BA327">BA323/BA269</f>
        <v/>
      </c>
      <c r="BB327" s="2099">
        <f t="array" ref="BB327">BB323/BB269</f>
        <v/>
      </c>
      <c r="BC327" s="2100">
        <f t="array" ref="BC327">BC323/BC269</f>
        <v/>
      </c>
      <c r="BD327" s="705" t="n"/>
      <c r="BE327" s="705" t="n"/>
      <c r="BF327" s="2101">
        <f t="array" ref="BF327">BF323/BF269</f>
        <v/>
      </c>
      <c r="BG327" s="526" t="n"/>
      <c r="BH327" s="526" t="n"/>
      <c r="BI327" s="526" t="n"/>
      <c r="BJ327" s="526" t="n"/>
      <c r="BK327" s="2040">
        <f t="array" ref="BK327">BK323/BK269</f>
        <v/>
      </c>
      <c r="BL327" s="737" t="n"/>
      <c r="BM327" s="737" t="n"/>
      <c r="BN327" s="737" t="n"/>
      <c r="BO327" s="737" t="n"/>
      <c r="BP327" s="2040">
        <f t="array" ref="BP327">BP323/BP269</f>
        <v/>
      </c>
      <c r="BQ327" s="737" t="n"/>
      <c r="BR327" s="737" t="n"/>
      <c r="BS327" s="737" t="n"/>
      <c r="BT327" s="737" t="n"/>
      <c r="BU327" s="2040">
        <f t="array" ref="BU327">BU323/BU269</f>
        <v/>
      </c>
      <c r="BV327" s="737" t="n"/>
      <c r="BW327" s="737" t="n"/>
      <c r="BX327" s="737" t="n"/>
      <c r="BY327" s="737" t="n"/>
      <c r="BZ327" s="2040">
        <f t="array" ref="BZ327">BZ323/BZ269</f>
        <v/>
      </c>
      <c r="CA327" s="1955">
        <f t="array" ref="CA327">(BU327/BA327)^(1/4)-1</f>
        <v/>
      </c>
      <c r="CB327" s="456" t="n"/>
      <c r="CC327" s="701" t="n"/>
      <c r="CD327" s="701" t="n"/>
      <c r="CE327" s="701" t="n"/>
      <c r="CF327" s="701" t="n"/>
      <c r="CG327" s="701" t="n"/>
      <c r="CH327" s="701" t="n"/>
      <c r="CI327" s="701" t="n"/>
      <c r="CJ327" s="701" t="n"/>
      <c r="CK327" s="701" t="n"/>
      <c r="CL327" s="701" t="n"/>
      <c r="CM327" s="701" t="n"/>
      <c r="CN327" s="701" t="n"/>
      <c r="CO327" s="701" t="n"/>
      <c r="CP327" s="701" t="n"/>
      <c r="CQ327" s="701" t="n"/>
      <c r="CR327" s="701" t="n"/>
      <c r="CS327" s="701" t="n"/>
      <c r="CT327" s="701" t="n"/>
      <c r="CU327" s="701" t="n"/>
      <c r="CV327" s="701" t="n"/>
      <c r="CW327" s="30" t="n"/>
    </row>
    <row r="328" ht="12.75" customHeight="1" s="1676">
      <c r="A328" s="31" t="n"/>
      <c r="B328" s="738" t="inlineStr">
        <is>
          <t>Text_277</t>
        </is>
      </c>
      <c r="C328" s="805" t="n"/>
      <c r="D328" s="2008" t="n"/>
      <c r="E328" s="2008" t="n"/>
      <c r="F328" s="2008" t="n"/>
      <c r="G328" s="2008" t="n"/>
      <c r="H328" s="2008" t="n"/>
      <c r="I328" s="2008" t="n"/>
      <c r="J328" s="2008" t="n"/>
      <c r="K328" s="2008" t="n"/>
      <c r="L328" s="2008" t="n"/>
      <c r="M328" s="2008" t="n"/>
      <c r="N328" s="2008" t="n"/>
      <c r="O328" s="2008" t="n"/>
      <c r="P328" s="2008" t="n"/>
      <c r="Q328" s="2008" t="n"/>
      <c r="R328" s="2008" t="n">
        <v>-32.3099194598428</v>
      </c>
      <c r="S328" s="2008" t="n"/>
      <c r="T328" s="2008" t="n"/>
      <c r="U328" s="2008" t="n"/>
      <c r="V328" s="2008" t="n"/>
      <c r="W328" s="2008" t="n">
        <v>-16.2558502593581</v>
      </c>
      <c r="X328" s="2008" t="n"/>
      <c r="Y328" s="2008" t="n"/>
      <c r="Z328" s="2008" t="n"/>
      <c r="AA328" s="739" t="n"/>
      <c r="AB328" s="2008" t="n">
        <v>-1581.00550034066</v>
      </c>
      <c r="AC328" s="2008" t="n"/>
      <c r="AD328" s="2008" t="n"/>
      <c r="AE328" s="2008" t="n"/>
      <c r="AF328" s="2008" t="n"/>
      <c r="AG328" s="2008" t="n">
        <v>-97.787631933871</v>
      </c>
      <c r="AH328" s="2008" t="n"/>
      <c r="AI328" s="2008" t="n"/>
      <c r="AJ328" s="2008" t="n"/>
      <c r="AK328" s="2084" t="n"/>
      <c r="AL328" s="2008">
        <f t="array" ref="AL328">1.855+16.833</f>
        <v/>
      </c>
      <c r="AM328" s="2008" t="n">
        <v>-42.9390433551717</v>
      </c>
      <c r="AN328" s="2008" t="n">
        <v>0</v>
      </c>
      <c r="AO328" s="2008" t="n">
        <v>-387.857497314465</v>
      </c>
      <c r="AP328" s="2008" t="n">
        <v>-7.04794463510958</v>
      </c>
      <c r="AQ328" s="2084">
        <f t="array" ref="AQ328">AP328+AO328+AN328+AM328</f>
        <v/>
      </c>
      <c r="AR328" s="2008">
        <f t="array" ref="AR328">75.358-27.144</f>
        <v/>
      </c>
      <c r="AS328" s="2008" t="n">
        <v>0</v>
      </c>
      <c r="AT328" s="2008" t="n">
        <v>0</v>
      </c>
      <c r="AU328" s="2084" t="n">
        <v>0</v>
      </c>
      <c r="AV328" s="2084">
        <f t="array" ref="AV328">AU328+AT328+AS328+AR328</f>
        <v/>
      </c>
      <c r="AW328" s="1932" t="n">
        <v>0</v>
      </c>
      <c r="AX328" s="2077" t="n">
        <v>5.32467847768918</v>
      </c>
      <c r="AY328" s="2077" t="n">
        <v>-3.4645778213667</v>
      </c>
      <c r="AZ328" s="2086" t="n">
        <v>0</v>
      </c>
      <c r="BA328" s="2087">
        <f t="array" ref="BA328">AZ328+AY328+AX328+AW328</f>
        <v/>
      </c>
      <c r="BB328" s="1932" t="n">
        <v>0</v>
      </c>
      <c r="BC328" s="2077" t="n">
        <v>0.171284786002725</v>
      </c>
      <c r="BD328" s="179" t="n"/>
      <c r="BE328" s="179" t="n"/>
      <c r="BF328" s="2092">
        <f t="array" ref="BF328">BC328+BB328</f>
        <v/>
      </c>
      <c r="BG328" s="805" t="n"/>
      <c r="BH328" s="805" t="n"/>
      <c r="BI328" s="805" t="n"/>
      <c r="BJ328" s="805" t="n"/>
      <c r="BK328" s="1934">
        <f t="array" ref="BK328">BF328</f>
        <v/>
      </c>
      <c r="BL328" s="805" t="n"/>
      <c r="BM328" s="805" t="n"/>
      <c r="BN328" s="805" t="n"/>
      <c r="BO328" s="805" t="n"/>
      <c r="BP328" s="1934">
        <f t="array" ref="BP328">BK328</f>
        <v/>
      </c>
      <c r="BQ328" s="805" t="n"/>
      <c r="BR328" s="805" t="n"/>
      <c r="BS328" s="805" t="n"/>
      <c r="BT328" s="805" t="n"/>
      <c r="BU328" s="1934">
        <f t="array" ref="BU328">BP328</f>
        <v/>
      </c>
      <c r="BV328" s="805" t="n"/>
      <c r="BW328" s="805" t="n"/>
      <c r="BX328" s="805" t="n"/>
      <c r="BY328" s="805" t="n"/>
      <c r="BZ328" s="1934">
        <f t="array" ref="BZ328">BU328</f>
        <v/>
      </c>
      <c r="CA328" s="1726" t="n"/>
      <c r="CB328" s="456" t="n"/>
      <c r="CC328" s="701" t="n"/>
      <c r="CD328" s="701" t="n"/>
      <c r="CE328" s="701" t="n"/>
      <c r="CF328" s="701" t="n"/>
      <c r="CG328" s="701" t="n"/>
      <c r="CH328" s="701" t="n"/>
      <c r="CI328" s="701" t="n"/>
      <c r="CJ328" s="701" t="n"/>
      <c r="CK328" s="701" t="n"/>
      <c r="CL328" s="701" t="n"/>
      <c r="CM328" s="701" t="n"/>
      <c r="CN328" s="701" t="n"/>
      <c r="CO328" s="701" t="n"/>
      <c r="CP328" s="701" t="n"/>
      <c r="CQ328" s="701" t="n"/>
      <c r="CR328" s="701" t="n"/>
      <c r="CS328" s="701" t="n"/>
      <c r="CT328" s="701" t="n"/>
      <c r="CU328" s="701" t="n"/>
      <c r="CV328" s="701" t="n"/>
      <c r="CW328" s="30" t="n"/>
    </row>
    <row r="329" hidden="1" ht="12.75" customHeight="1" s="1676">
      <c r="A329" s="31" t="n"/>
      <c r="B329" s="65" t="inlineStr">
        <is>
          <t>Text_278</t>
        </is>
      </c>
      <c r="C329" s="66" t="n"/>
      <c r="D329" s="66" t="n"/>
      <c r="E329" s="66" t="n"/>
      <c r="F329" s="66" t="n"/>
      <c r="G329" s="66" t="n"/>
      <c r="H329" s="1734" t="n"/>
      <c r="I329" s="66" t="n"/>
      <c r="J329" s="66" t="n"/>
      <c r="K329" s="66" t="n"/>
      <c r="L329" s="66" t="n"/>
      <c r="M329" s="1734">
        <f t="array" ref="M329">M330-M328-M320</f>
        <v/>
      </c>
      <c r="N329" s="66" t="n"/>
      <c r="O329" s="66" t="n"/>
      <c r="P329" s="66" t="n"/>
      <c r="Q329" s="66" t="n"/>
      <c r="R329" s="1734">
        <f t="array" ref="R329">R330-R328-R320</f>
        <v/>
      </c>
      <c r="S329" s="66" t="n"/>
      <c r="T329" s="66" t="n"/>
      <c r="U329" s="66" t="n"/>
      <c r="V329" s="66" t="n"/>
      <c r="W329" s="1734">
        <f t="array" ref="W329">W330-W328-W320</f>
        <v/>
      </c>
      <c r="X329" s="1734" t="n"/>
      <c r="Y329" s="1734" t="n"/>
      <c r="Z329" s="1734" t="n"/>
      <c r="AA329" s="1734" t="n"/>
      <c r="AB329" s="1734">
        <f t="array" ref="AB329">AB330-AB328-AB320</f>
        <v/>
      </c>
      <c r="AC329" s="1734" t="n"/>
      <c r="AD329" s="1734" t="n"/>
      <c r="AE329" s="1734" t="n"/>
      <c r="AF329" s="1734" t="n"/>
      <c r="AG329" s="1734">
        <f t="array" ref="AG329">AG330-AG328-AG320</f>
        <v/>
      </c>
      <c r="AH329" s="1734" t="n"/>
      <c r="AI329" s="1734" t="n"/>
      <c r="AJ329" s="1734" t="n"/>
      <c r="AK329" s="1734" t="n"/>
      <c r="AL329" s="1734">
        <f t="array" ref="AL329">AL330-AL328-AL320</f>
        <v/>
      </c>
      <c r="AM329" s="1734">
        <f t="array" ref="AM329">AM330-AM328-AM320</f>
        <v/>
      </c>
      <c r="AN329" s="1734">
        <f t="array" ref="AN329">AN330-AN328-AN320</f>
        <v/>
      </c>
      <c r="AO329" s="1734">
        <f t="array" ref="AO329">AO330-AO328-AO320</f>
        <v/>
      </c>
      <c r="AP329" s="1734">
        <f t="array" ref="AP329">AQ329-AO329-AN329-AM329</f>
        <v/>
      </c>
      <c r="AQ329" s="1734">
        <f t="array" ref="AQ329">AQ330-AQ328-AQ320</f>
        <v/>
      </c>
      <c r="AR329" s="1734">
        <f t="array" ref="AR329">AR330-AR328-AR320</f>
        <v/>
      </c>
      <c r="AS329" s="1734">
        <f t="array" ref="AS329">AS330-AS328-AS320</f>
        <v/>
      </c>
      <c r="AT329" s="1734">
        <f t="array" ref="AT329">AT330-AT328-AT320</f>
        <v/>
      </c>
      <c r="AU329" s="1734">
        <f t="array" ref="AU329">AV329-AT329-AS329-AR329</f>
        <v/>
      </c>
      <c r="AV329" s="1734">
        <f t="array" ref="AV329">AV330-AV328-AV320</f>
        <v/>
      </c>
      <c r="AW329" s="2079">
        <f t="array" ref="AW329">AW330-AW328-AW320</f>
        <v/>
      </c>
      <c r="AX329" s="1964">
        <f t="array" ref="AX329">AX330-AX328-AX320</f>
        <v/>
      </c>
      <c r="AY329" s="1964">
        <f t="array" ref="AY329">AY330-AY328-AY320</f>
        <v/>
      </c>
      <c r="AZ329" s="1964">
        <f t="array" ref="AZ329">BA329-AY329-AX329-AW329</f>
        <v/>
      </c>
      <c r="BA329" s="1733">
        <f t="array" ref="BA329">BA330-BA328-BA320</f>
        <v/>
      </c>
      <c r="BB329" s="2079">
        <f t="array" ref="BB329">BB330-BB328-BB320</f>
        <v/>
      </c>
      <c r="BC329" s="1964">
        <f t="array" ref="BC329">BC330-BC328-BC320</f>
        <v/>
      </c>
      <c r="BD329" s="69" t="n"/>
      <c r="BE329" s="69" t="n"/>
      <c r="BF329" s="2102">
        <f t="array" ref="BF329">BC329+BB329</f>
        <v/>
      </c>
      <c r="BG329" s="66" t="n"/>
      <c r="BH329" s="66" t="n"/>
      <c r="BI329" s="66" t="n"/>
      <c r="BJ329" s="66" t="n"/>
      <c r="BK329" s="2103" t="n">
        <v>0</v>
      </c>
      <c r="BL329" s="66" t="n"/>
      <c r="BM329" s="66" t="n"/>
      <c r="BN329" s="66" t="n"/>
      <c r="BO329" s="66" t="n"/>
      <c r="BP329" s="2103" t="n">
        <v>0</v>
      </c>
      <c r="BQ329" s="66" t="n"/>
      <c r="BR329" s="66" t="n"/>
      <c r="BS329" s="66" t="n"/>
      <c r="BT329" s="66" t="n"/>
      <c r="BU329" s="2103" t="n">
        <v>0</v>
      </c>
      <c r="BV329" s="66" t="n"/>
      <c r="BW329" s="66" t="n"/>
      <c r="BX329" s="66" t="n"/>
      <c r="BY329" s="66" t="n"/>
      <c r="BZ329" s="2103" t="n">
        <v>0</v>
      </c>
      <c r="CA329" s="66" t="n"/>
      <c r="CB329" s="456" t="n"/>
      <c r="CC329" s="701" t="n"/>
      <c r="CD329" s="701" t="n"/>
      <c r="CE329" s="701" t="n"/>
      <c r="CF329" s="701" t="n"/>
      <c r="CG329" s="701" t="n"/>
      <c r="CH329" s="701" t="n"/>
      <c r="CI329" s="701" t="n"/>
      <c r="CJ329" s="701" t="n"/>
      <c r="CK329" s="701" t="n"/>
      <c r="CL329" s="701" t="n"/>
      <c r="CM329" s="701" t="n"/>
      <c r="CN329" s="701" t="n"/>
      <c r="CO329" s="701" t="n"/>
      <c r="CP329" s="701" t="n"/>
      <c r="CQ329" s="701" t="n"/>
      <c r="CR329" s="701" t="n"/>
      <c r="CS329" s="701" t="n"/>
      <c r="CT329" s="701" t="n"/>
      <c r="CU329" s="701" t="n"/>
      <c r="CV329" s="701" t="n"/>
      <c r="CW329" s="30" t="n"/>
    </row>
    <row r="330" ht="12.75" customHeight="1" s="1676">
      <c r="A330" s="13" t="n"/>
      <c r="B330" s="14" t="inlineStr">
        <is>
          <t>Text_279</t>
        </is>
      </c>
      <c r="C330" s="711" t="n"/>
      <c r="D330" s="1961" t="n"/>
      <c r="E330" s="1961" t="n"/>
      <c r="F330" s="1961" t="n"/>
      <c r="G330" s="1961" t="n"/>
      <c r="H330" s="1961" t="n"/>
      <c r="I330" s="1961" t="n">
        <v>34.2775350297146</v>
      </c>
      <c r="J330" s="1961" t="n">
        <v>116.866840641516</v>
      </c>
      <c r="K330" s="1961" t="n">
        <v>35.5567016401023</v>
      </c>
      <c r="L330" s="1961" t="n">
        <v>-79.1073489564009</v>
      </c>
      <c r="M330" s="1961" t="n">
        <v>128.897571426824</v>
      </c>
      <c r="N330" s="1961" t="n">
        <v>-190.448301104658</v>
      </c>
      <c r="O330" s="1961" t="n">
        <v>-129.766481399193</v>
      </c>
      <c r="P330" s="1961" t="n">
        <v>-103.993174549754</v>
      </c>
      <c r="Q330" s="1961" t="n">
        <v>-166.346555350562</v>
      </c>
      <c r="R330" s="1961" t="n">
        <v>-563.725149549006</v>
      </c>
      <c r="S330" s="1961" t="n">
        <v>117.10424963057</v>
      </c>
      <c r="T330" s="1961" t="n">
        <v>22.9716739154847</v>
      </c>
      <c r="U330" s="1961" t="n">
        <v>21.0589620588158</v>
      </c>
      <c r="V330" s="1961" t="n">
        <v>116.833122006917</v>
      </c>
      <c r="W330" s="1961" t="n">
        <v>309.484010659661</v>
      </c>
      <c r="X330" s="1961" t="n">
        <v>370.074790595877</v>
      </c>
      <c r="Y330" s="1961" t="n">
        <v>239.585935299751</v>
      </c>
      <c r="Z330" s="1961" t="n">
        <v>-1919.54163160217</v>
      </c>
      <c r="AA330" s="1961" t="n">
        <v>33.9510194725149</v>
      </c>
      <c r="AB330" s="1961" t="n">
        <v>-1258.91968051075</v>
      </c>
      <c r="AC330" s="1961" t="n">
        <v>-132.627303998772</v>
      </c>
      <c r="AD330" s="1961" t="n">
        <v>-9.47513004407643</v>
      </c>
      <c r="AE330" s="1961" t="n">
        <v>1.82870258315834</v>
      </c>
      <c r="AF330" s="1961" t="n">
        <v>-108.379355204392</v>
      </c>
      <c r="AG330" s="1961" t="n">
        <v>-218.592115141268</v>
      </c>
      <c r="AH330" s="1961" t="n">
        <v>-131.475400257632</v>
      </c>
      <c r="AI330" s="1961" t="n">
        <v>-94.371470136838</v>
      </c>
      <c r="AJ330" s="1961" t="n">
        <v>-202.339023471356</v>
      </c>
      <c r="AK330" s="1961" t="n">
        <v>-95.34854668240691</v>
      </c>
      <c r="AL330" s="1961" t="n">
        <v>-476.462878202356</v>
      </c>
      <c r="AM330" s="1961" t="n">
        <v>-208.740383355956</v>
      </c>
      <c r="AN330" s="1961" t="n">
        <v>-89.717445251691</v>
      </c>
      <c r="AO330" s="1961" t="n">
        <v>-551.850717853233</v>
      </c>
      <c r="AP330" s="1961" t="n">
        <v>-20.7420698405211</v>
      </c>
      <c r="AQ330" s="1961" t="n">
        <v>-960.564354351657</v>
      </c>
      <c r="AR330" s="1961" t="n">
        <v>-62.4176574515398</v>
      </c>
      <c r="AS330" s="1961" t="n">
        <v>-220.164964616054</v>
      </c>
      <c r="AT330" s="1961" t="n">
        <v>-129.433714482159</v>
      </c>
      <c r="AU330" s="1961" t="n">
        <v>-68.29343307108959</v>
      </c>
      <c r="AV330" s="1961" t="n">
        <v>-561.861307069866</v>
      </c>
      <c r="AW330" s="1962" t="n">
        <v>-431.458805097462</v>
      </c>
      <c r="AX330" s="1963" t="n">
        <v>-99.2667727951293</v>
      </c>
      <c r="AY330" s="1963">
        <f t="array" ref="AY330">-858.046</f>
        <v/>
      </c>
      <c r="AZ330" s="1963" t="n">
        <v>-112.033266345959</v>
      </c>
      <c r="BA330" s="1810">
        <f t="array" ref="BA330">AZ330+AY330+AX330+AW330</f>
        <v/>
      </c>
      <c r="BB330" s="808" t="n">
        <v>-202.702448265434</v>
      </c>
      <c r="BC330" s="1963" t="n">
        <v>669.349739143804</v>
      </c>
      <c r="BD330" s="710" t="n"/>
      <c r="BE330" s="710" t="n"/>
      <c r="BF330" s="1810">
        <f t="array" ref="BF330">BF328+BF320+BF329</f>
        <v/>
      </c>
      <c r="BG330" s="711" t="n"/>
      <c r="BH330" s="711" t="n"/>
      <c r="BI330" s="711" t="n"/>
      <c r="BJ330" s="711" t="n"/>
      <c r="BK330" s="1807">
        <f t="array" ref="BK330">BK328+BK320+BK329</f>
        <v/>
      </c>
      <c r="BL330" s="711" t="n"/>
      <c r="BM330" s="711" t="n"/>
      <c r="BN330" s="711" t="n"/>
      <c r="BO330" s="711" t="n"/>
      <c r="BP330" s="1807">
        <f t="array" ref="BP330">BP328+BP320+BP329</f>
        <v/>
      </c>
      <c r="BQ330" s="711" t="n"/>
      <c r="BR330" s="711" t="n"/>
      <c r="BS330" s="711" t="n"/>
      <c r="BT330" s="711" t="n"/>
      <c r="BU330" s="1807">
        <f t="array" ref="BU330">BU328+BU320+BU329</f>
        <v/>
      </c>
      <c r="BV330" s="711" t="n"/>
      <c r="BW330" s="711" t="n"/>
      <c r="BX330" s="711" t="n"/>
      <c r="BY330" s="711" t="n"/>
      <c r="BZ330" s="1807">
        <f t="array" ref="BZ330">BZ328+BZ320+BZ329</f>
        <v/>
      </c>
      <c r="CA330" s="711" t="n"/>
      <c r="CB330" s="456" t="n"/>
      <c r="CC330" s="701" t="n"/>
      <c r="CD330" s="701" t="n"/>
      <c r="CE330" s="701" t="n"/>
      <c r="CF330" s="701" t="n"/>
      <c r="CG330" s="701" t="n"/>
      <c r="CH330" s="701" t="n"/>
      <c r="CI330" s="701" t="n"/>
      <c r="CJ330" s="701" t="n"/>
      <c r="CK330" s="701" t="n"/>
      <c r="CL330" s="701" t="n"/>
      <c r="CM330" s="701" t="n"/>
      <c r="CN330" s="701" t="n"/>
      <c r="CO330" s="701" t="n"/>
      <c r="CP330" s="701" t="n"/>
      <c r="CQ330" s="701" t="n"/>
      <c r="CR330" s="701" t="n"/>
      <c r="CS330" s="701" t="n"/>
      <c r="CT330" s="701" t="n"/>
      <c r="CU330" s="701" t="n"/>
      <c r="CV330" s="701" t="n"/>
      <c r="CW330" s="30" t="n"/>
    </row>
    <row r="331" ht="12.75" customHeight="1" s="1676">
      <c r="A331" s="31" t="n"/>
      <c r="B331" s="619" t="inlineStr">
        <is>
          <t>Text_280</t>
        </is>
      </c>
      <c r="C331" s="33" t="n"/>
      <c r="D331" s="1971" t="n"/>
      <c r="E331" s="1971" t="n"/>
      <c r="F331" s="1971" t="n"/>
      <c r="G331" s="1971" t="n"/>
      <c r="H331" s="1971" t="n"/>
      <c r="I331" s="1971" t="n"/>
      <c r="J331" s="1971" t="n"/>
      <c r="K331" s="1971" t="n"/>
      <c r="L331" s="1971" t="n"/>
      <c r="M331" s="1971" t="n"/>
      <c r="N331" s="1971" t="n"/>
      <c r="O331" s="1971" t="n"/>
      <c r="P331" s="1971" t="n"/>
      <c r="Q331" s="1971" t="n"/>
      <c r="R331" s="1971" t="n">
        <v>-119.847056960079</v>
      </c>
      <c r="S331" s="1971" t="n"/>
      <c r="T331" s="1971" t="n"/>
      <c r="U331" s="1971" t="n"/>
      <c r="V331" s="1971" t="n"/>
      <c r="W331" s="1971">
        <f t="array" ref="W331">248.693-946.25</f>
        <v/>
      </c>
      <c r="X331" s="1971" t="n"/>
      <c r="Y331" s="1971" t="n"/>
      <c r="Z331" s="1971" t="n"/>
      <c r="AA331" s="1971" t="n"/>
      <c r="AB331" s="1971">
        <f t="array" ref="AB331">1183.785+900-902.474</f>
        <v/>
      </c>
      <c r="AC331" s="1971" t="n"/>
      <c r="AD331" s="1971" t="n"/>
      <c r="AE331" s="1971" t="n"/>
      <c r="AF331" s="1971" t="n"/>
      <c r="AG331" s="1971">
        <f t="array" ref="AG331">741.832+450-1171.033</f>
        <v/>
      </c>
      <c r="AH331" s="1971" t="n"/>
      <c r="AI331" s="1971" t="n"/>
      <c r="AJ331" s="1971" t="n"/>
      <c r="AK331" s="1971" t="n"/>
      <c r="AL331" s="1971">
        <f t="array" ref="AL331">40.343-70</f>
        <v/>
      </c>
      <c r="AM331" s="1971">
        <f t="array" ref="AM331">300-300</f>
        <v/>
      </c>
      <c r="AN331" s="1971" t="n">
        <v>0</v>
      </c>
      <c r="AO331" s="1971">
        <f t="array" ref="AO331">300-45</f>
        <v/>
      </c>
      <c r="AP331" s="1971">
        <f t="array" ref="AP331">2967.409+275-275</f>
        <v/>
      </c>
      <c r="AQ331" s="1954">
        <f t="array" ref="AQ331">AP331+AO331+AN331+AM331</f>
        <v/>
      </c>
      <c r="AR331" s="1971">
        <f t="array" ref="AR331">300-662.25</f>
        <v/>
      </c>
      <c r="AS331" s="1971" t="n">
        <v>-182.521695873194</v>
      </c>
      <c r="AT331" s="1971" t="n">
        <v>-258.547845560951</v>
      </c>
      <c r="AU331" s="1971" t="n">
        <v>0</v>
      </c>
      <c r="AV331" s="1954">
        <f t="array" ref="AV331">AU331+AT331+AS331+AR331</f>
        <v/>
      </c>
      <c r="AW331" s="2034" t="n">
        <v>0</v>
      </c>
      <c r="AX331" s="2035" t="n">
        <v>0</v>
      </c>
      <c r="AY331" s="2035" t="n">
        <v>616.417194630347</v>
      </c>
      <c r="AZ331" s="2104" t="n">
        <v>0</v>
      </c>
      <c r="BA331" s="2105">
        <f t="array" ref="BA331">AZ331+AY331+AX331+AW331</f>
        <v/>
      </c>
      <c r="BB331" s="2034" t="n">
        <v>0</v>
      </c>
      <c r="BC331" s="2035" t="n">
        <v>-740.630389639352</v>
      </c>
      <c r="BD331" s="266" t="n"/>
      <c r="BE331" s="266" t="n"/>
      <c r="BF331" s="2106">
        <f t="array" ref="BF331">BC331+BB331</f>
        <v/>
      </c>
      <c r="BG331" s="33" t="n"/>
      <c r="BH331" s="33" t="n"/>
      <c r="BI331" s="33" t="n"/>
      <c r="BJ331" s="33" t="n"/>
      <c r="BK331" s="2075" t="n"/>
      <c r="BL331" s="33" t="n"/>
      <c r="BM331" s="33" t="n"/>
      <c r="BN331" s="33" t="n"/>
      <c r="BO331" s="33" t="n"/>
      <c r="BP331" s="2075" t="n"/>
      <c r="BQ331" s="33" t="n"/>
      <c r="BR331" s="33" t="n"/>
      <c r="BS331" s="33" t="n"/>
      <c r="BT331" s="33" t="n"/>
      <c r="BU331" s="2075" t="n"/>
      <c r="BV331" s="33" t="n"/>
      <c r="BW331" s="33" t="n"/>
      <c r="BX331" s="33" t="n"/>
      <c r="BY331" s="33" t="n"/>
      <c r="BZ331" s="2075" t="n"/>
      <c r="CA331" s="746" t="n"/>
      <c r="CB331" s="456" t="n"/>
      <c r="CC331" s="701" t="n"/>
      <c r="CD331" s="701" t="n"/>
      <c r="CE331" s="701" t="n"/>
      <c r="CF331" s="701" t="n"/>
      <c r="CG331" s="701" t="n"/>
      <c r="CH331" s="701" t="n"/>
      <c r="CI331" s="701" t="n"/>
      <c r="CJ331" s="701" t="n"/>
      <c r="CK331" s="701" t="n"/>
      <c r="CL331" s="701" t="n"/>
      <c r="CM331" s="701" t="n"/>
      <c r="CN331" s="701" t="n"/>
      <c r="CO331" s="701" t="n"/>
      <c r="CP331" s="701" t="n"/>
      <c r="CQ331" s="701" t="n"/>
      <c r="CR331" s="701" t="n"/>
      <c r="CS331" s="701" t="n"/>
      <c r="CT331" s="701" t="n"/>
      <c r="CU331" s="701" t="n"/>
      <c r="CV331" s="701" t="n"/>
      <c r="CW331" s="30" t="n"/>
    </row>
    <row r="332" ht="12.75" customHeight="1" s="1676">
      <c r="A332" s="31" t="n"/>
      <c r="B332" s="522" t="inlineStr">
        <is>
          <t>Text_281</t>
        </is>
      </c>
      <c r="C332" s="699" t="n"/>
      <c r="D332" s="1797" t="n"/>
      <c r="E332" s="1797" t="n"/>
      <c r="F332" s="1797" t="n"/>
      <c r="G332" s="1797" t="n"/>
      <c r="H332" s="1797" t="n"/>
      <c r="I332" s="1797" t="n">
        <v>93.59153764900491</v>
      </c>
      <c r="J332" s="1797" t="n">
        <v>84.58173282886059</v>
      </c>
      <c r="K332" s="1797" t="n">
        <v>75.4495596612587</v>
      </c>
      <c r="L332" s="1797" t="n">
        <v>74.62777533017869</v>
      </c>
      <c r="M332" s="1797" t="n">
        <v>-379.96846817455</v>
      </c>
      <c r="N332" s="1797" t="n">
        <v>73.17031244389391</v>
      </c>
      <c r="O332" s="1797" t="n">
        <v>98.1515244194334</v>
      </c>
      <c r="P332" s="1797" t="n">
        <v>97.563397181875</v>
      </c>
      <c r="Q332" s="1797" t="n">
        <v>90.31799398969331</v>
      </c>
      <c r="R332" s="1797" t="n">
        <v>-356.82002702638</v>
      </c>
      <c r="S332" s="1797" t="n">
        <v>116.070413092343</v>
      </c>
      <c r="T332" s="1797" t="n">
        <v>80.9227765479483</v>
      </c>
      <c r="U332" s="1797" t="n">
        <v>76.6125083897267</v>
      </c>
      <c r="V332" s="1797" t="n">
        <v>104.840429094145</v>
      </c>
      <c r="W332" s="1797" t="n">
        <v>-449.440846250237</v>
      </c>
      <c r="X332" s="1797" t="n">
        <v>99.9080071730172</v>
      </c>
      <c r="Y332" s="1797" t="n">
        <v>118.356606656334</v>
      </c>
      <c r="Z332" s="1797" t="n">
        <v>136.08991541061</v>
      </c>
      <c r="AA332" s="1797" t="n">
        <v>138.630338014562</v>
      </c>
      <c r="AB332" s="1797" t="n">
        <v>-476.314202177917</v>
      </c>
      <c r="AC332" s="1797" t="n">
        <v>100.405210256796</v>
      </c>
      <c r="AD332" s="1797" t="n">
        <v>152.549874757479</v>
      </c>
      <c r="AE332" s="1797" t="n">
        <v>138.605603023897</v>
      </c>
      <c r="AF332" s="1797" t="n">
        <v>112.313093822249</v>
      </c>
      <c r="AG332" s="1797" t="n">
        <v>-437.550006637881</v>
      </c>
      <c r="AH332" s="1797" t="n">
        <v>164.293824135579</v>
      </c>
      <c r="AI332" s="1797" t="n">
        <v>149.03105980078</v>
      </c>
      <c r="AJ332" s="1797" t="n">
        <v>157.690865617279</v>
      </c>
      <c r="AK332" s="1797" t="n">
        <v>160.378701802244</v>
      </c>
      <c r="AL332" s="1797" t="n">
        <v>-575.411432174114</v>
      </c>
      <c r="AM332" s="1797" t="n">
        <v>-163.957252975643</v>
      </c>
      <c r="AN332" s="1797" t="n">
        <v>-154.700593350787</v>
      </c>
      <c r="AO332" s="1797" t="n">
        <v>-147.335560296272</v>
      </c>
      <c r="AP332" s="1797" t="n">
        <v>-153.478877049302</v>
      </c>
      <c r="AQ332" s="1745">
        <f t="array" ref="AQ332">AP332+AO332+AN332+AM332</f>
        <v/>
      </c>
      <c r="AR332" s="1797" t="n">
        <v>-208.577997281111</v>
      </c>
      <c r="AS332" s="1797" t="n">
        <v>-191.718044552174</v>
      </c>
      <c r="AT332" s="1797" t="n">
        <v>-209.249762832597</v>
      </c>
      <c r="AU332" s="1797" t="n">
        <v>-175.444458552483</v>
      </c>
      <c r="AV332" s="1745">
        <f t="array" ref="AV332">AU332+AT332+AS332+AR332</f>
        <v/>
      </c>
      <c r="AW332" s="1975" t="n">
        <v>-189.282003265802</v>
      </c>
      <c r="AX332" s="1854" t="n">
        <v>-207.198629437654</v>
      </c>
      <c r="AY332" s="1854" t="n">
        <v>-204.385384934936</v>
      </c>
      <c r="AZ332" s="1854" t="n">
        <v>-213.53077019745</v>
      </c>
      <c r="BA332" s="1748">
        <f t="array" ref="BA332">AZ332+AY332+AX332+AW332</f>
        <v/>
      </c>
      <c r="BB332" s="1975" t="n">
        <v>-177.275433592885</v>
      </c>
      <c r="BC332" s="1854" t="n">
        <v>-227.89752320669</v>
      </c>
      <c r="BD332" s="701" t="n"/>
      <c r="BE332" s="701" t="n"/>
      <c r="BF332" s="1748">
        <f t="array" ref="BF332">-BF278*BF268</f>
        <v/>
      </c>
      <c r="BG332" s="699" t="n"/>
      <c r="BH332" s="699" t="n"/>
      <c r="BI332" s="699" t="n"/>
      <c r="BJ332" s="699" t="n"/>
      <c r="BK332" s="1745">
        <f t="array" ref="BK332">-BK278*BK268</f>
        <v/>
      </c>
      <c r="BL332" s="699" t="n"/>
      <c r="BM332" s="699" t="n"/>
      <c r="BN332" s="699" t="n"/>
      <c r="BO332" s="699" t="n"/>
      <c r="BP332" s="1745">
        <f t="array" ref="BP332">-BP278*BP268</f>
        <v/>
      </c>
      <c r="BQ332" s="699" t="n"/>
      <c r="BR332" s="699" t="n"/>
      <c r="BS332" s="699" t="n"/>
      <c r="BT332" s="699" t="n"/>
      <c r="BU332" s="1745">
        <f t="array" ref="BU332">-BU278*BU268</f>
        <v/>
      </c>
      <c r="BV332" s="699" t="n"/>
      <c r="BW332" s="699" t="n"/>
      <c r="BX332" s="699" t="n"/>
      <c r="BY332" s="699" t="n"/>
      <c r="BZ332" s="1745">
        <f t="array" ref="BZ332">-BZ278*BZ268</f>
        <v/>
      </c>
      <c r="CA332" s="559" t="n"/>
      <c r="CB332" s="456" t="n"/>
      <c r="CC332" s="701" t="n"/>
      <c r="CD332" s="701" t="n"/>
      <c r="CE332" s="701" t="n"/>
      <c r="CF332" s="701" t="n"/>
      <c r="CG332" s="701" t="n"/>
      <c r="CH332" s="701" t="n"/>
      <c r="CI332" s="701" t="n"/>
      <c r="CJ332" s="701" t="n"/>
      <c r="CK332" s="701" t="n"/>
      <c r="CL332" s="701" t="n"/>
      <c r="CM332" s="701" t="n"/>
      <c r="CN332" s="701" t="n"/>
      <c r="CO332" s="701" t="n"/>
      <c r="CP332" s="701" t="n"/>
      <c r="CQ332" s="701" t="n"/>
      <c r="CR332" s="701" t="n"/>
      <c r="CS332" s="701" t="n"/>
      <c r="CT332" s="701" t="n"/>
      <c r="CU332" s="701" t="n"/>
      <c r="CV332" s="701" t="n"/>
      <c r="CW332" s="30" t="n"/>
    </row>
    <row r="333" ht="12.75" customHeight="1" s="1676">
      <c r="A333" s="31" t="n"/>
      <c r="B333" s="103" t="inlineStr">
        <is>
          <t>Text_282</t>
        </is>
      </c>
      <c r="C333" s="699" t="n"/>
      <c r="D333" s="699" t="n"/>
      <c r="E333" s="699" t="n"/>
      <c r="F333" s="699" t="n"/>
      <c r="G333" s="699" t="n"/>
      <c r="H333" s="1751" t="n"/>
      <c r="I333" s="699" t="n"/>
      <c r="J333" s="699" t="n"/>
      <c r="K333" s="699" t="n"/>
      <c r="L333" s="699" t="n"/>
      <c r="M333" s="192">
        <f t="array" ref="M333">-M332/M323</f>
        <v/>
      </c>
      <c r="N333" s="699" t="n"/>
      <c r="O333" s="699" t="n"/>
      <c r="P333" s="699" t="n"/>
      <c r="Q333" s="699" t="n"/>
      <c r="R333" s="192">
        <f t="array" ref="R333">-R332/R323</f>
        <v/>
      </c>
      <c r="S333" s="699" t="n"/>
      <c r="T333" s="699" t="n"/>
      <c r="U333" s="699" t="n"/>
      <c r="V333" s="699" t="n"/>
      <c r="W333" s="192">
        <f t="array" ref="W333">-W332/W323</f>
        <v/>
      </c>
      <c r="X333" s="699" t="n"/>
      <c r="Y333" s="699" t="n"/>
      <c r="Z333" s="699" t="n"/>
      <c r="AA333" s="699" t="n"/>
      <c r="AB333" s="192">
        <f t="array" ref="AB333">-AB332/AB323</f>
        <v/>
      </c>
      <c r="AC333" s="1751" t="n"/>
      <c r="AD333" s="1751" t="n"/>
      <c r="AE333" s="1751" t="n"/>
      <c r="AF333" s="699" t="n"/>
      <c r="AG333" s="192">
        <f t="array" ref="AG333">-AG332/AG323</f>
        <v/>
      </c>
      <c r="AH333" s="1751" t="n"/>
      <c r="AI333" s="1751" t="n"/>
      <c r="AJ333" s="1751" t="n"/>
      <c r="AK333" s="699" t="n"/>
      <c r="AL333" s="192">
        <f t="array" ref="AL333">-AL332/AL323</f>
        <v/>
      </c>
      <c r="AM333" s="1751" t="n"/>
      <c r="AN333" s="1751" t="n"/>
      <c r="AO333" s="1751" t="n"/>
      <c r="AP333" s="699" t="n"/>
      <c r="AQ333" s="192">
        <f t="array" ref="AQ333">-AQ332/AQ323</f>
        <v/>
      </c>
      <c r="AR333" s="1751" t="n"/>
      <c r="AS333" s="1751" t="n"/>
      <c r="AT333" s="1751" t="n"/>
      <c r="AU333" s="699" t="n"/>
      <c r="AV333" s="192">
        <f t="array" ref="AV333">-AV332/AV323</f>
        <v/>
      </c>
      <c r="AW333" s="193" t="n"/>
      <c r="AX333" s="194" t="n"/>
      <c r="AY333" s="1750" t="n"/>
      <c r="AZ333" s="194" t="n"/>
      <c r="BA333" s="195">
        <f t="array" ref="BA333">-BA332/BA323</f>
        <v/>
      </c>
      <c r="BB333" s="193" t="n"/>
      <c r="BC333" s="194" t="n"/>
      <c r="BD333" s="194" t="n"/>
      <c r="BE333" s="194" t="n"/>
      <c r="BF333" s="195">
        <f t="array" ref="BF333">-BF332/BF323</f>
        <v/>
      </c>
      <c r="BG333" s="192" t="n"/>
      <c r="BH333" s="192" t="n"/>
      <c r="BI333" s="192" t="n"/>
      <c r="BJ333" s="192" t="n"/>
      <c r="BK333" s="192">
        <f t="array" ref="BK333">-BK332/BK323</f>
        <v/>
      </c>
      <c r="BL333" s="192" t="n"/>
      <c r="BM333" s="192" t="n"/>
      <c r="BN333" s="192" t="n"/>
      <c r="BO333" s="192" t="n"/>
      <c r="BP333" s="192">
        <f t="array" ref="BP333">-BP332/BP323</f>
        <v/>
      </c>
      <c r="BQ333" s="192" t="n"/>
      <c r="BR333" s="192" t="n"/>
      <c r="BS333" s="192" t="n"/>
      <c r="BT333" s="192" t="n"/>
      <c r="BU333" s="192">
        <f t="array" ref="BU333">-BU332/BU323</f>
        <v/>
      </c>
      <c r="BV333" s="192" t="n"/>
      <c r="BW333" s="192" t="n"/>
      <c r="BX333" s="192" t="n"/>
      <c r="BY333" s="192" t="n"/>
      <c r="BZ333" s="192">
        <f t="array" ref="BZ333">-BZ332/BZ323</f>
        <v/>
      </c>
      <c r="CA333" s="559" t="n"/>
      <c r="CB333" s="456" t="n"/>
      <c r="CC333" s="701" t="n"/>
      <c r="CD333" s="701" t="n"/>
      <c r="CE333" s="701" t="n"/>
      <c r="CF333" s="701" t="n"/>
      <c r="CG333" s="701" t="n"/>
      <c r="CH333" s="701" t="n"/>
      <c r="CI333" s="701" t="n"/>
      <c r="CJ333" s="701" t="n"/>
      <c r="CK333" s="701" t="n"/>
      <c r="CL333" s="701" t="n"/>
      <c r="CM333" s="701" t="n"/>
      <c r="CN333" s="701" t="n"/>
      <c r="CO333" s="701" t="n"/>
      <c r="CP333" s="701" t="n"/>
      <c r="CQ333" s="701" t="n"/>
      <c r="CR333" s="701" t="n"/>
      <c r="CS333" s="701" t="n"/>
      <c r="CT333" s="701" t="n"/>
      <c r="CU333" s="701" t="n"/>
      <c r="CV333" s="701" t="n"/>
      <c r="CW333" s="30" t="n"/>
    </row>
    <row r="334" ht="12.75" customHeight="1" s="1676">
      <c r="A334" s="31" t="n"/>
      <c r="B334" s="522" t="inlineStr">
        <is>
          <t>Text_283</t>
        </is>
      </c>
      <c r="C334" s="699" t="n"/>
      <c r="D334" s="1797" t="n"/>
      <c r="E334" s="1797" t="n"/>
      <c r="F334" s="1797" t="n"/>
      <c r="G334" s="1797" t="n"/>
      <c r="H334" s="1797" t="n"/>
      <c r="I334" s="1797" t="n"/>
      <c r="J334" s="1797" t="n"/>
      <c r="K334" s="1797" t="n"/>
      <c r="L334" s="1797" t="n"/>
      <c r="M334" s="1797" t="n"/>
      <c r="N334" s="1797" t="n"/>
      <c r="O334" s="1797" t="n"/>
      <c r="P334" s="1797" t="n"/>
      <c r="Q334" s="1797" t="n"/>
      <c r="R334" s="1797">
        <f t="array" ref="R334">-25.002+45.359</f>
        <v/>
      </c>
      <c r="S334" s="1797" t="n"/>
      <c r="T334" s="1797" t="n"/>
      <c r="U334" s="1797" t="n"/>
      <c r="V334" s="1797" t="n"/>
      <c r="W334" s="1797">
        <f t="array" ref="W334">-203.169+61.444</f>
        <v/>
      </c>
      <c r="X334" s="1797" t="n"/>
      <c r="Y334" s="1797" t="n"/>
      <c r="Z334" s="1797" t="n"/>
      <c r="AA334" s="1797" t="n"/>
      <c r="AB334" s="1797">
        <f t="array" ref="AB334">-1095.202+64.828</f>
        <v/>
      </c>
      <c r="AC334" s="1797" t="n"/>
      <c r="AD334" s="1797" t="n"/>
      <c r="AE334" s="1797" t="n"/>
      <c r="AF334" s="1797" t="n"/>
      <c r="AG334" s="1797">
        <f t="array" ref="AG334">-829.084+75.634</f>
        <v/>
      </c>
      <c r="AH334" s="1797" t="n"/>
      <c r="AI334" s="1797" t="n"/>
      <c r="AJ334" s="1797" t="n"/>
      <c r="AK334" s="1797" t="n"/>
      <c r="AL334" s="1797">
        <f t="array" ref="AL334">86.098-938.607</f>
        <v/>
      </c>
      <c r="AM334" s="1797" t="n">
        <v>-336.404102604813</v>
      </c>
      <c r="AN334" s="1797">
        <f t="array" ref="AN334">-429.874+36.912</f>
        <v/>
      </c>
      <c r="AO334" s="1797" t="n">
        <v>-538.5809893343539</v>
      </c>
      <c r="AP334" s="1797">
        <f t="array" ref="AP334">-900-2573.589</f>
        <v/>
      </c>
      <c r="AQ334" s="1745">
        <f t="array" ref="AQ334">AP334+AO334+AN334+AM334</f>
        <v/>
      </c>
      <c r="AR334" s="1797">
        <f t="array" ref="AR334">-89.846+0.115</f>
        <v/>
      </c>
      <c r="AS334" s="1797">
        <f t="array" ref="AS334">-355.007+33.793</f>
        <v/>
      </c>
      <c r="AT334" s="1797" t="n">
        <v>-475.827025950291</v>
      </c>
      <c r="AU334" s="1797" t="n">
        <v>-412.500439087107</v>
      </c>
      <c r="AV334" s="1745">
        <f t="array" ref="AV334">AU334+AT334+AS334+AR334</f>
        <v/>
      </c>
      <c r="AW334" s="1975" t="n">
        <v>-537.482899088155</v>
      </c>
      <c r="AX334" s="1854">
        <f t="array" ref="AX334">-437.817+48.433</f>
        <v/>
      </c>
      <c r="AY334" s="1854" t="n">
        <v>-387.237984069477</v>
      </c>
      <c r="AZ334" s="1854">
        <f t="array" ref="AZ334">-470.266+96.501</f>
        <v/>
      </c>
      <c r="BA334" s="1748">
        <f t="array" ref="BA334">AZ334+AY334+AX334+AW334</f>
        <v/>
      </c>
      <c r="BB334" s="1975" t="n">
        <v>-623.166752869546</v>
      </c>
      <c r="BC334" s="1854">
        <f t="array" ref="BC334">-650.121+47.538</f>
        <v/>
      </c>
      <c r="BD334" s="1874" t="n">
        <v>-601.503854278849</v>
      </c>
      <c r="BE334" s="1874" t="n">
        <v>-632.18496753032</v>
      </c>
      <c r="BF334" s="1865">
        <f t="array" ref="BF334">BE334+BD334+BC334+BB334</f>
        <v/>
      </c>
      <c r="BG334" s="699" t="n"/>
      <c r="BH334" s="699" t="n"/>
      <c r="BI334" s="699" t="n"/>
      <c r="BJ334" s="699" t="n"/>
      <c r="BK334" s="1862" t="n">
        <v>-2485.11865936053</v>
      </c>
      <c r="BL334" s="699" t="n"/>
      <c r="BM334" s="699" t="n"/>
      <c r="BN334" s="699" t="n"/>
      <c r="BO334" s="699" t="n"/>
      <c r="BP334" s="1862" t="n">
        <v>-3156.14821317859</v>
      </c>
      <c r="BQ334" s="699" t="n"/>
      <c r="BR334" s="699" t="n"/>
      <c r="BS334" s="699" t="n"/>
      <c r="BT334" s="699" t="n"/>
      <c r="BU334" s="1862" t="n">
        <v>-3778.96494912822</v>
      </c>
      <c r="BV334" s="699" t="n"/>
      <c r="BW334" s="699" t="n"/>
      <c r="BX334" s="699" t="n"/>
      <c r="BY334" s="699" t="n"/>
      <c r="BZ334" s="1862" t="n">
        <v>-4450.48803901173</v>
      </c>
      <c r="CA334" s="1713" t="n"/>
      <c r="CB334" s="456" t="n"/>
      <c r="CC334" s="701" t="n"/>
      <c r="CD334" s="701" t="n"/>
      <c r="CE334" s="701" t="n"/>
      <c r="CF334" s="701" t="n"/>
      <c r="CG334" s="701" t="n"/>
      <c r="CH334" s="701" t="n"/>
      <c r="CI334" s="701" t="n"/>
      <c r="CJ334" s="701" t="n"/>
      <c r="CK334" s="701" t="n"/>
      <c r="CL334" s="701" t="n"/>
      <c r="CM334" s="701" t="n"/>
      <c r="CN334" s="701" t="n"/>
      <c r="CO334" s="701" t="n"/>
      <c r="CP334" s="701" t="n"/>
      <c r="CQ334" s="701" t="n"/>
      <c r="CR334" s="701" t="n"/>
      <c r="CS334" s="701" t="n"/>
      <c r="CT334" s="701" t="n"/>
      <c r="CU334" s="701" t="n"/>
      <c r="CV334" s="701" t="n"/>
      <c r="CW334" s="30" t="n"/>
    </row>
    <row r="335" ht="12.75" customHeight="1" s="1676">
      <c r="A335" s="31" t="n"/>
      <c r="B335" s="551" t="inlineStr">
        <is>
          <t>Text_282</t>
        </is>
      </c>
      <c r="C335" s="805" t="n"/>
      <c r="D335" s="805" t="n"/>
      <c r="E335" s="805" t="n"/>
      <c r="F335" s="805" t="n"/>
      <c r="G335" s="805" t="n"/>
      <c r="H335" s="1956" t="n"/>
      <c r="I335" s="805" t="n"/>
      <c r="J335" s="805" t="n"/>
      <c r="K335" s="805" t="n"/>
      <c r="L335" s="805" t="n"/>
      <c r="M335" s="197">
        <f t="array" ref="M335">-M334/M323</f>
        <v/>
      </c>
      <c r="N335" s="805" t="n"/>
      <c r="O335" s="805" t="n"/>
      <c r="P335" s="805" t="n"/>
      <c r="Q335" s="805" t="n"/>
      <c r="R335" s="197">
        <f t="array" ref="R335">-R334/R323</f>
        <v/>
      </c>
      <c r="S335" s="805" t="n"/>
      <c r="T335" s="805" t="n"/>
      <c r="U335" s="805" t="n"/>
      <c r="V335" s="805" t="n"/>
      <c r="W335" s="197">
        <f t="array" ref="W335">-W334/W323</f>
        <v/>
      </c>
      <c r="X335" s="805" t="n"/>
      <c r="Y335" s="805" t="n"/>
      <c r="Z335" s="805" t="n"/>
      <c r="AA335" s="805" t="n"/>
      <c r="AB335" s="197">
        <f t="array" ref="AB335">-AB334/AB323</f>
        <v/>
      </c>
      <c r="AC335" s="1956" t="n"/>
      <c r="AD335" s="1956" t="n"/>
      <c r="AE335" s="1956" t="n"/>
      <c r="AF335" s="805" t="n"/>
      <c r="AG335" s="197">
        <f t="array" ref="AG335">-AG334/AG323</f>
        <v/>
      </c>
      <c r="AH335" s="1956" t="n"/>
      <c r="AI335" s="1956" t="n"/>
      <c r="AJ335" s="1956" t="n"/>
      <c r="AK335" s="805" t="n"/>
      <c r="AL335" s="197">
        <f t="array" ref="AL335">-AL334/AL323</f>
        <v/>
      </c>
      <c r="AM335" s="1956" t="n"/>
      <c r="AN335" s="1956" t="n"/>
      <c r="AO335" s="1956" t="n"/>
      <c r="AP335" s="805" t="n"/>
      <c r="AQ335" s="197">
        <f t="array" ref="AQ335">-AQ334/AQ323</f>
        <v/>
      </c>
      <c r="AR335" s="1956" t="n"/>
      <c r="AS335" s="1956" t="n"/>
      <c r="AT335" s="1956" t="n"/>
      <c r="AU335" s="805" t="n"/>
      <c r="AV335" s="197">
        <f t="array" ref="AV335">-AV334/AV323</f>
        <v/>
      </c>
      <c r="AW335" s="198" t="n"/>
      <c r="AX335" s="199" t="n"/>
      <c r="AY335" s="199" t="n"/>
      <c r="AZ335" s="199" t="n"/>
      <c r="BA335" s="200">
        <f t="array" ref="BA335">-BA334/BA323</f>
        <v/>
      </c>
      <c r="BB335" s="198" t="n"/>
      <c r="BC335" s="199" t="n"/>
      <c r="BD335" s="199" t="n"/>
      <c r="BE335" s="199" t="n"/>
      <c r="BF335" s="200">
        <f t="array" ref="BF335">-BF334/BF323</f>
        <v/>
      </c>
      <c r="BG335" s="197" t="n"/>
      <c r="BH335" s="197" t="n"/>
      <c r="BI335" s="197" t="n"/>
      <c r="BJ335" s="197" t="n"/>
      <c r="BK335" s="197">
        <f t="array" ref="BK335">-BK334/BK323</f>
        <v/>
      </c>
      <c r="BL335" s="197" t="n"/>
      <c r="BM335" s="197" t="n"/>
      <c r="BN335" s="197" t="n"/>
      <c r="BO335" s="197" t="n"/>
      <c r="BP335" s="197">
        <f t="array" ref="BP335">-BP334/BP323</f>
        <v/>
      </c>
      <c r="BQ335" s="197" t="n"/>
      <c r="BR335" s="197" t="n"/>
      <c r="BS335" s="197" t="n"/>
      <c r="BT335" s="197" t="n"/>
      <c r="BU335" s="197">
        <f t="array" ref="BU335">-BU334/BU323</f>
        <v/>
      </c>
      <c r="BV335" s="197" t="n"/>
      <c r="BW335" s="197" t="n"/>
      <c r="BX335" s="197" t="n"/>
      <c r="BY335" s="197" t="n"/>
      <c r="BZ335" s="197">
        <f t="array" ref="BZ335">-BZ334/BZ323</f>
        <v/>
      </c>
      <c r="CA335" s="747" t="n"/>
      <c r="CB335" s="456" t="n"/>
      <c r="CC335" s="701" t="n"/>
      <c r="CD335" s="701" t="n"/>
      <c r="CE335" s="701" t="n"/>
      <c r="CF335" s="701" t="n"/>
      <c r="CG335" s="701" t="n"/>
      <c r="CH335" s="701" t="n"/>
      <c r="CI335" s="701" t="n"/>
      <c r="CJ335" s="701" t="n"/>
      <c r="CK335" s="701" t="n"/>
      <c r="CL335" s="701" t="n"/>
      <c r="CM335" s="701" t="n"/>
      <c r="CN335" s="701" t="n"/>
      <c r="CO335" s="701" t="n"/>
      <c r="CP335" s="701" t="n"/>
      <c r="CQ335" s="701" t="n"/>
      <c r="CR335" s="701" t="n"/>
      <c r="CS335" s="701" t="n"/>
      <c r="CT335" s="701" t="n"/>
      <c r="CU335" s="701" t="n"/>
      <c r="CV335" s="701" t="n"/>
      <c r="CW335" s="30" t="n"/>
    </row>
    <row r="336" hidden="1" ht="14.25" customHeight="1" s="1676">
      <c r="A336" s="31" t="n"/>
      <c r="B336" s="257" t="inlineStr">
        <is>
          <t>Text_8</t>
        </is>
      </c>
      <c r="C336" s="66" t="n"/>
      <c r="D336" s="2107" t="n"/>
      <c r="E336" s="2107" t="n"/>
      <c r="F336" s="2107" t="n"/>
      <c r="G336" s="2107" t="n"/>
      <c r="H336" s="2108" t="n"/>
      <c r="I336" s="2107" t="n"/>
      <c r="J336" s="2107" t="n"/>
      <c r="K336" s="2107" t="n"/>
      <c r="L336" s="2107" t="n"/>
      <c r="M336" s="2108" t="n"/>
      <c r="N336" s="2107" t="n"/>
      <c r="O336" s="2107" t="n"/>
      <c r="P336" s="2107" t="n"/>
      <c r="Q336" s="2107" t="n"/>
      <c r="R336" s="2108" t="n"/>
      <c r="S336" s="2108" t="n"/>
      <c r="T336" s="2108" t="n"/>
      <c r="U336" s="2108" t="n"/>
      <c r="V336" s="2108" t="n"/>
      <c r="W336" s="2108" t="n"/>
      <c r="X336" s="2108" t="n"/>
      <c r="Y336" s="2108" t="n"/>
      <c r="Z336" s="2108" t="n"/>
      <c r="AA336" s="2108" t="n"/>
      <c r="AB336" s="2108" t="n"/>
      <c r="AC336" s="1704" t="n"/>
      <c r="AD336" s="1704" t="n"/>
      <c r="AE336" s="1704" t="n"/>
      <c r="AF336" s="2108" t="n"/>
      <c r="AG336" s="1704" t="n"/>
      <c r="AH336" s="1704" t="n"/>
      <c r="AI336" s="1704" t="n"/>
      <c r="AJ336" s="1704" t="n"/>
      <c r="AK336" s="2108" t="n"/>
      <c r="AL336" s="1704" t="n"/>
      <c r="AM336" s="1704" t="n"/>
      <c r="AN336" s="1704" t="n"/>
      <c r="AO336" s="1704" t="n"/>
      <c r="AP336" s="2108" t="n"/>
      <c r="AQ336" s="1704" t="n"/>
      <c r="AR336" s="1704" t="n"/>
      <c r="AS336" s="1704" t="n"/>
      <c r="AT336" s="1704" t="n"/>
      <c r="AU336" s="2108" t="n"/>
      <c r="AV336" s="2109" t="n"/>
      <c r="AW336" s="72" t="n"/>
      <c r="AX336" s="69" t="n"/>
      <c r="AY336" s="69" t="n"/>
      <c r="AZ336" s="69" t="n"/>
      <c r="BA336" s="2110" t="n"/>
      <c r="BB336" s="72" t="n"/>
      <c r="BC336" s="69" t="n"/>
      <c r="BD336" s="69" t="n"/>
      <c r="BE336" s="69" t="n"/>
      <c r="BF336" s="2110" t="n">
        <v>-531.86867383062</v>
      </c>
      <c r="BG336" s="66" t="n"/>
      <c r="BH336" s="66" t="n"/>
      <c r="BI336" s="66" t="n"/>
      <c r="BJ336" s="66" t="n"/>
      <c r="BK336" s="2109" t="n">
        <v>-642.007229265995</v>
      </c>
      <c r="BL336" s="66" t="n"/>
      <c r="BM336" s="66" t="n"/>
      <c r="BN336" s="66" t="n"/>
      <c r="BO336" s="66" t="n"/>
      <c r="BP336" s="2109" t="n">
        <v>-728.580578493218</v>
      </c>
      <c r="BQ336" s="66" t="n"/>
      <c r="BR336" s="66" t="n"/>
      <c r="BS336" s="66" t="n"/>
      <c r="BT336" s="66" t="n"/>
      <c r="BU336" s="2109" t="n">
        <v>-950.890461088336</v>
      </c>
      <c r="BV336" s="66" t="n"/>
      <c r="BW336" s="66" t="n"/>
      <c r="BX336" s="66" t="n"/>
      <c r="BY336" s="66" t="n"/>
      <c r="BZ336" s="2109" t="n">
        <v>-746.031042272976</v>
      </c>
      <c r="CA336" s="1937" t="n"/>
      <c r="CB336" s="401" t="n"/>
      <c r="CC336" s="701" t="n"/>
      <c r="CD336" s="701" t="n"/>
      <c r="CE336" s="701" t="n"/>
      <c r="CF336" s="701" t="n"/>
      <c r="CG336" s="701" t="n"/>
      <c r="CH336" s="701" t="n"/>
      <c r="CI336" s="701" t="n"/>
      <c r="CJ336" s="701" t="n"/>
      <c r="CK336" s="701" t="n"/>
      <c r="CL336" s="701" t="n"/>
      <c r="CM336" s="701" t="n"/>
      <c r="CN336" s="701" t="n"/>
      <c r="CO336" s="701" t="n"/>
      <c r="CP336" s="701" t="n"/>
      <c r="CQ336" s="701" t="n"/>
      <c r="CR336" s="701" t="n"/>
      <c r="CS336" s="701" t="n"/>
      <c r="CT336" s="701" t="n"/>
      <c r="CU336" s="701" t="n"/>
      <c r="CV336" s="701" t="n"/>
      <c r="CW336" s="30" t="n"/>
    </row>
    <row r="337" hidden="1" ht="14.25" customHeight="1" s="1676">
      <c r="A337" s="31" t="n"/>
      <c r="B337" s="257" t="inlineStr">
        <is>
          <t>Text_163</t>
        </is>
      </c>
      <c r="C337" s="66" t="n"/>
      <c r="D337" s="2107" t="n"/>
      <c r="E337" s="2107" t="n"/>
      <c r="F337" s="2107" t="n"/>
      <c r="G337" s="2107" t="n"/>
      <c r="H337" s="2108" t="n"/>
      <c r="I337" s="2107" t="n"/>
      <c r="J337" s="2107" t="n"/>
      <c r="K337" s="2107" t="n"/>
      <c r="L337" s="2107" t="n"/>
      <c r="M337" s="2108" t="n"/>
      <c r="N337" s="2107" t="n"/>
      <c r="O337" s="2107" t="n"/>
      <c r="P337" s="2107" t="n"/>
      <c r="Q337" s="2107" t="n"/>
      <c r="R337" s="2108" t="n"/>
      <c r="S337" s="2108" t="n"/>
      <c r="T337" s="2108" t="n"/>
      <c r="U337" s="2108" t="n"/>
      <c r="V337" s="2108" t="n"/>
      <c r="W337" s="2108" t="n"/>
      <c r="X337" s="2108" t="n"/>
      <c r="Y337" s="2108" t="n"/>
      <c r="Z337" s="2108" t="n"/>
      <c r="AA337" s="2108" t="n"/>
      <c r="AB337" s="2108" t="n"/>
      <c r="AC337" s="1704" t="n"/>
      <c r="AD337" s="1704" t="n"/>
      <c r="AE337" s="1704" t="n"/>
      <c r="AF337" s="2108" t="n"/>
      <c r="AG337" s="1704" t="n"/>
      <c r="AH337" s="1704" t="n"/>
      <c r="AI337" s="1704" t="n"/>
      <c r="AJ337" s="1704" t="n"/>
      <c r="AK337" s="2108" t="n"/>
      <c r="AL337" s="1704" t="n"/>
      <c r="AM337" s="1704" t="n"/>
      <c r="AN337" s="1704" t="n"/>
      <c r="AO337" s="1704" t="n"/>
      <c r="AP337" s="2108" t="n"/>
      <c r="AQ337" s="1704" t="n"/>
      <c r="AR337" s="1704" t="n"/>
      <c r="AS337" s="1704" t="n"/>
      <c r="AT337" s="1704" t="n"/>
      <c r="AU337" s="2108" t="n"/>
      <c r="AV337" s="2109" t="n"/>
      <c r="AW337" s="72" t="n"/>
      <c r="AX337" s="69" t="n"/>
      <c r="AY337" s="69" t="n"/>
      <c r="AZ337" s="69" t="n"/>
      <c r="BA337" s="2110" t="n"/>
      <c r="BB337" s="72" t="n"/>
      <c r="BC337" s="69" t="n"/>
      <c r="BD337" s="69" t="n"/>
      <c r="BE337" s="69" t="n"/>
      <c r="BF337" s="2110" t="n">
        <v>-744.612317433625</v>
      </c>
      <c r="BG337" s="66" t="n"/>
      <c r="BH337" s="66" t="n"/>
      <c r="BI337" s="66" t="n"/>
      <c r="BJ337" s="66" t="n"/>
      <c r="BK337" s="2109" t="n">
        <v>-702.751268076286</v>
      </c>
      <c r="BL337" s="66" t="n"/>
      <c r="BM337" s="66" t="n"/>
      <c r="BN337" s="66" t="n"/>
      <c r="BO337" s="66" t="n"/>
      <c r="BP337" s="2109" t="n">
        <v>-887.6652241657609</v>
      </c>
      <c r="BQ337" s="66" t="n"/>
      <c r="BR337" s="66" t="n"/>
      <c r="BS337" s="66" t="n"/>
      <c r="BT337" s="66" t="n"/>
      <c r="BU337" s="2109" t="n">
        <v>-775.432293275431</v>
      </c>
      <c r="BV337" s="66" t="n"/>
      <c r="BW337" s="66" t="n"/>
      <c r="BX337" s="66" t="n"/>
      <c r="BY337" s="66" t="n"/>
      <c r="BZ337" s="2109" t="n">
        <v>-750.377476669065</v>
      </c>
      <c r="CA337" s="1937" t="n"/>
      <c r="CB337" s="401" t="n"/>
      <c r="CC337" s="701" t="n"/>
      <c r="CD337" s="701" t="n"/>
      <c r="CE337" s="701" t="n"/>
      <c r="CF337" s="701" t="n"/>
      <c r="CG337" s="701" t="n"/>
      <c r="CH337" s="701" t="n"/>
      <c r="CI337" s="701" t="n"/>
      <c r="CJ337" s="701" t="n"/>
      <c r="CK337" s="701" t="n"/>
      <c r="CL337" s="701" t="n"/>
      <c r="CM337" s="701" t="n"/>
      <c r="CN337" s="701" t="n"/>
      <c r="CO337" s="701" t="n"/>
      <c r="CP337" s="701" t="n"/>
      <c r="CQ337" s="701" t="n"/>
      <c r="CR337" s="701" t="n"/>
      <c r="CS337" s="701" t="n"/>
      <c r="CT337" s="701" t="n"/>
      <c r="CU337" s="701" t="n"/>
      <c r="CV337" s="701" t="n"/>
      <c r="CW337" s="30" t="n"/>
    </row>
    <row r="338" hidden="1" ht="14.25" customHeight="1" s="1676">
      <c r="A338" s="31" t="n"/>
      <c r="B338" s="257" t="inlineStr">
        <is>
          <t>Text_164</t>
        </is>
      </c>
      <c r="C338" s="66" t="n"/>
      <c r="D338" s="2107" t="n"/>
      <c r="E338" s="2107" t="n"/>
      <c r="F338" s="2107" t="n"/>
      <c r="G338" s="2107" t="n"/>
      <c r="H338" s="2108" t="n"/>
      <c r="I338" s="2107" t="n"/>
      <c r="J338" s="2107" t="n"/>
      <c r="K338" s="2107" t="n"/>
      <c r="L338" s="2107" t="n"/>
      <c r="M338" s="2108" t="n"/>
      <c r="N338" s="2107" t="n"/>
      <c r="O338" s="2107" t="n"/>
      <c r="P338" s="2107" t="n"/>
      <c r="Q338" s="2107" t="n"/>
      <c r="R338" s="2108" t="n"/>
      <c r="S338" s="2108" t="n"/>
      <c r="T338" s="2108" t="n"/>
      <c r="U338" s="2108" t="n"/>
      <c r="V338" s="2108" t="n"/>
      <c r="W338" s="2108" t="n"/>
      <c r="X338" s="2108" t="n"/>
      <c r="Y338" s="2108" t="n"/>
      <c r="Z338" s="2108" t="n"/>
      <c r="AA338" s="2108" t="n"/>
      <c r="AB338" s="2108" t="n"/>
      <c r="AC338" s="1704" t="n"/>
      <c r="AD338" s="1704" t="n"/>
      <c r="AE338" s="1704" t="n"/>
      <c r="AF338" s="2108" t="n"/>
      <c r="AG338" s="1704" t="n"/>
      <c r="AH338" s="1704" t="n"/>
      <c r="AI338" s="1704" t="n"/>
      <c r="AJ338" s="1704" t="n"/>
      <c r="AK338" s="2108" t="n"/>
      <c r="AL338" s="1704" t="n"/>
      <c r="AM338" s="1704" t="n"/>
      <c r="AN338" s="1704" t="n"/>
      <c r="AO338" s="1704" t="n"/>
      <c r="AP338" s="2108" t="n"/>
      <c r="AQ338" s="1704" t="n"/>
      <c r="AR338" s="1704" t="n"/>
      <c r="AS338" s="1704" t="n"/>
      <c r="AT338" s="1704" t="n"/>
      <c r="AU338" s="2108" t="n"/>
      <c r="AV338" s="2109" t="n"/>
      <c r="AW338" s="72" t="n"/>
      <c r="AX338" s="69" t="n"/>
      <c r="AY338" s="69" t="n"/>
      <c r="AZ338" s="69" t="n"/>
      <c r="BA338" s="2110" t="n"/>
      <c r="BB338" s="72" t="n"/>
      <c r="BC338" s="69" t="n"/>
      <c r="BD338" s="69" t="n"/>
      <c r="BE338" s="69" t="n"/>
      <c r="BF338" s="2110" t="n">
        <v>-603.9774308270351</v>
      </c>
      <c r="BG338" s="66" t="n"/>
      <c r="BH338" s="66" t="n"/>
      <c r="BI338" s="66" t="n"/>
      <c r="BJ338" s="66" t="n"/>
      <c r="BK338" s="2109" t="n">
        <v>-521.431507781709</v>
      </c>
      <c r="BL338" s="66" t="n"/>
      <c r="BM338" s="66" t="n"/>
      <c r="BN338" s="66" t="n"/>
      <c r="BO338" s="66" t="n"/>
      <c r="BP338" s="2109" t="n">
        <v>-602.299209794768</v>
      </c>
      <c r="BQ338" s="66" t="n"/>
      <c r="BR338" s="66" t="n"/>
      <c r="BS338" s="66" t="n"/>
      <c r="BT338" s="66" t="n"/>
      <c r="BU338" s="2109" t="n">
        <v>-665.720642730557</v>
      </c>
      <c r="BV338" s="66" t="n"/>
      <c r="BW338" s="66" t="n"/>
      <c r="BX338" s="66" t="n"/>
      <c r="BY338" s="66" t="n"/>
      <c r="BZ338" s="2109" t="n">
        <v>-611.016408750246</v>
      </c>
      <c r="CA338" s="752" t="n"/>
      <c r="CB338" s="401" t="n"/>
      <c r="CC338" s="701" t="n"/>
      <c r="CD338" s="701" t="n"/>
      <c r="CE338" s="701" t="n"/>
      <c r="CF338" s="701" t="n"/>
      <c r="CG338" s="701" t="n"/>
      <c r="CH338" s="701" t="n"/>
      <c r="CI338" s="701" t="n"/>
      <c r="CJ338" s="701" t="n"/>
      <c r="CK338" s="701" t="n"/>
      <c r="CL338" s="701" t="n"/>
      <c r="CM338" s="701" t="n"/>
      <c r="CN338" s="701" t="n"/>
      <c r="CO338" s="701" t="n"/>
      <c r="CP338" s="701" t="n"/>
      <c r="CQ338" s="701" t="n"/>
      <c r="CR338" s="701" t="n"/>
      <c r="CS338" s="701" t="n"/>
      <c r="CT338" s="701" t="n"/>
      <c r="CU338" s="701" t="n"/>
      <c r="CV338" s="701" t="n"/>
      <c r="CW338" s="30" t="n"/>
    </row>
    <row r="339" ht="12.75" customHeight="1" s="1676">
      <c r="A339" s="542" t="n"/>
      <c r="B339" s="753" t="inlineStr">
        <is>
          <t>Text_284</t>
        </is>
      </c>
      <c r="C339" s="754" t="n"/>
      <c r="D339" s="754" t="n"/>
      <c r="E339" s="754" t="n"/>
      <c r="F339" s="754" t="n"/>
      <c r="G339" s="754" t="n"/>
      <c r="H339" s="2111" t="n"/>
      <c r="I339" s="754" t="n"/>
      <c r="J339" s="754" t="n"/>
      <c r="K339" s="754" t="n"/>
      <c r="L339" s="754" t="n"/>
      <c r="M339" s="2111" t="n"/>
      <c r="N339" s="754" t="n"/>
      <c r="O339" s="754" t="n"/>
      <c r="P339" s="754" t="n"/>
      <c r="Q339" s="754" t="n"/>
      <c r="R339" s="2112" t="n"/>
      <c r="S339" s="754" t="n"/>
      <c r="T339" s="754" t="n"/>
      <c r="U339" s="754" t="n"/>
      <c r="V339" s="754" t="n"/>
      <c r="W339" s="2112" t="n"/>
      <c r="X339" s="754" t="n"/>
      <c r="Y339" s="754" t="n"/>
      <c r="Z339" s="754" t="n"/>
      <c r="AA339" s="754" t="n"/>
      <c r="AB339" s="2112" t="n"/>
      <c r="AC339" s="754" t="n"/>
      <c r="AD339" s="754" t="n"/>
      <c r="AE339" s="2112" t="n"/>
      <c r="AF339" s="754" t="n"/>
      <c r="AG339" s="2112" t="n"/>
      <c r="AH339" s="754" t="n"/>
      <c r="AI339" s="754" t="n"/>
      <c r="AJ339" s="2112" t="n"/>
      <c r="AK339" s="754" t="n"/>
      <c r="AL339" s="2112" t="n"/>
      <c r="AM339" s="2112" t="n"/>
      <c r="AN339" s="2112" t="n"/>
      <c r="AO339" s="2112" t="n"/>
      <c r="AP339" s="754" t="n"/>
      <c r="AQ339" s="2112" t="n"/>
      <c r="AR339" s="2112" t="n"/>
      <c r="AS339" s="2112" t="n"/>
      <c r="AT339" s="2112" t="n"/>
      <c r="AU339" s="754" t="n"/>
      <c r="AV339" s="2112" t="n"/>
      <c r="AW339" s="2113" t="n"/>
      <c r="AX339" s="2114" t="n"/>
      <c r="AY339" s="2114" t="n"/>
      <c r="AZ339" s="2114" t="n"/>
      <c r="BA339" s="2115" t="n"/>
      <c r="BB339" s="2113" t="n"/>
      <c r="BC339" s="2114" t="n"/>
      <c r="BD339" s="2114">
        <f t="array" ref="BD339">BF401</f>
        <v/>
      </c>
      <c r="BE339" s="2114">
        <f t="array" ref="BE339">BD339</f>
        <v/>
      </c>
      <c r="BF339" s="2115">
        <f t="array" ref="BF339">BE339</f>
        <v/>
      </c>
      <c r="BG339" s="2112" t="n"/>
      <c r="BH339" s="2112" t="n"/>
      <c r="BI339" s="2112" t="n"/>
      <c r="BJ339" s="2112" t="n"/>
      <c r="BK339" s="2112">
        <f t="array" ref="BK339">BF339*1.1</f>
        <v/>
      </c>
      <c r="BL339" s="2112">
        <f t="array" ref="BL339">BG339*1.1</f>
        <v/>
      </c>
      <c r="BM339" s="2112">
        <f t="array" ref="BM339">BH339*1.1</f>
        <v/>
      </c>
      <c r="BN339" s="2112">
        <f t="array" ref="BN339">BI339*1.1</f>
        <v/>
      </c>
      <c r="BO339" s="2112">
        <f t="array" ref="BO339">BJ339*1.1</f>
        <v/>
      </c>
      <c r="BP339" s="2112">
        <f t="array" ref="BP339">BK339*1.1</f>
        <v/>
      </c>
      <c r="BQ339" s="2112">
        <f t="array" ref="BQ339">BL339*1.1</f>
        <v/>
      </c>
      <c r="BR339" s="2112">
        <f t="array" ref="BR339">BM339*1.1</f>
        <v/>
      </c>
      <c r="BS339" s="2112">
        <f t="array" ref="BS339">BN339*1.1</f>
        <v/>
      </c>
      <c r="BT339" s="2112">
        <f t="array" ref="BT339">BO339*1.1</f>
        <v/>
      </c>
      <c r="BU339" s="2112">
        <f t="array" ref="BU339">BP339*1.1</f>
        <v/>
      </c>
      <c r="BV339" s="2112">
        <f t="array" ref="BV339">BQ339*1.1</f>
        <v/>
      </c>
      <c r="BW339" s="2112">
        <f t="array" ref="BW339">BR339*1.1</f>
        <v/>
      </c>
      <c r="BX339" s="2112">
        <f t="array" ref="BX339">BS339*1.1</f>
        <v/>
      </c>
      <c r="BY339" s="2112">
        <f t="array" ref="BY339">BT339*1.1</f>
        <v/>
      </c>
      <c r="BZ339" s="2112">
        <f t="array" ref="BZ339">BU339*1.1</f>
        <v/>
      </c>
      <c r="CA339" s="192">
        <f t="array" ref="CA339">-(AQ332+AQ334+AV332+AV334+BA332+BA334+BF332+BF334+BK332+BK334)/(BK323+BF323+BA323+AV323+AQ323)</f>
        <v/>
      </c>
      <c r="CB339" s="456" t="n"/>
      <c r="CC339" s="701" t="n"/>
      <c r="CD339" s="701" t="n"/>
      <c r="CE339" s="701" t="n"/>
      <c r="CF339" s="701" t="n"/>
      <c r="CG339" s="701" t="n"/>
      <c r="CH339" s="701" t="n"/>
      <c r="CI339" s="701" t="n"/>
      <c r="CJ339" s="701" t="n"/>
      <c r="CK339" s="701" t="n"/>
      <c r="CL339" s="701" t="n"/>
      <c r="CM339" s="701" t="n"/>
      <c r="CN339" s="701" t="n"/>
      <c r="CO339" s="701" t="n"/>
      <c r="CP339" s="701" t="n"/>
      <c r="CQ339" s="701" t="n"/>
      <c r="CR339" s="701" t="n"/>
      <c r="CS339" s="701" t="n"/>
      <c r="CT339" s="701" t="n"/>
      <c r="CU339" s="701" t="n"/>
      <c r="CV339" s="701" t="n"/>
      <c r="CW339" s="30" t="n"/>
    </row>
    <row r="340" ht="14.25" customHeight="1" s="1676">
      <c r="A340" s="31" t="n"/>
      <c r="B340" s="90" t="inlineStr">
        <is>
          <t>Text_285</t>
        </is>
      </c>
      <c r="C340" s="66" t="n"/>
      <c r="D340" s="2107" t="n"/>
      <c r="E340" s="2107" t="n"/>
      <c r="F340" s="2107" t="n"/>
      <c r="G340" s="2107" t="n"/>
      <c r="H340" s="2108" t="n"/>
      <c r="I340" s="2107" t="n"/>
      <c r="J340" s="2107" t="n"/>
      <c r="K340" s="2107" t="n"/>
      <c r="L340" s="2107" t="n"/>
      <c r="M340" s="760">
        <f t="array" ref="M340">-(M334+M332)/M323</f>
        <v/>
      </c>
      <c r="N340" s="2107" t="n"/>
      <c r="O340" s="2107" t="n"/>
      <c r="P340" s="2107" t="n"/>
      <c r="Q340" s="2107" t="n"/>
      <c r="R340" s="760">
        <f t="array" ref="R340">-(R334+R332)/R323</f>
        <v/>
      </c>
      <c r="S340" s="2108" t="n"/>
      <c r="T340" s="2108" t="n"/>
      <c r="U340" s="2108" t="n"/>
      <c r="V340" s="2108" t="n"/>
      <c r="W340" s="760">
        <f t="array" ref="W340">-(W334+W332)/W323</f>
        <v/>
      </c>
      <c r="X340" s="2108" t="n"/>
      <c r="Y340" s="2108" t="n"/>
      <c r="Z340" s="2108" t="n"/>
      <c r="AA340" s="2108" t="n"/>
      <c r="AB340" s="760">
        <f t="array" ref="AB340">-(AB334+AB332)/AB323</f>
        <v/>
      </c>
      <c r="AC340" s="1704" t="n"/>
      <c r="AD340" s="1704" t="n"/>
      <c r="AE340" s="1704" t="n"/>
      <c r="AF340" s="2108" t="n"/>
      <c r="AG340" s="760">
        <f t="array" ref="AG340">-(AG334+AG332)/AG323</f>
        <v/>
      </c>
      <c r="AH340" s="1704" t="n"/>
      <c r="AI340" s="1704" t="n"/>
      <c r="AJ340" s="1704" t="n"/>
      <c r="AK340" s="2108" t="n"/>
      <c r="AL340" s="760">
        <f t="array" ref="AL340">-(AL334+AL332)/AL323</f>
        <v/>
      </c>
      <c r="AM340" s="1704" t="n"/>
      <c r="AN340" s="1704" t="n"/>
      <c r="AO340" s="1704" t="n"/>
      <c r="AP340" s="2108" t="n"/>
      <c r="AQ340" s="760">
        <f t="array" ref="AQ340">-(AQ334+AQ332)/AQ323</f>
        <v/>
      </c>
      <c r="AR340" s="1704" t="n"/>
      <c r="AS340" s="1704" t="n"/>
      <c r="AT340" s="1704" t="n"/>
      <c r="AU340" s="2108" t="n"/>
      <c r="AV340" s="760">
        <f t="array" ref="AV340">-(AV334+AV332)/AV323</f>
        <v/>
      </c>
      <c r="AW340" s="72" t="n"/>
      <c r="AX340" s="69" t="n"/>
      <c r="AY340" s="69" t="n"/>
      <c r="AZ340" s="69" t="n"/>
      <c r="BA340" s="761">
        <f t="array" ref="BA340">-(BA334+BA332)/BA323</f>
        <v/>
      </c>
      <c r="BB340" s="72" t="n"/>
      <c r="BC340" s="69" t="n"/>
      <c r="BD340" s="69" t="n"/>
      <c r="BE340" s="69" t="n"/>
      <c r="BF340" s="761">
        <f t="array" ref="BF340">-(BF334+BF332)/BF323</f>
        <v/>
      </c>
      <c r="BG340" s="66" t="n"/>
      <c r="BH340" s="66" t="n"/>
      <c r="BI340" s="66" t="n"/>
      <c r="BJ340" s="66" t="n"/>
      <c r="BK340" s="760">
        <f t="array" ref="BK340">-(BK334+BK332)/BK323</f>
        <v/>
      </c>
      <c r="BL340" s="66" t="n"/>
      <c r="BM340" s="66" t="n"/>
      <c r="BN340" s="66" t="n"/>
      <c r="BO340" s="66" t="n"/>
      <c r="BP340" s="760">
        <f t="array" ref="BP340">-(BP334+BP332)/BP323</f>
        <v/>
      </c>
      <c r="BQ340" s="66" t="n"/>
      <c r="BR340" s="66" t="n"/>
      <c r="BS340" s="66" t="n"/>
      <c r="BT340" s="66" t="n"/>
      <c r="BU340" s="760">
        <f t="array" ref="BU340">-(BU334+BU332)/BU323</f>
        <v/>
      </c>
      <c r="BV340" s="66" t="n"/>
      <c r="BW340" s="66" t="n"/>
      <c r="BX340" s="66" t="n"/>
      <c r="BY340" s="66" t="n"/>
      <c r="BZ340" s="760">
        <f t="array" ref="BZ340">-(BZ334+BZ332)/BZ323</f>
        <v/>
      </c>
      <c r="CA340" s="462" t="inlineStr">
        <is>
          <t>Text_286</t>
        </is>
      </c>
      <c r="CB340" s="401" t="n"/>
      <c r="CC340" s="701" t="n"/>
      <c r="CD340" s="701" t="n"/>
      <c r="CE340" s="701" t="n"/>
      <c r="CF340" s="701" t="n"/>
      <c r="CG340" s="701" t="n"/>
      <c r="CH340" s="701" t="n"/>
      <c r="CI340" s="701" t="n"/>
      <c r="CJ340" s="701" t="n"/>
      <c r="CK340" s="701" t="n"/>
      <c r="CL340" s="701" t="n"/>
      <c r="CM340" s="701" t="n"/>
      <c r="CN340" s="701" t="n"/>
      <c r="CO340" s="701" t="n"/>
      <c r="CP340" s="701" t="n"/>
      <c r="CQ340" s="701" t="n"/>
      <c r="CR340" s="701" t="n"/>
      <c r="CS340" s="701" t="n"/>
      <c r="CT340" s="701" t="n"/>
      <c r="CU340" s="701" t="n"/>
      <c r="CV340" s="701" t="n"/>
      <c r="CW340" s="30" t="n"/>
    </row>
    <row r="341" hidden="1" ht="12.75" customHeight="1" s="1676">
      <c r="A341" s="31" t="n"/>
      <c r="B341" s="65" t="inlineStr">
        <is>
          <t>Text_287</t>
        </is>
      </c>
      <c r="C341" s="66" t="n"/>
      <c r="D341" s="66" t="n"/>
      <c r="E341" s="66" t="n"/>
      <c r="F341" s="66" t="n"/>
      <c r="G341" s="66" t="n"/>
      <c r="H341" s="1734" t="n"/>
      <c r="I341" s="66" t="n"/>
      <c r="J341" s="66" t="n"/>
      <c r="K341" s="66" t="n"/>
      <c r="L341" s="66" t="n"/>
      <c r="M341" s="1734">
        <f t="array" ref="M341">M342-M332-M334-M331</f>
        <v/>
      </c>
      <c r="N341" s="66" t="n"/>
      <c r="O341" s="66" t="n"/>
      <c r="P341" s="66" t="n"/>
      <c r="Q341" s="66" t="n"/>
      <c r="R341" s="1734">
        <f t="array" ref="R341">R342-R332-R334-R331</f>
        <v/>
      </c>
      <c r="S341" s="66" t="n"/>
      <c r="T341" s="66" t="n"/>
      <c r="U341" s="66" t="n"/>
      <c r="V341" s="66" t="n"/>
      <c r="W341" s="1734">
        <f t="array" ref="W341">W342-W332-W334-W331</f>
        <v/>
      </c>
      <c r="X341" s="1734" t="n"/>
      <c r="Y341" s="1734" t="n"/>
      <c r="Z341" s="1734" t="n"/>
      <c r="AA341" s="66" t="n"/>
      <c r="AB341" s="1734">
        <f t="array" ref="AB341">AB342-AB332-AB334-AB331</f>
        <v/>
      </c>
      <c r="AC341" s="1734" t="n"/>
      <c r="AD341" s="1734" t="n"/>
      <c r="AE341" s="1734" t="n"/>
      <c r="AF341" s="66" t="n"/>
      <c r="AG341" s="1734">
        <f t="array" ref="AG341">AG342-AG332-AG334-AG331</f>
        <v/>
      </c>
      <c r="AH341" s="1734" t="n"/>
      <c r="AI341" s="1734" t="n"/>
      <c r="AJ341" s="1734" t="n"/>
      <c r="AK341" s="66" t="n"/>
      <c r="AL341" s="1734">
        <f t="array" ref="AL341">AL342-AL332-AL334-AL331</f>
        <v/>
      </c>
      <c r="AM341" s="1734">
        <f t="array" ref="AM341">AM342-AM332-AM334-AM331</f>
        <v/>
      </c>
      <c r="AN341" s="1734">
        <f t="array" ref="AN341">AN342-AN332-AN334-AN331</f>
        <v/>
      </c>
      <c r="AO341" s="1734">
        <f t="array" ref="AO341">AO342-AO332-AO334-AO331</f>
        <v/>
      </c>
      <c r="AP341" s="1734">
        <f t="array" ref="AP341">AQ341-AO341-AN341-AM341</f>
        <v/>
      </c>
      <c r="AQ341" s="1734">
        <f t="array" ref="AQ341">AQ342-AQ332-AQ334-AQ331</f>
        <v/>
      </c>
      <c r="AR341" s="1734">
        <f t="array" ref="AR341">AR342-AR332-AR334-AR331</f>
        <v/>
      </c>
      <c r="AS341" s="1734">
        <f t="array" ref="AS341">AS342-AS332-AS334-AS331</f>
        <v/>
      </c>
      <c r="AT341" s="1734">
        <f t="array" ref="AT341">AT342-AT332-AT334-AT331</f>
        <v/>
      </c>
      <c r="AU341" s="1734">
        <f t="array" ref="AU341">AV341-AT341-AS341-AR341</f>
        <v/>
      </c>
      <c r="AV341" s="1734">
        <f t="array" ref="AV341">AV342-AV332-AV334-AV331</f>
        <v/>
      </c>
      <c r="AW341" s="2079">
        <f t="array" ref="AW341">AW342-AW332-AW334-AW331</f>
        <v/>
      </c>
      <c r="AX341" s="1964">
        <f t="array" ref="AX341">AX342-AX332-AX334-AX331</f>
        <v/>
      </c>
      <c r="AY341" s="1964">
        <f t="array" ref="AY341">AY342-AY332-AY334-AY331</f>
        <v/>
      </c>
      <c r="AZ341" s="1964">
        <f t="array" ref="AZ341">AZ342-AZ332-AZ334-AZ331</f>
        <v/>
      </c>
      <c r="BA341" s="1733">
        <f t="array" ref="BA341">BA342-BA332-BA334-BA331</f>
        <v/>
      </c>
      <c r="BB341" s="2079">
        <f t="array" ref="BB341">BB342-BB332-BB334-BB331</f>
        <v/>
      </c>
      <c r="BC341" s="1964">
        <f t="array" ref="BC341">BC342-BC332-BC334-BC331</f>
        <v/>
      </c>
      <c r="BD341" s="69" t="n"/>
      <c r="BE341" s="69" t="n"/>
      <c r="BF341" s="2102">
        <f t="array" ref="BF341">BC341+BB341</f>
        <v/>
      </c>
      <c r="BG341" s="66" t="n"/>
      <c r="BH341" s="66" t="n"/>
      <c r="BI341" s="66" t="n"/>
      <c r="BJ341" s="66" t="n"/>
      <c r="BK341" s="2103" t="n"/>
      <c r="BL341" s="66" t="n"/>
      <c r="BM341" s="66" t="n"/>
      <c r="BN341" s="66" t="n"/>
      <c r="BO341" s="66" t="n"/>
      <c r="BP341" s="2103" t="n"/>
      <c r="BQ341" s="66" t="n"/>
      <c r="BR341" s="66" t="n"/>
      <c r="BS341" s="66" t="n"/>
      <c r="BT341" s="66" t="n"/>
      <c r="BU341" s="2103" t="n"/>
      <c r="BV341" s="66" t="n"/>
      <c r="BW341" s="66" t="n"/>
      <c r="BX341" s="66" t="n"/>
      <c r="BY341" s="66" t="n"/>
      <c r="BZ341" s="2103" t="n"/>
      <c r="CA341" s="762" t="n"/>
      <c r="CB341" s="456" t="n"/>
      <c r="CC341" s="701" t="n"/>
      <c r="CD341" s="701" t="n"/>
      <c r="CE341" s="701" t="n"/>
      <c r="CF341" s="701" t="n"/>
      <c r="CG341" s="701" t="n"/>
      <c r="CH341" s="701" t="n"/>
      <c r="CI341" s="701" t="n"/>
      <c r="CJ341" s="701" t="n"/>
      <c r="CK341" s="701" t="n"/>
      <c r="CL341" s="701" t="n"/>
      <c r="CM341" s="701" t="n"/>
      <c r="CN341" s="701" t="n"/>
      <c r="CO341" s="701" t="n"/>
      <c r="CP341" s="701" t="n"/>
      <c r="CQ341" s="701" t="n"/>
      <c r="CR341" s="701" t="n"/>
      <c r="CS341" s="701" t="n"/>
      <c r="CT341" s="701" t="n"/>
      <c r="CU341" s="701" t="n"/>
      <c r="CV341" s="701" t="n"/>
      <c r="CW341" s="30" t="n"/>
    </row>
    <row r="342" ht="12.75" customHeight="1" s="1676">
      <c r="A342" s="13" t="n"/>
      <c r="B342" s="14" t="inlineStr">
        <is>
          <t>Text_288</t>
        </is>
      </c>
      <c r="C342" s="711" t="n"/>
      <c r="D342" s="1961" t="n"/>
      <c r="E342" s="1961" t="n"/>
      <c r="F342" s="1961" t="n"/>
      <c r="G342" s="1961" t="n"/>
      <c r="H342" s="1961" t="n"/>
      <c r="I342" s="1961" t="n">
        <v>-249.280791108368</v>
      </c>
      <c r="J342" s="1961" t="n">
        <v>-110.117301547907</v>
      </c>
      <c r="K342" s="1961" t="n">
        <v>-132.477104039466</v>
      </c>
      <c r="L342" s="1961" t="n">
        <v>-108.222547537864</v>
      </c>
      <c r="M342" s="1961" t="n">
        <v>-639.928226580761</v>
      </c>
      <c r="N342" s="1961" t="n">
        <v>-134.57183279503</v>
      </c>
      <c r="O342" s="1961" t="n">
        <v>-118.341997937137</v>
      </c>
      <c r="P342" s="1961" t="n">
        <v>-121.028165850115</v>
      </c>
      <c r="Q342" s="1961" t="n">
        <v>-106.002606788451</v>
      </c>
      <c r="R342" s="1961" t="n">
        <v>-494.944853661231</v>
      </c>
      <c r="S342" s="1961" t="n">
        <v>-270.68292503218</v>
      </c>
      <c r="T342" s="1961" t="n">
        <v>-381.14285090036</v>
      </c>
      <c r="U342" s="1961" t="n">
        <v>-202.887738503739</v>
      </c>
      <c r="V342" s="1961" t="n">
        <v>-392.48773232487</v>
      </c>
      <c r="W342" s="1961" t="n">
        <v>-1266.82439693189</v>
      </c>
      <c r="X342" s="1961" t="n">
        <v>-486.073659605725</v>
      </c>
      <c r="Y342" s="1961" t="n">
        <v>-415.944078537562</v>
      </c>
      <c r="Z342" s="1961" t="n">
        <v>741.148607836207</v>
      </c>
      <c r="AA342" s="1961" t="n">
        <v>-393.206451930863</v>
      </c>
      <c r="AB342" s="1961" t="n">
        <v>-344.823744038212</v>
      </c>
      <c r="AC342" s="1961" t="n">
        <v>-361.930596507371</v>
      </c>
      <c r="AD342" s="1961" t="n">
        <v>-416.653374058789</v>
      </c>
      <c r="AE342" s="1961" t="n">
        <v>-503.176040525224</v>
      </c>
      <c r="AF342" s="1961" t="n">
        <v>-66.6077891605056</v>
      </c>
      <c r="AG342" s="1961" t="n">
        <v>-1355.72995716591</v>
      </c>
      <c r="AH342" s="1961" t="n">
        <v>-373.384923518578</v>
      </c>
      <c r="AI342" s="1961" t="n">
        <v>-295.229543702644</v>
      </c>
      <c r="AJ342" s="1961" t="n">
        <v>-519.444082781445</v>
      </c>
      <c r="AK342" s="1961" t="n">
        <v>-443.317455723378</v>
      </c>
      <c r="AL342" s="1961" t="n">
        <v>-1199.24253653172</v>
      </c>
      <c r="AM342" s="1961" t="n">
        <v>-642.25901059312</v>
      </c>
      <c r="AN342" s="1961" t="n">
        <v>-457.68706719838</v>
      </c>
      <c r="AO342" s="1961" t="n">
        <v>-439.242769916793</v>
      </c>
      <c r="AP342" s="1961" t="n">
        <v>-497.355443696864</v>
      </c>
      <c r="AQ342" s="1961" t="n">
        <v>-2350.71174251361</v>
      </c>
      <c r="AR342" s="1961" t="n">
        <v>-758.399615951759</v>
      </c>
      <c r="AS342" s="1961" t="n">
        <v>-600.954302639435</v>
      </c>
      <c r="AT342" s="1961" t="n">
        <v>-860.776568136499</v>
      </c>
      <c r="AU342" s="1961" t="n">
        <v>-502.370123198263</v>
      </c>
      <c r="AV342" s="1961" t="n">
        <v>-2682.04188316267</v>
      </c>
      <c r="AW342" s="1962" t="n">
        <v>-598.261402096855</v>
      </c>
      <c r="AX342" s="1963" t="n">
        <v>-571.765721587497</v>
      </c>
      <c r="AY342" s="1963" t="n">
        <v>152.881863645495</v>
      </c>
      <c r="AZ342" s="1963" t="n">
        <v>-512.666349712286</v>
      </c>
      <c r="BA342" s="1810">
        <f t="array" ref="BA342">AZ342+AY342+AX342+AW342</f>
        <v/>
      </c>
      <c r="BB342" s="1962" t="n">
        <v>-697.033375694609</v>
      </c>
      <c r="BC342" s="1963" t="n">
        <v>-1491.01009900949</v>
      </c>
      <c r="BD342" s="710" t="n"/>
      <c r="BE342" s="710" t="n"/>
      <c r="BF342" s="1810">
        <f t="array" ref="BF342">BF341+BF332+BF334+BF331</f>
        <v/>
      </c>
      <c r="BG342" s="711" t="n"/>
      <c r="BH342" s="711" t="n"/>
      <c r="BI342" s="711" t="n"/>
      <c r="BJ342" s="711" t="n"/>
      <c r="BK342" s="1807">
        <f t="array" ref="BK342">BK341+BK332+BK334+BK331</f>
        <v/>
      </c>
      <c r="BL342" s="711" t="n"/>
      <c r="BM342" s="711" t="n"/>
      <c r="BN342" s="711" t="n"/>
      <c r="BO342" s="711" t="n"/>
      <c r="BP342" s="1807">
        <f t="array" ref="BP342">BP341+BP332+BP334+BP331</f>
        <v/>
      </c>
      <c r="BQ342" s="711" t="n"/>
      <c r="BR342" s="711" t="n"/>
      <c r="BS342" s="711" t="n"/>
      <c r="BT342" s="711" t="n"/>
      <c r="BU342" s="1807">
        <f t="array" ref="BU342">BU341+BU332+BU334+BU331</f>
        <v/>
      </c>
      <c r="BV342" s="711" t="n"/>
      <c r="BW342" s="711" t="n"/>
      <c r="BX342" s="711" t="n"/>
      <c r="BY342" s="711" t="n"/>
      <c r="BZ342" s="1807">
        <f t="array" ref="BZ342">BZ341+BZ332+BZ334+BZ331</f>
        <v/>
      </c>
      <c r="CA342" s="711" t="n"/>
      <c r="CB342" s="456" t="n"/>
      <c r="CC342" s="701" t="n"/>
      <c r="CD342" s="701" t="n"/>
      <c r="CE342" s="701" t="n"/>
      <c r="CF342" s="701" t="n"/>
      <c r="CG342" s="701" t="n"/>
      <c r="CH342" s="701" t="n"/>
      <c r="CI342" s="701" t="n"/>
      <c r="CJ342" s="701" t="n"/>
      <c r="CK342" s="701" t="n"/>
      <c r="CL342" s="701" t="n"/>
      <c r="CM342" s="701" t="n"/>
      <c r="CN342" s="701" t="n"/>
      <c r="CO342" s="701" t="n"/>
      <c r="CP342" s="701" t="n"/>
      <c r="CQ342" s="701" t="n"/>
      <c r="CR342" s="701" t="n"/>
      <c r="CS342" s="701" t="n"/>
      <c r="CT342" s="701" t="n"/>
      <c r="CU342" s="701" t="n"/>
      <c r="CV342" s="701" t="n"/>
      <c r="CW342" s="30" t="n"/>
    </row>
    <row r="343" ht="12.75" customHeight="1" s="1676">
      <c r="A343" s="31" t="n"/>
      <c r="B343" s="65" t="inlineStr">
        <is>
          <t>Text_289</t>
        </is>
      </c>
      <c r="C343" s="66" t="n"/>
      <c r="D343" s="1734">
        <f t="array" ref="D343">D342+D330+D318</f>
        <v/>
      </c>
      <c r="E343" s="1734">
        <f t="array" ref="E343">E342+E330+E318</f>
        <v/>
      </c>
      <c r="F343" s="1734">
        <f t="array" ref="F343">F342+F330+F318</f>
        <v/>
      </c>
      <c r="G343" s="1734">
        <f t="array" ref="G343">G342+G330+G318</f>
        <v/>
      </c>
      <c r="H343" s="1734" t="n"/>
      <c r="I343" s="1734">
        <f t="array" ref="I343">I342+I330+I318</f>
        <v/>
      </c>
      <c r="J343" s="1734">
        <f t="array" ref="J343">J342+J330+J318</f>
        <v/>
      </c>
      <c r="K343" s="1734">
        <f t="array" ref="K343">K342+K330+K318</f>
        <v/>
      </c>
      <c r="L343" s="1734">
        <f t="array" ref="L343">L342+L330+L318</f>
        <v/>
      </c>
      <c r="M343" s="1734">
        <f t="array" ref="M343">M342+M330+M318</f>
        <v/>
      </c>
      <c r="N343" s="1734" t="n"/>
      <c r="O343" s="1734" t="n"/>
      <c r="P343" s="1734" t="n"/>
      <c r="Q343" s="1734" t="n"/>
      <c r="R343" s="1734">
        <f t="array" ref="R343">R342+R330+R318</f>
        <v/>
      </c>
      <c r="S343" s="1734" t="n"/>
      <c r="T343" s="1734" t="n"/>
      <c r="U343" s="1734" t="n"/>
      <c r="V343" s="1734" t="n"/>
      <c r="W343" s="1734">
        <f t="array" ref="W343">W342+W330+W318</f>
        <v/>
      </c>
      <c r="X343" s="1734" t="n"/>
      <c r="Y343" s="1734" t="n"/>
      <c r="Z343" s="1734" t="n"/>
      <c r="AA343" s="1734" t="n"/>
      <c r="AB343" s="1734">
        <f t="array" ref="AB343">AB342+AB330+AB318</f>
        <v/>
      </c>
      <c r="AC343" s="1734" t="n"/>
      <c r="AD343" s="1734" t="n"/>
      <c r="AE343" s="1734" t="n"/>
      <c r="AF343" s="1734" t="n"/>
      <c r="AG343" s="1734">
        <f t="array" ref="AG343">AG342+AG330+AG318</f>
        <v/>
      </c>
      <c r="AH343" s="1734" t="n"/>
      <c r="AI343" s="1734" t="n"/>
      <c r="AJ343" s="1734" t="n"/>
      <c r="AK343" s="1734" t="n"/>
      <c r="AL343" s="1734">
        <f t="array" ref="AL343">AL342+AL330+AL318</f>
        <v/>
      </c>
      <c r="AM343" s="1734">
        <f t="array" ref="AM343">AM342+AM330+AM318</f>
        <v/>
      </c>
      <c r="AN343" s="1734">
        <f t="array" ref="AN343">AN342+AN330+AN318</f>
        <v/>
      </c>
      <c r="AO343" s="1734">
        <f t="array" ref="AO343">AO342+AO330+AO318</f>
        <v/>
      </c>
      <c r="AP343" s="1734">
        <f t="array" ref="AP343">AP342+AP330+AP318</f>
        <v/>
      </c>
      <c r="AQ343" s="1734">
        <f t="array" ref="AQ343">AQ342+AQ330+AQ318</f>
        <v/>
      </c>
      <c r="AR343" s="1734">
        <f t="array" ref="AR343">AR342+AR330+AR318</f>
        <v/>
      </c>
      <c r="AS343" s="1734">
        <f t="array" ref="AS343">AS342+AS330+AS318</f>
        <v/>
      </c>
      <c r="AT343" s="1734">
        <f t="array" ref="AT343">AT342+AT330+AT318</f>
        <v/>
      </c>
      <c r="AU343" s="1734">
        <f t="array" ref="AU343">AU342+AU330+AU318</f>
        <v/>
      </c>
      <c r="AV343" s="1734">
        <f t="array" ref="AV343">AV342+AV330+AV318</f>
        <v/>
      </c>
      <c r="AW343" s="2079">
        <f t="array" ref="AW343">AW342+AW330+AW318</f>
        <v/>
      </c>
      <c r="AX343" s="1964">
        <f t="array" ref="AX343">AX342+AX330+AX318</f>
        <v/>
      </c>
      <c r="AY343" s="1964">
        <f t="array" ref="AY343">AY342+AY330+AY318</f>
        <v/>
      </c>
      <c r="AZ343" s="1964">
        <f t="array" ref="AZ343">BA343-AY343-AX343-AW343</f>
        <v/>
      </c>
      <c r="BA343" s="1733">
        <f t="array" ref="BA343">BA342+BA330+BA318</f>
        <v/>
      </c>
      <c r="BB343" s="2079">
        <f t="array" ref="BB343">BB342+BB330+BB318</f>
        <v/>
      </c>
      <c r="BC343" s="1964">
        <f t="array" ref="BC343">BC342+BC330+BC318</f>
        <v/>
      </c>
      <c r="BD343" s="69" t="n"/>
      <c r="BE343" s="69" t="n"/>
      <c r="BF343" s="1733">
        <f t="array" ref="BF343">BF342+BF330+BF318</f>
        <v/>
      </c>
      <c r="BG343" s="66" t="n"/>
      <c r="BH343" s="66" t="n"/>
      <c r="BI343" s="66" t="n"/>
      <c r="BJ343" s="66" t="n"/>
      <c r="BK343" s="1734">
        <f t="array" ref="BK343">BK342+BK330+BK318</f>
        <v/>
      </c>
      <c r="BL343" s="66" t="n"/>
      <c r="BM343" s="66" t="n"/>
      <c r="BN343" s="66" t="n"/>
      <c r="BO343" s="66" t="n"/>
      <c r="BP343" s="1734">
        <f t="array" ref="BP343">BP342+BP330+BP318</f>
        <v/>
      </c>
      <c r="BQ343" s="66" t="n"/>
      <c r="BR343" s="66" t="n"/>
      <c r="BS343" s="66" t="n"/>
      <c r="BT343" s="66" t="n"/>
      <c r="BU343" s="1734">
        <f t="array" ref="BU343">BU342+BU330+BU318</f>
        <v/>
      </c>
      <c r="BV343" s="66" t="n"/>
      <c r="BW343" s="66" t="n"/>
      <c r="BX343" s="66" t="n"/>
      <c r="BY343" s="66" t="n"/>
      <c r="BZ343" s="1734">
        <f t="array" ref="BZ343">BZ342+BZ330+BZ318</f>
        <v/>
      </c>
      <c r="CA343" s="66" t="n"/>
      <c r="CB343" s="456" t="n"/>
      <c r="CC343" s="701" t="n"/>
      <c r="CD343" s="701" t="n"/>
      <c r="CE343" s="701" t="n"/>
      <c r="CF343" s="701" t="n"/>
      <c r="CG343" s="701" t="n"/>
      <c r="CH343" s="701" t="n"/>
      <c r="CI343" s="701" t="n"/>
      <c r="CJ343" s="701" t="n"/>
      <c r="CK343" s="701" t="n"/>
      <c r="CL343" s="701" t="n"/>
      <c r="CM343" s="701" t="n"/>
      <c r="CN343" s="701" t="n"/>
      <c r="CO343" s="701" t="n"/>
      <c r="CP343" s="701" t="n"/>
      <c r="CQ343" s="701" t="n"/>
      <c r="CR343" s="701" t="n"/>
      <c r="CS343" s="701" t="n"/>
      <c r="CT343" s="701" t="n"/>
      <c r="CU343" s="701" t="n"/>
      <c r="CV343" s="701" t="n"/>
      <c r="CW343" s="30" t="n"/>
    </row>
    <row r="344" ht="12.75" customHeight="1" s="1676">
      <c r="A344" s="31" t="n"/>
      <c r="B344" s="763" t="inlineStr">
        <is>
          <t>Text_290</t>
        </is>
      </c>
      <c r="C344" s="33" t="n"/>
      <c r="D344" s="1971" t="n"/>
      <c r="E344" s="1971" t="n"/>
      <c r="F344" s="1971" t="n"/>
      <c r="G344" s="1971" t="n"/>
      <c r="H344" s="1971" t="n"/>
      <c r="I344" s="1971" t="n">
        <v>-5.15037337590241</v>
      </c>
      <c r="J344" s="1971" t="n">
        <v>-0.9140938594893711</v>
      </c>
      <c r="K344" s="1971" t="n">
        <v>5.55877589408691</v>
      </c>
      <c r="L344" s="1971" t="n">
        <v>2.70676030950019</v>
      </c>
      <c r="M344" s="1971" t="n">
        <v>2.88622572845686</v>
      </c>
      <c r="N344" s="1971" t="n">
        <v>2.06802296212774</v>
      </c>
      <c r="O344" s="1971" t="n">
        <v>-11.0273169813404</v>
      </c>
      <c r="P344" s="1971" t="n">
        <v>5.28470252290329</v>
      </c>
      <c r="Q344" s="1971" t="n">
        <v>1.96911900381186</v>
      </c>
      <c r="R344" s="1971" t="n">
        <v>-1.4813051620508</v>
      </c>
      <c r="S344" s="1971" t="n">
        <v>1.18949185054178</v>
      </c>
      <c r="T344" s="1971" t="n">
        <v>3.11128330854749</v>
      </c>
      <c r="U344" s="1971" t="n">
        <v>7.0529615367046</v>
      </c>
      <c r="V344" s="1971" t="n">
        <v>-8.43274404004705</v>
      </c>
      <c r="W344" s="1971" t="n">
        <v>0.699152181452433</v>
      </c>
      <c r="X344" s="1971" t="n">
        <v>-1.38271774716641</v>
      </c>
      <c r="Y344" s="1971" t="n">
        <v>1.06297472218681</v>
      </c>
      <c r="Z344" s="1971" t="n">
        <v>0.202868936443489</v>
      </c>
      <c r="AA344" s="1971" t="n">
        <v>0.07489575126524931</v>
      </c>
      <c r="AB344" s="1971" t="n">
        <v>-0.0329384021727095</v>
      </c>
      <c r="AC344" s="1971" t="n">
        <v>-3.69570463757735</v>
      </c>
      <c r="AD344" s="1971" t="n">
        <v>3.23973517742414</v>
      </c>
      <c r="AE344" s="1971" t="n">
        <v>-4.13391201626496</v>
      </c>
      <c r="AF344" s="1971" t="n">
        <v>2.62414364179956</v>
      </c>
      <c r="AG344" s="1971" t="n">
        <v>-1.88572537629474</v>
      </c>
      <c r="AH344" s="1971" t="n">
        <v>8.477904521723611</v>
      </c>
      <c r="AI344" s="1971" t="n">
        <v>12.5548877477748</v>
      </c>
      <c r="AJ344" s="1971" t="n">
        <v>-10.7279284484719</v>
      </c>
      <c r="AK344" s="1971" t="n">
        <v>3.53793557424336</v>
      </c>
      <c r="AL344" s="1971" t="n">
        <v>13.0827489206686</v>
      </c>
      <c r="AM344" s="1971" t="n">
        <v>-4.81882422685268</v>
      </c>
      <c r="AN344" s="1971" t="n">
        <v>0.780890912703415</v>
      </c>
      <c r="AO344" s="1971" t="n">
        <v>-4.48900859402191</v>
      </c>
      <c r="AP344" s="1971" t="n">
        <v>-22.7279978652265</v>
      </c>
      <c r="AQ344" s="1971" t="n">
        <v>-28.3207308896713</v>
      </c>
      <c r="AR344" s="1971" t="n">
        <v>-20.1158772397821</v>
      </c>
      <c r="AS344" s="1971" t="n">
        <v>17.8738364079665</v>
      </c>
      <c r="AT344" s="1971" t="n">
        <v>2.41063958805106</v>
      </c>
      <c r="AU344" s="1997" t="n">
        <v>-16.2841578487486</v>
      </c>
      <c r="AV344" s="1971" t="n">
        <v>-13.601848505816</v>
      </c>
      <c r="AW344" s="2034" t="n">
        <v>-2.97556990126969</v>
      </c>
      <c r="AX344" s="2035" t="n">
        <v>10.9919036245018</v>
      </c>
      <c r="AY344" s="2035" t="n">
        <v>-7.34399522987102</v>
      </c>
      <c r="AZ344" s="2035" t="n">
        <v>-6.24257800032056</v>
      </c>
      <c r="BA344" s="2105">
        <f t="array" ref="BA344">AZ344+AY344+AX344+AW344</f>
        <v/>
      </c>
      <c r="BB344" s="2034" t="n">
        <v>14.6989068745714</v>
      </c>
      <c r="BC344" s="2035" t="n">
        <v>-20.6232925778569</v>
      </c>
      <c r="BD344" s="266" t="n"/>
      <c r="BE344" s="266" t="n"/>
      <c r="BF344" s="2106">
        <f t="array" ref="BF344">BC344+BB344</f>
        <v/>
      </c>
      <c r="BG344" s="33" t="n"/>
      <c r="BH344" s="33" t="n"/>
      <c r="BI344" s="33" t="n"/>
      <c r="BJ344" s="33" t="n"/>
      <c r="BK344" s="2075" t="n"/>
      <c r="BL344" s="33" t="n"/>
      <c r="BM344" s="33" t="n"/>
      <c r="BN344" s="33" t="n"/>
      <c r="BO344" s="33" t="n"/>
      <c r="BP344" s="2075" t="n"/>
      <c r="BQ344" s="33" t="n"/>
      <c r="BR344" s="33" t="n"/>
      <c r="BS344" s="33" t="n"/>
      <c r="BT344" s="33" t="n"/>
      <c r="BU344" s="2075" t="n"/>
      <c r="BV344" s="33" t="n"/>
      <c r="BW344" s="33" t="n"/>
      <c r="BX344" s="33" t="n"/>
      <c r="BY344" s="33" t="n"/>
      <c r="BZ344" s="2075" t="n"/>
      <c r="CA344" s="746" t="n"/>
      <c r="CB344" s="456" t="n"/>
      <c r="CC344" s="701" t="n"/>
      <c r="CD344" s="701" t="n"/>
      <c r="CE344" s="701" t="n"/>
      <c r="CF344" s="701" t="n"/>
      <c r="CG344" s="701" t="n"/>
      <c r="CH344" s="701" t="n"/>
      <c r="CI344" s="701" t="n"/>
      <c r="CJ344" s="701" t="n"/>
      <c r="CK344" s="701" t="n"/>
      <c r="CL344" s="701" t="n"/>
      <c r="CM344" s="701" t="n"/>
      <c r="CN344" s="701" t="n"/>
      <c r="CO344" s="701" t="n"/>
      <c r="CP344" s="701" t="n"/>
      <c r="CQ344" s="701" t="n"/>
      <c r="CR344" s="701" t="n"/>
      <c r="CS344" s="701" t="n"/>
      <c r="CT344" s="701" t="n"/>
      <c r="CU344" s="701" t="n"/>
      <c r="CV344" s="701" t="n"/>
      <c r="CW344" s="30" t="n"/>
    </row>
    <row r="345" hidden="1" ht="12.75" customHeight="1" s="1676">
      <c r="A345" s="31" t="n"/>
      <c r="B345" s="65" t="inlineStr">
        <is>
          <t>Text_291</t>
        </is>
      </c>
      <c r="C345" s="699" t="n"/>
      <c r="D345" s="699" t="n"/>
      <c r="E345" s="699" t="n"/>
      <c r="F345" s="699" t="n"/>
      <c r="G345" s="699" t="n"/>
      <c r="H345" s="1745" t="n"/>
      <c r="I345" s="699" t="n"/>
      <c r="J345" s="699" t="n"/>
      <c r="K345" s="699" t="n"/>
      <c r="L345" s="699" t="n"/>
      <c r="M345" s="2116" t="n"/>
      <c r="N345" s="699" t="n"/>
      <c r="O345" s="699" t="n"/>
      <c r="P345" s="699" t="n"/>
      <c r="Q345" s="699" t="n"/>
      <c r="R345" s="1745">
        <f t="array" ref="R345">M351</f>
        <v/>
      </c>
      <c r="S345" s="1745" t="n"/>
      <c r="T345" s="1745" t="n"/>
      <c r="U345" s="1745" t="n"/>
      <c r="V345" s="1745" t="n"/>
      <c r="W345" s="1745">
        <f t="array" ref="W345">R351</f>
        <v/>
      </c>
      <c r="X345" s="1745" t="n"/>
      <c r="Y345" s="1745" t="n"/>
      <c r="Z345" s="1745" t="n"/>
      <c r="AA345" s="1745" t="n"/>
      <c r="AB345" s="1745">
        <f t="array" ref="AB345">W351</f>
        <v/>
      </c>
      <c r="AC345" s="1745" t="n"/>
      <c r="AD345" s="1745" t="n"/>
      <c r="AE345" s="1745" t="n"/>
      <c r="AF345" s="1745" t="n"/>
      <c r="AG345" s="1745">
        <f t="array" ref="AG345">AB351</f>
        <v/>
      </c>
      <c r="AH345" s="1745">
        <f t="array" ref="AH345">AG351</f>
        <v/>
      </c>
      <c r="AI345" s="1745">
        <f t="array" ref="AI345">AH351</f>
        <v/>
      </c>
      <c r="AJ345" s="1745">
        <f t="array" ref="AJ345">AI351</f>
        <v/>
      </c>
      <c r="AK345" s="1745">
        <f t="array" ref="AK345">AJ351</f>
        <v/>
      </c>
      <c r="AL345" s="1745">
        <f t="array" ref="AL345">AG351</f>
        <v/>
      </c>
      <c r="AM345" s="1745">
        <f t="array" ref="AM345">AL351</f>
        <v/>
      </c>
      <c r="AN345" s="1745">
        <f t="array" ref="AN345">AM351</f>
        <v/>
      </c>
      <c r="AO345" s="1745">
        <f t="array" ref="AO345">AN351</f>
        <v/>
      </c>
      <c r="AP345" s="1745">
        <f t="array" ref="AP345">AO351</f>
        <v/>
      </c>
      <c r="AQ345" s="1745">
        <f t="array" ref="AQ345">AL351</f>
        <v/>
      </c>
      <c r="AR345" s="1745">
        <f t="array" ref="AR345">AQ351</f>
        <v/>
      </c>
      <c r="AS345" s="1745">
        <f t="array" ref="AS345">AR351</f>
        <v/>
      </c>
      <c r="AT345" s="1745">
        <f t="array" ref="AT345">AS351</f>
        <v/>
      </c>
      <c r="AU345" s="1734">
        <f t="array" ref="AU345">AT351</f>
        <v/>
      </c>
      <c r="AV345" s="1745">
        <f t="array" ref="AV345">AQ351</f>
        <v/>
      </c>
      <c r="AW345" s="1873">
        <f t="array" ref="AW345">AV351</f>
        <v/>
      </c>
      <c r="AX345" s="1874">
        <f t="array" ref="AX345">AW351</f>
        <v/>
      </c>
      <c r="AY345" s="1874">
        <f t="array" ref="AY345">AX351</f>
        <v/>
      </c>
      <c r="AZ345" s="1874">
        <f t="array" ref="AZ345">AY351</f>
        <v/>
      </c>
      <c r="BA345" s="1748">
        <f t="array" ref="BA345">AV351</f>
        <v/>
      </c>
      <c r="BB345" s="1873">
        <f t="array" ref="BB345">BA351</f>
        <v/>
      </c>
      <c r="BC345" s="1874">
        <f t="array" ref="BC345">BB351</f>
        <v/>
      </c>
      <c r="BD345" s="701" t="n"/>
      <c r="BE345" s="701" t="n"/>
      <c r="BF345" s="1748">
        <f t="array" ref="BF345">BA347</f>
        <v/>
      </c>
      <c r="BG345" s="699" t="n"/>
      <c r="BH345" s="699" t="n"/>
      <c r="BI345" s="699" t="n"/>
      <c r="BJ345" s="699" t="n"/>
      <c r="BK345" s="1745">
        <f t="array" ref="BK345">BF347</f>
        <v/>
      </c>
      <c r="BL345" s="699" t="n"/>
      <c r="BM345" s="699" t="n"/>
      <c r="BN345" s="699" t="n"/>
      <c r="BO345" s="699" t="n"/>
      <c r="BP345" s="1745">
        <f t="array" ref="BP345">BK347</f>
        <v/>
      </c>
      <c r="BQ345" s="699" t="n"/>
      <c r="BR345" s="699" t="n"/>
      <c r="BS345" s="699" t="n"/>
      <c r="BT345" s="699" t="n"/>
      <c r="BU345" s="1745">
        <f t="array" ref="BU345">BP347</f>
        <v/>
      </c>
      <c r="BV345" s="699" t="n"/>
      <c r="BW345" s="699" t="n"/>
      <c r="BX345" s="699" t="n"/>
      <c r="BY345" s="699" t="n"/>
      <c r="BZ345" s="1745">
        <f t="array" ref="BZ345">BU347</f>
        <v/>
      </c>
      <c r="CA345" s="699" t="n"/>
      <c r="CB345" s="456" t="n"/>
      <c r="CC345" s="701" t="n"/>
      <c r="CD345" s="701" t="n"/>
      <c r="CE345" s="701" t="n"/>
      <c r="CF345" s="701" t="n"/>
      <c r="CG345" s="701" t="n"/>
      <c r="CH345" s="701" t="n"/>
      <c r="CI345" s="701" t="n"/>
      <c r="CJ345" s="701" t="n"/>
      <c r="CK345" s="701" t="n"/>
      <c r="CL345" s="701" t="n"/>
      <c r="CM345" s="701" t="n"/>
      <c r="CN345" s="701" t="n"/>
      <c r="CO345" s="701" t="n"/>
      <c r="CP345" s="701" t="n"/>
      <c r="CQ345" s="701" t="n"/>
      <c r="CR345" s="701" t="n"/>
      <c r="CS345" s="701" t="n"/>
      <c r="CT345" s="701" t="n"/>
      <c r="CU345" s="701" t="n"/>
      <c r="CV345" s="701" t="n"/>
      <c r="CW345" s="30" t="n"/>
    </row>
    <row r="346" hidden="1" ht="12.75" customHeight="1" s="1676">
      <c r="A346" s="31" t="n"/>
      <c r="B346" s="65" t="inlineStr">
        <is>
          <t>Text_292</t>
        </is>
      </c>
      <c r="C346" s="699" t="n"/>
      <c r="D346" s="699" t="n"/>
      <c r="E346" s="699" t="n"/>
      <c r="F346" s="699" t="n"/>
      <c r="G346" s="699" t="n"/>
      <c r="H346" s="1745" t="n"/>
      <c r="I346" s="699" t="n"/>
      <c r="J346" s="699" t="n"/>
      <c r="K346" s="699" t="n"/>
      <c r="L346" s="699" t="n"/>
      <c r="M346" s="1745">
        <f t="array" ref="M346">M344+M343</f>
        <v/>
      </c>
      <c r="N346" s="699" t="n"/>
      <c r="O346" s="699" t="n"/>
      <c r="P346" s="699" t="n"/>
      <c r="Q346" s="699" t="n"/>
      <c r="R346" s="1745">
        <f t="array" ref="R346">R344+R343</f>
        <v/>
      </c>
      <c r="S346" s="1745" t="n"/>
      <c r="T346" s="1745" t="n"/>
      <c r="U346" s="1745" t="n"/>
      <c r="V346" s="1745" t="n"/>
      <c r="W346" s="1745">
        <f t="array" ref="W346">W344+W343</f>
        <v/>
      </c>
      <c r="X346" s="1745" t="n"/>
      <c r="Y346" s="1745" t="n"/>
      <c r="Z346" s="1745" t="n"/>
      <c r="AA346" s="1745" t="n"/>
      <c r="AB346" s="1745">
        <f t="array" ref="AB346">AB344+AB343</f>
        <v/>
      </c>
      <c r="AC346" s="1745" t="n"/>
      <c r="AD346" s="1745" t="n"/>
      <c r="AE346" s="1745" t="n"/>
      <c r="AF346" s="1745" t="n"/>
      <c r="AG346" s="1745">
        <f t="array" ref="AG346">AG344+AG343</f>
        <v/>
      </c>
      <c r="AH346" s="1745">
        <f t="array" ref="AH346">AH344+AH343</f>
        <v/>
      </c>
      <c r="AI346" s="1745">
        <f t="array" ref="AI346">AI343+AI344</f>
        <v/>
      </c>
      <c r="AJ346" s="1745">
        <f t="array" ref="AJ346">AJ344+AJ343</f>
        <v/>
      </c>
      <c r="AK346" s="1745">
        <f t="array" ref="AK346">AK344+AK343</f>
        <v/>
      </c>
      <c r="AL346" s="1745">
        <f t="array" ref="AL346">AL344+AL343</f>
        <v/>
      </c>
      <c r="AM346" s="1745">
        <f t="array" ref="AM346">AM344+AM343</f>
        <v/>
      </c>
      <c r="AN346" s="1745">
        <f t="array" ref="AN346">AN344+AN343</f>
        <v/>
      </c>
      <c r="AO346" s="1745">
        <f t="array" ref="AO346">AO344+AO343</f>
        <v/>
      </c>
      <c r="AP346" s="1745">
        <f t="array" ref="AP346">AP344+AP343</f>
        <v/>
      </c>
      <c r="AQ346" s="1745">
        <f t="array" ref="AQ346">AQ344+AQ343</f>
        <v/>
      </c>
      <c r="AR346" s="1745">
        <f t="array" ref="AR346">AR344+AR343</f>
        <v/>
      </c>
      <c r="AS346" s="1745">
        <f t="array" ref="AS346">AS344+AS343</f>
        <v/>
      </c>
      <c r="AT346" s="1745">
        <f t="array" ref="AT346">AT344+AT343</f>
        <v/>
      </c>
      <c r="AU346" s="1734">
        <f t="array" ref="AU346">AU344+AU343</f>
        <v/>
      </c>
      <c r="AV346" s="1745">
        <f t="array" ref="AV346">AV344+AV343</f>
        <v/>
      </c>
      <c r="AW346" s="1873">
        <f t="array" ref="AW346">AW344+AW343</f>
        <v/>
      </c>
      <c r="AX346" s="1874">
        <f t="array" ref="AX346">AX344+AX343</f>
        <v/>
      </c>
      <c r="AY346" s="1874">
        <f t="array" ref="AY346">AY344+AY343</f>
        <v/>
      </c>
      <c r="AZ346" s="1874">
        <f t="array" ref="AZ346">AZ344+AZ343</f>
        <v/>
      </c>
      <c r="BA346" s="1748">
        <f t="array" ref="BA346">BA344+BA343</f>
        <v/>
      </c>
      <c r="BB346" s="1873">
        <f t="array" ref="BB346">BB344+BB343</f>
        <v/>
      </c>
      <c r="BC346" s="1874">
        <f t="array" ref="BC346">BC344+BC343</f>
        <v/>
      </c>
      <c r="BD346" s="701" t="n"/>
      <c r="BE346" s="701" t="n"/>
      <c r="BF346" s="1748">
        <f t="array" ref="BF346">BF344+BF343</f>
        <v/>
      </c>
      <c r="BG346" s="699" t="n"/>
      <c r="BH346" s="699" t="n"/>
      <c r="BI346" s="699" t="n"/>
      <c r="BJ346" s="699" t="n"/>
      <c r="BK346" s="1745">
        <f t="array" ref="BK346">BK344+BK343</f>
        <v/>
      </c>
      <c r="BL346" s="699" t="n"/>
      <c r="BM346" s="699" t="n"/>
      <c r="BN346" s="699" t="n"/>
      <c r="BO346" s="699" t="n"/>
      <c r="BP346" s="1745">
        <f t="array" ref="BP346">BP344+BP343</f>
        <v/>
      </c>
      <c r="BQ346" s="699" t="n"/>
      <c r="BR346" s="699" t="n"/>
      <c r="BS346" s="699" t="n"/>
      <c r="BT346" s="699" t="n"/>
      <c r="BU346" s="1745">
        <f t="array" ref="BU346">BU344+BU343</f>
        <v/>
      </c>
      <c r="BV346" s="699" t="n"/>
      <c r="BW346" s="699" t="n"/>
      <c r="BX346" s="699" t="n"/>
      <c r="BY346" s="699" t="n"/>
      <c r="BZ346" s="1745">
        <f t="array" ref="BZ346">BZ344+BZ343</f>
        <v/>
      </c>
      <c r="CA346" s="699" t="n"/>
      <c r="CB346" s="456" t="n"/>
      <c r="CC346" s="701" t="n"/>
      <c r="CD346" s="701" t="n"/>
      <c r="CE346" s="701" t="n"/>
      <c r="CF346" s="701" t="n"/>
      <c r="CG346" s="701" t="n"/>
      <c r="CH346" s="701" t="n"/>
      <c r="CI346" s="701" t="n"/>
      <c r="CJ346" s="701" t="n"/>
      <c r="CK346" s="701" t="n"/>
      <c r="CL346" s="701" t="n"/>
      <c r="CM346" s="701" t="n"/>
      <c r="CN346" s="701" t="n"/>
      <c r="CO346" s="701" t="n"/>
      <c r="CP346" s="701" t="n"/>
      <c r="CQ346" s="701" t="n"/>
      <c r="CR346" s="701" t="n"/>
      <c r="CS346" s="701" t="n"/>
      <c r="CT346" s="701" t="n"/>
      <c r="CU346" s="701" t="n"/>
      <c r="CV346" s="701" t="n"/>
      <c r="CW346" s="30" t="n"/>
    </row>
    <row r="347" hidden="1" ht="12.75" customHeight="1" s="1676">
      <c r="A347" s="31" t="n"/>
      <c r="B347" s="65" t="inlineStr">
        <is>
          <t>Text_293</t>
        </is>
      </c>
      <c r="C347" s="699" t="n"/>
      <c r="D347" s="699" t="n"/>
      <c r="E347" s="699" t="n"/>
      <c r="F347" s="699" t="n"/>
      <c r="G347" s="699" t="n"/>
      <c r="H347" s="1745" t="n"/>
      <c r="I347" s="699" t="n"/>
      <c r="J347" s="699" t="n"/>
      <c r="K347" s="699" t="n"/>
      <c r="L347" s="699" t="n"/>
      <c r="M347" s="1745">
        <f t="array" ref="M347">M346+M345</f>
        <v/>
      </c>
      <c r="N347" s="699" t="n"/>
      <c r="O347" s="699" t="n"/>
      <c r="P347" s="699" t="n"/>
      <c r="Q347" s="699" t="n"/>
      <c r="R347" s="1745">
        <f t="array" ref="R347">R346+R345</f>
        <v/>
      </c>
      <c r="S347" s="1745" t="n"/>
      <c r="T347" s="1745" t="n"/>
      <c r="U347" s="1745" t="n"/>
      <c r="V347" s="1745" t="n"/>
      <c r="W347" s="1745">
        <f t="array" ref="W347">W346+W345</f>
        <v/>
      </c>
      <c r="X347" s="1745" t="n"/>
      <c r="Y347" s="1745" t="n"/>
      <c r="Z347" s="1745" t="n"/>
      <c r="AA347" s="1745" t="n"/>
      <c r="AB347" s="1745">
        <f t="array" ref="AB347">AB346+AB345</f>
        <v/>
      </c>
      <c r="AC347" s="1745" t="n"/>
      <c r="AD347" s="1745" t="n"/>
      <c r="AE347" s="1745" t="n"/>
      <c r="AF347" s="1745" t="n"/>
      <c r="AG347" s="1745">
        <f t="array" ref="AG347">AG346+AG345</f>
        <v/>
      </c>
      <c r="AH347" s="1745">
        <f t="array" ref="AH347">AH346+AH345</f>
        <v/>
      </c>
      <c r="AI347" s="1745">
        <f t="array" ref="AI347">AI346+AI345</f>
        <v/>
      </c>
      <c r="AJ347" s="1745">
        <f t="array" ref="AJ347">AJ346+AJ345</f>
        <v/>
      </c>
      <c r="AK347" s="1745">
        <f t="array" ref="AK347">AK346+AK345</f>
        <v/>
      </c>
      <c r="AL347" s="1745">
        <f t="array" ref="AL347">AL346+AL345</f>
        <v/>
      </c>
      <c r="AM347" s="1745">
        <f t="array" ref="AM347">AM346+AM345</f>
        <v/>
      </c>
      <c r="AN347" s="1745">
        <f t="array" ref="AN347">AN346+AN345</f>
        <v/>
      </c>
      <c r="AO347" s="1745">
        <f t="array" ref="AO347">AO346+AO345</f>
        <v/>
      </c>
      <c r="AP347" s="1745">
        <f t="array" ref="AP347">AP346+AP345</f>
        <v/>
      </c>
      <c r="AQ347" s="1745">
        <f t="array" ref="AQ347">AQ346+AQ345</f>
        <v/>
      </c>
      <c r="AR347" s="1745">
        <f t="array" ref="AR347">AR346+AR345</f>
        <v/>
      </c>
      <c r="AS347" s="1745">
        <f t="array" ref="AS347">AS346+AS345</f>
        <v/>
      </c>
      <c r="AT347" s="1745">
        <f t="array" ref="AT347">AT346+AT345</f>
        <v/>
      </c>
      <c r="AU347" s="1734">
        <f t="array" ref="AU347">AU346+AU345</f>
        <v/>
      </c>
      <c r="AV347" s="1745">
        <f t="array" ref="AV347">AV346+AV345</f>
        <v/>
      </c>
      <c r="AW347" s="1873">
        <f t="array" ref="AW347">AW346+AW345</f>
        <v/>
      </c>
      <c r="AX347" s="1874">
        <f t="array" ref="AX347">AX346+AX345</f>
        <v/>
      </c>
      <c r="AY347" s="1874">
        <f t="array" ref="AY347">AY346+AY345</f>
        <v/>
      </c>
      <c r="AZ347" s="1874">
        <f t="array" ref="AZ347">AZ346+AZ345</f>
        <v/>
      </c>
      <c r="BA347" s="1748">
        <f t="array" ref="BA347">BA346+BA345</f>
        <v/>
      </c>
      <c r="BB347" s="1873">
        <f t="array" ref="BB347">BB346+BB345</f>
        <v/>
      </c>
      <c r="BC347" s="1874">
        <f t="array" ref="BC347">BC346+BC345</f>
        <v/>
      </c>
      <c r="BD347" s="701" t="n"/>
      <c r="BE347" s="701" t="n"/>
      <c r="BF347" s="1748">
        <f t="array" ref="BF347">BF346+BF345</f>
        <v/>
      </c>
      <c r="BG347" s="699" t="n"/>
      <c r="BH347" s="699" t="n"/>
      <c r="BI347" s="699" t="n"/>
      <c r="BJ347" s="699" t="n"/>
      <c r="BK347" s="1745">
        <f t="array" ref="BK347">BK346+BK345</f>
        <v/>
      </c>
      <c r="BL347" s="699" t="n"/>
      <c r="BM347" s="699" t="n"/>
      <c r="BN347" s="699" t="n"/>
      <c r="BO347" s="699" t="n"/>
      <c r="BP347" s="1745">
        <f t="array" ref="BP347">BP346+BP345</f>
        <v/>
      </c>
      <c r="BQ347" s="699" t="n"/>
      <c r="BR347" s="699" t="n"/>
      <c r="BS347" s="699" t="n"/>
      <c r="BT347" s="699" t="n"/>
      <c r="BU347" s="1745">
        <f t="array" ref="BU347">BU346+BU345</f>
        <v/>
      </c>
      <c r="BV347" s="699" t="n"/>
      <c r="BW347" s="699" t="n"/>
      <c r="BX347" s="699" t="n"/>
      <c r="BY347" s="699" t="n"/>
      <c r="BZ347" s="1745">
        <f t="array" ref="BZ347">BZ346+BZ345</f>
        <v/>
      </c>
      <c r="CA347" s="699" t="n"/>
      <c r="CB347" s="456" t="n"/>
      <c r="CC347" s="701" t="n"/>
      <c r="CD347" s="701" t="n"/>
      <c r="CE347" s="701" t="n"/>
      <c r="CF347" s="701" t="n"/>
      <c r="CG347" s="701" t="n"/>
      <c r="CH347" s="701" t="n"/>
      <c r="CI347" s="701" t="n"/>
      <c r="CJ347" s="701" t="n"/>
      <c r="CK347" s="701" t="n"/>
      <c r="CL347" s="701" t="n"/>
      <c r="CM347" s="701" t="n"/>
      <c r="CN347" s="701" t="n"/>
      <c r="CO347" s="701" t="n"/>
      <c r="CP347" s="701" t="n"/>
      <c r="CQ347" s="701" t="n"/>
      <c r="CR347" s="701" t="n"/>
      <c r="CS347" s="701" t="n"/>
      <c r="CT347" s="701" t="n"/>
      <c r="CU347" s="701" t="n"/>
      <c r="CV347" s="701" t="n"/>
      <c r="CW347" s="30" t="n"/>
    </row>
    <row r="348" hidden="1" ht="12.75" customHeight="1" s="1676">
      <c r="A348" s="31" t="n"/>
      <c r="B348" s="765" t="inlineStr">
        <is>
          <t>Text_294</t>
        </is>
      </c>
      <c r="C348" s="699" t="n"/>
      <c r="D348" s="699" t="n"/>
      <c r="E348" s="699" t="n"/>
      <c r="F348" s="699" t="n"/>
      <c r="G348" s="699" t="n"/>
      <c r="H348" s="2117" t="n"/>
      <c r="I348" s="699" t="n"/>
      <c r="J348" s="699" t="n"/>
      <c r="K348" s="699" t="n"/>
      <c r="L348" s="699" t="n"/>
      <c r="M348" s="2117">
        <f t="array" ref="M348">M351-M347</f>
        <v/>
      </c>
      <c r="N348" s="699" t="n"/>
      <c r="O348" s="699" t="n"/>
      <c r="P348" s="699" t="n"/>
      <c r="Q348" s="699" t="n"/>
      <c r="R348" s="2117">
        <f t="array" ref="R348">R351-R347</f>
        <v/>
      </c>
      <c r="S348" s="2117" t="n"/>
      <c r="T348" s="2117" t="n"/>
      <c r="U348" s="2117" t="n"/>
      <c r="V348" s="2117" t="n"/>
      <c r="W348" s="2117">
        <f t="array" ref="W348">W351-W347</f>
        <v/>
      </c>
      <c r="X348" s="2117" t="n"/>
      <c r="Y348" s="2117" t="n"/>
      <c r="Z348" s="2117" t="n"/>
      <c r="AA348" s="2117" t="n"/>
      <c r="AB348" s="2117">
        <f t="array" ref="AB348">AB351-AB347</f>
        <v/>
      </c>
      <c r="AC348" s="2118" t="n"/>
      <c r="AD348" s="2118" t="n"/>
      <c r="AE348" s="2118" t="n"/>
      <c r="AF348" s="2118" t="n"/>
      <c r="AG348" s="2117">
        <f t="array" ref="AG348">AG351-AG347</f>
        <v/>
      </c>
      <c r="AH348" s="2117">
        <f t="array" ref="AH348">AH351-AH347</f>
        <v/>
      </c>
      <c r="AI348" s="2117">
        <f t="array" ref="AI348">AI351-AI347</f>
        <v/>
      </c>
      <c r="AJ348" s="2117">
        <f t="array" ref="AJ348">AJ351-AJ347</f>
        <v/>
      </c>
      <c r="AK348" s="2117">
        <f t="array" ref="AK348">AK351-AK347</f>
        <v/>
      </c>
      <c r="AL348" s="2117">
        <f t="array" ref="AL348">AL351-AL347</f>
        <v/>
      </c>
      <c r="AM348" s="2117">
        <f t="array" ref="AM348">AM351-AM347</f>
        <v/>
      </c>
      <c r="AN348" s="2117">
        <f t="array" ref="AN348">AN351-AN347</f>
        <v/>
      </c>
      <c r="AO348" s="2117">
        <f t="array" ref="AO348">AO351-AO347</f>
        <v/>
      </c>
      <c r="AP348" s="2117">
        <f t="array" ref="AP348">AP351-AP347</f>
        <v/>
      </c>
      <c r="AQ348" s="2117">
        <f t="array" ref="AQ348">AQ351-AQ347</f>
        <v/>
      </c>
      <c r="AR348" s="2117">
        <f t="array" ref="AR348">AR351-AR347</f>
        <v/>
      </c>
      <c r="AS348" s="2117">
        <f t="array" ref="AS348">AS351-AS347</f>
        <v/>
      </c>
      <c r="AT348" s="2117">
        <f t="array" ref="AT348">AT351-AT347</f>
        <v/>
      </c>
      <c r="AU348" s="2112">
        <f t="array" ref="AU348">AU351-AU347</f>
        <v/>
      </c>
      <c r="AV348" s="2117">
        <f t="array" ref="AV348">AV351-AV347</f>
        <v/>
      </c>
      <c r="AW348" s="2119">
        <f t="array" ref="AW348">AW351-AW347</f>
        <v/>
      </c>
      <c r="AX348" s="2120">
        <f t="array" ref="AX348">AX351-AX347</f>
        <v/>
      </c>
      <c r="AY348" s="2120">
        <f t="array" ref="AY348">AY351-AY347</f>
        <v/>
      </c>
      <c r="AZ348" s="2120">
        <f t="array" ref="AZ348">AZ351-AZ347</f>
        <v/>
      </c>
      <c r="BA348" s="2121">
        <f t="array" ref="BA348">BA351-BA347</f>
        <v/>
      </c>
      <c r="BB348" s="2119">
        <f t="array" ref="BB348">BB351-BB347</f>
        <v/>
      </c>
      <c r="BC348" s="2120">
        <f t="array" ref="BC348">BC351-BC347</f>
        <v/>
      </c>
      <c r="BD348" s="701" t="n"/>
      <c r="BE348" s="701" t="n"/>
      <c r="BF348" s="381" t="n"/>
      <c r="BG348" s="699" t="n"/>
      <c r="BH348" s="699" t="n"/>
      <c r="BI348" s="699" t="n"/>
      <c r="BJ348" s="699" t="n"/>
      <c r="BK348" s="699" t="n"/>
      <c r="BL348" s="699" t="n"/>
      <c r="BM348" s="699" t="n"/>
      <c r="BN348" s="699" t="n"/>
      <c r="BO348" s="699" t="n"/>
      <c r="BP348" s="699" t="n"/>
      <c r="BQ348" s="699" t="n"/>
      <c r="BR348" s="699" t="n"/>
      <c r="BS348" s="699" t="n"/>
      <c r="BT348" s="699" t="n"/>
      <c r="BU348" s="699" t="n"/>
      <c r="BV348" s="699" t="n"/>
      <c r="BW348" s="699" t="n"/>
      <c r="BX348" s="699" t="n"/>
      <c r="BY348" s="699" t="n"/>
      <c r="BZ348" s="699" t="n"/>
      <c r="CA348" s="699" t="n"/>
      <c r="CB348" s="456" t="n"/>
      <c r="CC348" s="701" t="n"/>
      <c r="CD348" s="701" t="n"/>
      <c r="CE348" s="701" t="n"/>
      <c r="CF348" s="701" t="n"/>
      <c r="CG348" s="701" t="n"/>
      <c r="CH348" s="701" t="n"/>
      <c r="CI348" s="701" t="n"/>
      <c r="CJ348" s="701" t="n"/>
      <c r="CK348" s="701" t="n"/>
      <c r="CL348" s="701" t="n"/>
      <c r="CM348" s="701" t="n"/>
      <c r="CN348" s="701" t="n"/>
      <c r="CO348" s="701" t="n"/>
      <c r="CP348" s="701" t="n"/>
      <c r="CQ348" s="701" t="n"/>
      <c r="CR348" s="701" t="n"/>
      <c r="CS348" s="701" t="n"/>
      <c r="CT348" s="701" t="n"/>
      <c r="CU348" s="701" t="n"/>
      <c r="CV348" s="701" t="n"/>
      <c r="CW348" s="30" t="n"/>
    </row>
    <row r="349" ht="12.75" customHeight="1" s="1676">
      <c r="A349" s="74" t="n"/>
      <c r="B349" s="69" t="n"/>
      <c r="C349" s="179" t="n"/>
      <c r="D349" s="179" t="n"/>
      <c r="E349" s="179" t="n"/>
      <c r="F349" s="179" t="n"/>
      <c r="G349" s="179" t="n"/>
      <c r="H349" s="179" t="n"/>
      <c r="I349" s="179" t="n"/>
      <c r="J349" s="179" t="n"/>
      <c r="K349" s="179" t="n"/>
      <c r="L349" s="179" t="n"/>
      <c r="M349" s="179" t="n"/>
      <c r="N349" s="179" t="n"/>
      <c r="O349" s="179" t="n"/>
      <c r="P349" s="179" t="n"/>
      <c r="Q349" s="179" t="n"/>
      <c r="R349" s="179" t="n"/>
      <c r="S349" s="179" t="n"/>
      <c r="T349" s="179" t="n"/>
      <c r="U349" s="179" t="n"/>
      <c r="V349" s="179" t="n"/>
      <c r="W349" s="179" t="n"/>
      <c r="X349" s="179" t="n"/>
      <c r="Y349" s="179" t="n"/>
      <c r="Z349" s="179" t="n"/>
      <c r="AA349" s="179" t="n"/>
      <c r="AB349" s="179" t="n"/>
      <c r="AC349" s="179" t="n"/>
      <c r="AD349" s="179" t="n"/>
      <c r="AE349" s="179" t="n"/>
      <c r="AF349" s="179" t="n"/>
      <c r="AG349" s="179" t="n"/>
      <c r="AH349" s="179" t="n"/>
      <c r="AI349" s="179" t="n"/>
      <c r="AJ349" s="179" t="n"/>
      <c r="AK349" s="179" t="n"/>
      <c r="AL349" s="179" t="n"/>
      <c r="AM349" s="179" t="n"/>
      <c r="AN349" s="179" t="n"/>
      <c r="AO349" s="179" t="n"/>
      <c r="AP349" s="179" t="n"/>
      <c r="AQ349" s="179" t="n"/>
      <c r="AR349" s="179" t="n"/>
      <c r="AS349" s="179" t="n"/>
      <c r="AT349" s="179" t="n"/>
      <c r="AU349" s="69" t="n"/>
      <c r="AV349" s="179" t="n"/>
      <c r="AW349" s="179" t="n"/>
      <c r="AX349" s="179" t="n"/>
      <c r="AY349" s="179" t="n"/>
      <c r="AZ349" s="179" t="n"/>
      <c r="BA349" s="179" t="n"/>
      <c r="BB349" s="179" t="n"/>
      <c r="BC349" s="179" t="n"/>
      <c r="BD349" s="179" t="n"/>
      <c r="BE349" s="179" t="n"/>
      <c r="BF349" s="179" t="n"/>
      <c r="BG349" s="179" t="n"/>
      <c r="BH349" s="179" t="n"/>
      <c r="BI349" s="179" t="n"/>
      <c r="BJ349" s="179" t="n"/>
      <c r="BK349" s="179" t="n"/>
      <c r="BL349" s="179" t="n"/>
      <c r="BM349" s="179" t="n"/>
      <c r="BN349" s="179" t="n"/>
      <c r="BO349" s="179" t="n"/>
      <c r="BP349" s="179" t="n"/>
      <c r="BQ349" s="179" t="n"/>
      <c r="BR349" s="179" t="n"/>
      <c r="BS349" s="179" t="n"/>
      <c r="BT349" s="179" t="n"/>
      <c r="BU349" s="179" t="n"/>
      <c r="BV349" s="179" t="n"/>
      <c r="BW349" s="179" t="n"/>
      <c r="BX349" s="179" t="n"/>
      <c r="BY349" s="179" t="n"/>
      <c r="BZ349" s="179" t="n"/>
      <c r="CA349" s="179" t="n"/>
      <c r="CB349" s="701" t="n"/>
      <c r="CC349" s="701" t="n"/>
      <c r="CD349" s="701" t="n"/>
      <c r="CE349" s="701" t="n"/>
      <c r="CF349" s="701" t="n"/>
      <c r="CG349" s="701" t="n"/>
      <c r="CH349" s="701" t="n"/>
      <c r="CI349" s="701" t="n"/>
      <c r="CJ349" s="701" t="n"/>
      <c r="CK349" s="701" t="n"/>
      <c r="CL349" s="701" t="n"/>
      <c r="CM349" s="701" t="n"/>
      <c r="CN349" s="701" t="n"/>
      <c r="CO349" s="701" t="n"/>
      <c r="CP349" s="701" t="n"/>
      <c r="CQ349" s="701" t="n"/>
      <c r="CR349" s="701" t="n"/>
      <c r="CS349" s="701" t="n"/>
      <c r="CT349" s="701" t="n"/>
      <c r="CU349" s="701" t="n"/>
      <c r="CV349" s="701" t="n"/>
      <c r="CW349" s="30" t="n"/>
    </row>
    <row r="350" ht="12.75" customHeight="1" s="1676">
      <c r="A350" s="31" t="n"/>
      <c r="B350" s="99" t="inlineStr">
        <is>
          <t>Text_295</t>
        </is>
      </c>
      <c r="C350" s="33" t="n"/>
      <c r="D350" s="1710" t="n"/>
      <c r="E350" s="1710" t="n"/>
      <c r="F350" s="1710" t="n"/>
      <c r="G350" s="1710" t="n"/>
      <c r="H350" s="1710" t="n"/>
      <c r="I350" s="1710" t="n"/>
      <c r="J350" s="1710" t="n"/>
      <c r="K350" s="1710" t="n"/>
      <c r="L350" s="1710" t="n"/>
      <c r="M350" s="1710" t="n"/>
      <c r="N350" s="1710" t="n"/>
      <c r="O350" s="1710" t="n"/>
      <c r="P350" s="1710" t="n"/>
      <c r="Q350" s="1710" t="n"/>
      <c r="R350" s="1710" t="n"/>
      <c r="S350" s="1710" t="n"/>
      <c r="T350" s="1710" t="n"/>
      <c r="U350" s="1710" t="n"/>
      <c r="V350" s="1710" t="n"/>
      <c r="W350" s="1710" t="n"/>
      <c r="X350" s="1710" t="n"/>
      <c r="Y350" s="1710" t="n"/>
      <c r="Z350" s="1710" t="n"/>
      <c r="AA350" s="1710" t="n"/>
      <c r="AB350" s="1710" t="n"/>
      <c r="AC350" s="1710" t="n"/>
      <c r="AD350" s="1710" t="n"/>
      <c r="AE350" s="1710" t="n"/>
      <c r="AF350" s="1710" t="n"/>
      <c r="AG350" s="1710" t="n"/>
      <c r="AH350" s="1710" t="n"/>
      <c r="AI350" s="1710" t="n"/>
      <c r="AJ350" s="1710" t="n"/>
      <c r="AK350" s="1710" t="n"/>
      <c r="AL350" s="1710" t="n"/>
      <c r="AM350" s="1710" t="n"/>
      <c r="AN350" s="1710" t="n"/>
      <c r="AO350" s="1710" t="n"/>
      <c r="AP350" s="1710" t="n"/>
      <c r="AQ350" s="1710" t="n"/>
      <c r="AR350" s="1710" t="n"/>
      <c r="AS350" s="1710" t="n"/>
      <c r="AT350" s="1710" t="n"/>
      <c r="AU350" s="1710" t="n"/>
      <c r="AV350" s="1710" t="n"/>
      <c r="AW350" s="1710" t="n"/>
      <c r="AX350" s="1710" t="n"/>
      <c r="AY350" s="1710" t="n"/>
      <c r="AZ350" s="1710" t="n"/>
      <c r="BA350" s="1710" t="n"/>
      <c r="BB350" s="1710" t="n"/>
      <c r="BC350" s="1710" t="n"/>
      <c r="BD350" s="1710" t="n"/>
      <c r="BE350" s="1710" t="n"/>
      <c r="BF350" s="1710" t="n"/>
      <c r="BG350" s="1710" t="n"/>
      <c r="BH350" s="1710" t="n"/>
      <c r="BI350" s="1710" t="n"/>
      <c r="BJ350" s="1710" t="n"/>
      <c r="BK350" s="1710" t="n"/>
      <c r="BL350" s="1710" t="n"/>
      <c r="BM350" s="1710" t="n"/>
      <c r="BN350" s="1710" t="n"/>
      <c r="BO350" s="1710" t="n"/>
      <c r="BP350" s="1710" t="n"/>
      <c r="BQ350" s="1710" t="n"/>
      <c r="BR350" s="1710" t="n"/>
      <c r="BS350" s="1710" t="n"/>
      <c r="BT350" s="1710" t="n"/>
      <c r="BU350" s="1710" t="n"/>
      <c r="BV350" s="1710" t="n"/>
      <c r="BW350" s="1710" t="n"/>
      <c r="BX350" s="1710" t="n"/>
      <c r="BY350" s="1710" t="n"/>
      <c r="BZ350" s="1710" t="n"/>
      <c r="CA350" s="1710" t="n"/>
      <c r="CB350" s="456" t="n"/>
      <c r="CC350" s="701" t="n"/>
      <c r="CD350" s="701" t="n"/>
      <c r="CE350" s="701" t="n"/>
      <c r="CF350" s="701" t="n"/>
      <c r="CG350" s="701" t="n"/>
      <c r="CH350" s="701" t="n"/>
      <c r="CI350" s="701" t="n"/>
      <c r="CJ350" s="701" t="n"/>
      <c r="CK350" s="701" t="n"/>
      <c r="CL350" s="701" t="n"/>
      <c r="CM350" s="701" t="n"/>
      <c r="CN350" s="701" t="n"/>
      <c r="CO350" s="701" t="n"/>
      <c r="CP350" s="701" t="n"/>
      <c r="CQ350" s="701" t="n"/>
      <c r="CR350" s="701" t="n"/>
      <c r="CS350" s="701" t="n"/>
      <c r="CT350" s="701" t="n"/>
      <c r="CU350" s="701" t="n"/>
      <c r="CV350" s="701" t="n"/>
      <c r="CW350" s="30" t="n"/>
    </row>
    <row r="351" ht="14.25" customHeight="1" s="1676">
      <c r="A351" s="31" t="n"/>
      <c r="B351" s="771" t="inlineStr">
        <is>
          <t>Text_296</t>
        </is>
      </c>
      <c r="C351" s="699" t="n"/>
      <c r="D351" s="1988" t="n"/>
      <c r="E351" s="1988" t="n"/>
      <c r="F351" s="1988" t="n"/>
      <c r="G351" s="1988" t="n"/>
      <c r="H351" s="1988" t="n"/>
      <c r="I351" s="1988" t="n">
        <v>725.3755664634421</v>
      </c>
      <c r="J351" s="1988" t="n">
        <v>768.44750123372</v>
      </c>
      <c r="K351" s="1988" t="n">
        <v>900.242789461282</v>
      </c>
      <c r="L351" s="1988" t="n">
        <v>950.015959034027</v>
      </c>
      <c r="M351" s="1988" t="n">
        <v>1281.45515293473</v>
      </c>
      <c r="N351" s="1988" t="n">
        <v>906.7520148990041</v>
      </c>
      <c r="O351" s="1988" t="n">
        <v>807.519952127965</v>
      </c>
      <c r="P351" s="1988" t="n">
        <v>774.374858820894</v>
      </c>
      <c r="Q351" s="1988" t="n">
        <v>1220.30725933201</v>
      </c>
      <c r="R351" s="1988" t="n">
        <v>1216.1931416174</v>
      </c>
      <c r="S351" s="1988" t="n">
        <v>1236.49156039657</v>
      </c>
      <c r="T351" s="1988" t="n">
        <v>889.505244487094</v>
      </c>
      <c r="U351" s="1988" t="n">
        <v>1210.29105199993</v>
      </c>
      <c r="V351" s="1988" t="n">
        <v>1316.82263922136</v>
      </c>
      <c r="W351" s="1988" t="n">
        <v>1525.29698042681</v>
      </c>
      <c r="X351" s="1988" t="n">
        <v>1719.30774115268</v>
      </c>
      <c r="Y351" s="1988" t="n">
        <v>1696.81543427971</v>
      </c>
      <c r="Z351" s="1988" t="n">
        <v>968.920074293117</v>
      </c>
      <c r="AA351" s="1988" t="n">
        <v>1214.33064535931</v>
      </c>
      <c r="AB351" s="1988" t="n">
        <v>997.30036925021</v>
      </c>
      <c r="AC351" s="1988" t="n">
        <v>1062.78018575397</v>
      </c>
      <c r="AD351" s="1988" t="n">
        <v>804.731469728027</v>
      </c>
      <c r="AE351" s="1988" t="n">
        <v>940.721133630092</v>
      </c>
      <c r="AF351" s="1745" t="n">
        <v>1001.12382993494</v>
      </c>
      <c r="AG351" s="1988" t="n">
        <v>1237.10253865789</v>
      </c>
      <c r="AH351" s="1988" t="n">
        <v>1441.48465756874</v>
      </c>
      <c r="AI351" s="1988" t="n">
        <v>1365.16433864437</v>
      </c>
      <c r="AJ351" s="1988" t="n">
        <v>1184.37122386426</v>
      </c>
      <c r="AK351" s="1988" t="n">
        <v>1165.45179488432</v>
      </c>
      <c r="AL351" s="1988" t="n">
        <v>1370.33187427495</v>
      </c>
      <c r="AM351" s="1988" t="n">
        <v>1304.27835327485</v>
      </c>
      <c r="AN351" s="1988" t="n">
        <v>1341.12390187412</v>
      </c>
      <c r="AO351" s="1988" t="n">
        <v>1560.20653299244</v>
      </c>
      <c r="AP351" s="1745">
        <f t="array" ref="AP351">AQ351</f>
        <v/>
      </c>
      <c r="AQ351" s="1988" t="n">
        <v>1558.61311398439</v>
      </c>
      <c r="AR351" s="1988" t="n">
        <v>1665.91089150176</v>
      </c>
      <c r="AS351" s="1988" t="n">
        <v>1822.96560807888</v>
      </c>
      <c r="AT351" s="1988" t="n">
        <v>1327.6765875524</v>
      </c>
      <c r="AU351" s="1745">
        <f t="array" ref="AU351">AV351</f>
        <v/>
      </c>
      <c r="AV351" s="1988" t="n">
        <v>2279.44498127358</v>
      </c>
      <c r="AW351" s="2122" t="n">
        <v>1584.20640578462</v>
      </c>
      <c r="AX351" s="1989" t="n">
        <v>1923.7392352769</v>
      </c>
      <c r="AY351" s="1989" t="n">
        <v>1924.26925087777</v>
      </c>
      <c r="AZ351" s="1874">
        <f t="array" ref="AZ351">BA351</f>
        <v/>
      </c>
      <c r="BA351" s="2123" t="n">
        <v>2235.50603818333</v>
      </c>
      <c r="BB351" s="2122" t="n">
        <v>2359.99871773042</v>
      </c>
      <c r="BC351" s="1989" t="n">
        <v>1682.69014856903</v>
      </c>
      <c r="BD351" s="701" t="n"/>
      <c r="BE351" s="701" t="n"/>
      <c r="BF351" s="1748">
        <f t="array" ref="BF351">BF347</f>
        <v/>
      </c>
      <c r="BG351" s="699" t="n"/>
      <c r="BH351" s="699" t="n"/>
      <c r="BI351" s="699" t="n"/>
      <c r="BJ351" s="699" t="n"/>
      <c r="BK351" s="1745">
        <f t="array" ref="BK351">BK347</f>
        <v/>
      </c>
      <c r="BL351" s="699" t="n"/>
      <c r="BM351" s="699" t="n"/>
      <c r="BN351" s="699" t="n"/>
      <c r="BO351" s="699" t="n"/>
      <c r="BP351" s="1745">
        <f t="array" ref="BP351">BP347</f>
        <v/>
      </c>
      <c r="BQ351" s="699" t="n"/>
      <c r="BR351" s="699" t="n"/>
      <c r="BS351" s="699" t="n"/>
      <c r="BT351" s="699" t="n"/>
      <c r="BU351" s="1745">
        <f t="array" ref="BU351">BU347</f>
        <v/>
      </c>
      <c r="BV351" s="699" t="n"/>
      <c r="BW351" s="699" t="n"/>
      <c r="BX351" s="699" t="n"/>
      <c r="BY351" s="699" t="n"/>
      <c r="BZ351" s="1745">
        <f t="array" ref="BZ351">BZ347</f>
        <v/>
      </c>
      <c r="CA351" s="684" t="n"/>
      <c r="CB351" s="98" t="n"/>
      <c r="CC351" s="701" t="n"/>
      <c r="CD351" s="701" t="n"/>
      <c r="CE351" s="701" t="n"/>
      <c r="CF351" s="701" t="n"/>
      <c r="CG351" s="701" t="n"/>
      <c r="CH351" s="701" t="n"/>
      <c r="CI351" s="701" t="n"/>
      <c r="CJ351" s="701" t="n"/>
      <c r="CK351" s="701" t="n"/>
      <c r="CL351" s="701" t="n"/>
      <c r="CM351" s="701" t="n"/>
      <c r="CN351" s="701" t="n"/>
      <c r="CO351" s="701" t="n"/>
      <c r="CP351" s="701" t="n"/>
      <c r="CQ351" s="701" t="n"/>
      <c r="CR351" s="701" t="n"/>
      <c r="CS351" s="701" t="n"/>
      <c r="CT351" s="701" t="n"/>
      <c r="CU351" s="701" t="n"/>
      <c r="CV351" s="701" t="n"/>
      <c r="CW351" s="30" t="n"/>
    </row>
    <row r="352" ht="12.75" customHeight="1" s="1676">
      <c r="A352" s="31" t="n"/>
      <c r="B352" s="522" t="inlineStr">
        <is>
          <t>Text_297</t>
        </is>
      </c>
      <c r="C352" s="699" t="n"/>
      <c r="D352" s="1797" t="n"/>
      <c r="E352" s="1797" t="n"/>
      <c r="F352" s="1797" t="n"/>
      <c r="G352" s="1797" t="n"/>
      <c r="H352" s="1797" t="n"/>
      <c r="I352" s="1797" t="n">
        <v>1783.49190286099</v>
      </c>
      <c r="J352" s="1797" t="n">
        <v>1294.94052543929</v>
      </c>
      <c r="K352" s="1797" t="n">
        <v>1255.09987469162</v>
      </c>
      <c r="L352" s="1797" t="n">
        <v>1294.5205320343</v>
      </c>
      <c r="M352" s="1797" t="n">
        <v>1405.70947515435</v>
      </c>
      <c r="N352" s="1797" t="n">
        <v>1316.8685011638</v>
      </c>
      <c r="O352" s="1797" t="n">
        <v>1691.52128476387</v>
      </c>
      <c r="P352" s="1797" t="n">
        <v>1776.86211703306</v>
      </c>
      <c r="Q352" s="1797" t="n">
        <v>2058.9304108927</v>
      </c>
      <c r="R352" s="1797" t="n">
        <v>2112.4169055654</v>
      </c>
      <c r="S352" s="1797" t="n">
        <v>1694.4345480539</v>
      </c>
      <c r="T352" s="1797" t="n">
        <v>1551.58473966976</v>
      </c>
      <c r="U352" s="1797" t="n">
        <v>1476.97240907413</v>
      </c>
      <c r="V352" s="1797" t="n">
        <v>1295.64973082034</v>
      </c>
      <c r="W352" s="1797" t="n">
        <v>1214.7824567522</v>
      </c>
      <c r="X352" s="1797" t="n">
        <v>1059.53044791137</v>
      </c>
      <c r="Y352" s="1797" t="n">
        <v>817.403589650765</v>
      </c>
      <c r="Z352" s="1797" t="n">
        <v>955.31098777919</v>
      </c>
      <c r="AA352" s="1988" t="n">
        <v>740.089418211938</v>
      </c>
      <c r="AB352" s="1797" t="n">
        <v>679.199633816527</v>
      </c>
      <c r="AC352" s="1797" t="n">
        <v>787.7383123683049</v>
      </c>
      <c r="AD352" s="1797" t="n">
        <v>631.198224128505</v>
      </c>
      <c r="AE352" s="1797" t="n">
        <v>672.948871610333</v>
      </c>
      <c r="AF352" s="1745" t="n">
        <v>783.734502616945</v>
      </c>
      <c r="AG352" s="1797" t="n">
        <v>742.749833232229</v>
      </c>
      <c r="AH352" s="1797" t="n">
        <v>795.1165576487761</v>
      </c>
      <c r="AI352" s="1797" t="n">
        <v>1035.94818507805</v>
      </c>
      <c r="AJ352" s="1797" t="n">
        <v>1141.26711820627</v>
      </c>
      <c r="AK352" s="1797" t="n">
        <v>1112.23178236987</v>
      </c>
      <c r="AL352" s="1797" t="n">
        <v>1089.32555905817</v>
      </c>
      <c r="AM352" s="1797" t="n">
        <v>1169.07559178555</v>
      </c>
      <c r="AN352" s="1797" t="n">
        <v>1015.60087616433</v>
      </c>
      <c r="AO352" s="1797" t="n">
        <v>1113.95365495971</v>
      </c>
      <c r="AP352" s="1745">
        <f t="array" ref="AP352">AQ352</f>
        <v/>
      </c>
      <c r="AQ352" s="1797" t="n">
        <v>1030.4165343978</v>
      </c>
      <c r="AR352" s="1797" t="n">
        <v>1123.14533502362</v>
      </c>
      <c r="AS352" s="1797" t="n">
        <v>1317.1575488412</v>
      </c>
      <c r="AT352" s="1797" t="n">
        <v>1177.76316608347</v>
      </c>
      <c r="AU352" s="1745">
        <f t="array" ref="AU352">AV352</f>
        <v/>
      </c>
      <c r="AV352" s="1797" t="n">
        <v>1559.42774340149</v>
      </c>
      <c r="AW352" s="1975" t="n">
        <v>1905.98487940683</v>
      </c>
      <c r="AX352" s="1854" t="n">
        <v>1827.03720820035</v>
      </c>
      <c r="AY352" s="1854" t="n">
        <v>2478.80228046198</v>
      </c>
      <c r="AZ352" s="1874">
        <f t="array" ref="AZ352">BA352</f>
        <v/>
      </c>
      <c r="BA352" s="1795" t="n">
        <v>2900.81099622492</v>
      </c>
      <c r="BB352" s="1975" t="n">
        <v>2260.63406844982</v>
      </c>
      <c r="BC352" s="1854" t="n">
        <v>2167.80976609028</v>
      </c>
      <c r="BD352" s="701" t="n"/>
      <c r="BE352" s="701" t="n"/>
      <c r="BF352" s="2124">
        <f t="array" ref="BF352">BC352</f>
        <v/>
      </c>
      <c r="BG352" s="699" t="n"/>
      <c r="BH352" s="699" t="n"/>
      <c r="BI352" s="699" t="n"/>
      <c r="BJ352" s="699" t="n"/>
      <c r="BK352" s="2125">
        <f t="array" ref="BK352">BF352</f>
        <v/>
      </c>
      <c r="BL352" s="699" t="n"/>
      <c r="BM352" s="699" t="n"/>
      <c r="BN352" s="699" t="n"/>
      <c r="BO352" s="699" t="n"/>
      <c r="BP352" s="2125">
        <f t="array" ref="BP352">BK352</f>
        <v/>
      </c>
      <c r="BQ352" s="699" t="n"/>
      <c r="BR352" s="699" t="n"/>
      <c r="BS352" s="699" t="n"/>
      <c r="BT352" s="699" t="n"/>
      <c r="BU352" s="2125">
        <f t="array" ref="BU352">BP352</f>
        <v/>
      </c>
      <c r="BV352" s="699" t="n"/>
      <c r="BW352" s="699" t="n"/>
      <c r="BX352" s="699" t="n"/>
      <c r="BY352" s="699" t="n"/>
      <c r="BZ352" s="2125">
        <f t="array" ref="BZ352">BU352</f>
        <v/>
      </c>
      <c r="CA352" s="561" t="n"/>
      <c r="CB352" s="456" t="n"/>
      <c r="CC352" s="701" t="n"/>
      <c r="CD352" s="701" t="n"/>
      <c r="CE352" s="701" t="n"/>
      <c r="CF352" s="701" t="n"/>
      <c r="CG352" s="701" t="n"/>
      <c r="CH352" s="701" t="n"/>
      <c r="CI352" s="701" t="n"/>
      <c r="CJ352" s="701" t="n"/>
      <c r="CK352" s="701" t="n"/>
      <c r="CL352" s="701" t="n"/>
      <c r="CM352" s="701" t="n"/>
      <c r="CN352" s="701" t="n"/>
      <c r="CO352" s="701" t="n"/>
      <c r="CP352" s="701" t="n"/>
      <c r="CQ352" s="701" t="n"/>
      <c r="CR352" s="701" t="n"/>
      <c r="CS352" s="701" t="n"/>
      <c r="CT352" s="701" t="n"/>
      <c r="CU352" s="701" t="n"/>
      <c r="CV352" s="701" t="n"/>
      <c r="CW352" s="30" t="n"/>
    </row>
    <row r="353" ht="12.75" customHeight="1" s="1676">
      <c r="A353" s="31" t="n"/>
      <c r="B353" s="522" t="inlineStr">
        <is>
          <t>Text_298</t>
        </is>
      </c>
      <c r="C353" s="699" t="n"/>
      <c r="D353" s="1797" t="n"/>
      <c r="E353" s="1797" t="n"/>
      <c r="F353" s="1797" t="n"/>
      <c r="G353" s="1797" t="n"/>
      <c r="H353" s="1797" t="n"/>
      <c r="I353" s="1797" t="n"/>
      <c r="J353" s="1797" t="n"/>
      <c r="K353" s="1797" t="n"/>
      <c r="L353" s="1797" t="n"/>
      <c r="M353" s="1797" t="n"/>
      <c r="N353" s="1797" t="n"/>
      <c r="O353" s="1797" t="n"/>
      <c r="P353" s="1797" t="n"/>
      <c r="Q353" s="1797" t="n"/>
      <c r="R353" s="1797" t="n"/>
      <c r="S353" s="1797" t="n"/>
      <c r="T353" s="1797" t="n"/>
      <c r="U353" s="1797" t="n"/>
      <c r="V353" s="1797" t="n"/>
      <c r="W353" s="1797" t="n">
        <v>0</v>
      </c>
      <c r="X353" s="1797" t="n"/>
      <c r="Y353" s="1797" t="n"/>
      <c r="Z353" s="1797" t="n"/>
      <c r="AA353" s="1988" t="n"/>
      <c r="AB353" s="1797" t="n">
        <v>-279.419948570676</v>
      </c>
      <c r="AC353" s="1797" t="n"/>
      <c r="AD353" s="1797" t="n"/>
      <c r="AE353" s="1797" t="n"/>
      <c r="AF353" s="1745" t="n"/>
      <c r="AG353" s="1797" t="n">
        <v>0</v>
      </c>
      <c r="AH353" s="1797" t="n"/>
      <c r="AI353" s="1797" t="n"/>
      <c r="AJ353" s="1797" t="n"/>
      <c r="AK353" s="1745" t="n"/>
      <c r="AL353" s="1797" t="n">
        <v>-23.0167246481455</v>
      </c>
      <c r="AM353" s="1797" t="n">
        <v>-23.5523367506032</v>
      </c>
      <c r="AN353" s="1797" t="n"/>
      <c r="AO353" s="1797" t="n"/>
      <c r="AP353" s="1745" t="n"/>
      <c r="AQ353" s="1797" t="n"/>
      <c r="AR353" s="1797" t="n"/>
      <c r="AS353" s="1797" t="n"/>
      <c r="AT353" s="1797" t="n"/>
      <c r="AU353" s="1745" t="n"/>
      <c r="AV353" s="1797" t="n"/>
      <c r="AW353" s="1975" t="n"/>
      <c r="AX353" s="1854" t="n">
        <v>-644.502986916268</v>
      </c>
      <c r="AY353" s="1854" t="n">
        <v>-738.693338722753</v>
      </c>
      <c r="AZ353" s="1874">
        <f t="array" ref="AZ353">BA353</f>
        <v/>
      </c>
      <c r="BA353" s="1795" t="n">
        <v>-894.219900171925</v>
      </c>
      <c r="BB353" s="1975" t="n">
        <v>-745.006336984354</v>
      </c>
      <c r="BC353" s="1854" t="n">
        <v>0</v>
      </c>
      <c r="BD353" s="701" t="n"/>
      <c r="BE353" s="701" t="n"/>
      <c r="BF353" s="2124">
        <f t="array" ref="BF353">BC353</f>
        <v/>
      </c>
      <c r="BG353" s="699" t="n"/>
      <c r="BH353" s="699" t="n"/>
      <c r="BI353" s="699" t="n"/>
      <c r="BJ353" s="699" t="n"/>
      <c r="BK353" s="2125">
        <f t="array" ref="BK353">BF353</f>
        <v/>
      </c>
      <c r="BL353" s="699" t="n"/>
      <c r="BM353" s="699" t="n"/>
      <c r="BN353" s="699" t="n"/>
      <c r="BO353" s="699" t="n"/>
      <c r="BP353" s="2125">
        <f t="array" ref="BP353">BK353</f>
        <v/>
      </c>
      <c r="BQ353" s="699" t="n"/>
      <c r="BR353" s="699" t="n"/>
      <c r="BS353" s="699" t="n"/>
      <c r="BT353" s="699" t="n"/>
      <c r="BU353" s="2125">
        <f t="array" ref="BU353">BP353</f>
        <v/>
      </c>
      <c r="BV353" s="699" t="n"/>
      <c r="BW353" s="699" t="n"/>
      <c r="BX353" s="699" t="n"/>
      <c r="BY353" s="699" t="n"/>
      <c r="BZ353" s="2125">
        <f t="array" ref="BZ353">BU353</f>
        <v/>
      </c>
      <c r="CA353" s="2126" t="n"/>
      <c r="CB353" s="456" t="n"/>
      <c r="CC353" s="701" t="n"/>
      <c r="CD353" s="701" t="n"/>
      <c r="CE353" s="701" t="n"/>
      <c r="CF353" s="701" t="n"/>
      <c r="CG353" s="701" t="n"/>
      <c r="CH353" s="701" t="n"/>
      <c r="CI353" s="701" t="n"/>
      <c r="CJ353" s="701" t="n"/>
      <c r="CK353" s="701" t="n"/>
      <c r="CL353" s="701" t="n"/>
      <c r="CM353" s="701" t="n"/>
      <c r="CN353" s="701" t="n"/>
      <c r="CO353" s="701" t="n"/>
      <c r="CP353" s="701" t="n"/>
      <c r="CQ353" s="701" t="n"/>
      <c r="CR353" s="701" t="n"/>
      <c r="CS353" s="701" t="n"/>
      <c r="CT353" s="701" t="n"/>
      <c r="CU353" s="701" t="n"/>
      <c r="CV353" s="701" t="n"/>
      <c r="CW353" s="30" t="n"/>
    </row>
    <row r="354" ht="12.75" customHeight="1" s="1676">
      <c r="A354" s="31" t="n"/>
      <c r="B354" s="738" t="inlineStr">
        <is>
          <t>Text_299</t>
        </is>
      </c>
      <c r="C354" s="805" t="n"/>
      <c r="D354" s="2008" t="n"/>
      <c r="E354" s="2008" t="n"/>
      <c r="F354" s="2008" t="n"/>
      <c r="G354" s="2008" t="n"/>
      <c r="H354" s="2008" t="n"/>
      <c r="I354" s="2008" t="n">
        <v>3262.88484315432</v>
      </c>
      <c r="J354" s="2008" t="n">
        <v>2975.50546588561</v>
      </c>
      <c r="K354" s="2008" t="n">
        <v>2831.90844849264</v>
      </c>
      <c r="L354" s="2008" t="n">
        <v>2694.92608250537</v>
      </c>
      <c r="M354" s="2008" t="n">
        <v>-3378.1608456595</v>
      </c>
      <c r="N354" s="2008" t="n">
        <v>2881.57296722371</v>
      </c>
      <c r="O354" s="2008" t="n">
        <v>2741.54837247253</v>
      </c>
      <c r="P354" s="2008" t="n">
        <v>2696.55261141363</v>
      </c>
      <c r="Q354" s="2008" t="n">
        <v>2763.33177144186</v>
      </c>
      <c r="R354" s="2008" t="n">
        <v>-3072.44201353633</v>
      </c>
      <c r="S354" s="2008" t="n">
        <v>3010.35835429275</v>
      </c>
      <c r="T354" s="2008" t="n">
        <v>2394.51198935494</v>
      </c>
      <c r="U354" s="2008" t="n">
        <v>2784.44336783937</v>
      </c>
      <c r="V354" s="2008" t="n">
        <v>2474.14400672642</v>
      </c>
      <c r="W354" s="2008" t="n">
        <v>-2303.20752921784</v>
      </c>
      <c r="X354" s="2008" t="n">
        <v>2646.12333688708</v>
      </c>
      <c r="Y354" s="2008" t="n">
        <v>1750.15356725416</v>
      </c>
      <c r="Z354" s="2008" t="n">
        <v>2676.78199502984</v>
      </c>
      <c r="AA354" s="2127" t="n">
        <v>3622.68575543316</v>
      </c>
      <c r="AB354" s="2008" t="n">
        <v>-3096.14262502346</v>
      </c>
      <c r="AC354" s="2008" t="n">
        <v>3614.6596996817</v>
      </c>
      <c r="AD354" s="2008" t="n">
        <v>3934.46033902767</v>
      </c>
      <c r="AE354" s="2008" t="n">
        <v>2841.18960703827</v>
      </c>
      <c r="AF354" s="2084" t="n">
        <v>4001.86847367594</v>
      </c>
      <c r="AG354" s="2008" t="n">
        <v>-3397.94367073745</v>
      </c>
      <c r="AH354" s="2008" t="n">
        <v>3434.67632667502</v>
      </c>
      <c r="AI354" s="2008" t="n">
        <v>3615.73047847576</v>
      </c>
      <c r="AJ354" s="2008" t="n">
        <v>4005.74605573728</v>
      </c>
      <c r="AK354" s="2008" t="n">
        <v>2764.38557487323</v>
      </c>
      <c r="AL354" s="2008" t="n">
        <v>-3391.06323500951</v>
      </c>
      <c r="AM354" s="2008" t="n">
        <v>-3680.49775922012</v>
      </c>
      <c r="AN354" s="2008" t="n">
        <v>-3729.1348920385</v>
      </c>
      <c r="AO354" s="2008" t="n">
        <v>-3984.73151906742</v>
      </c>
      <c r="AP354" s="2084">
        <f t="array" ref="AP354">AQ354</f>
        <v/>
      </c>
      <c r="AQ354" s="2008" t="n">
        <v>-5686.7481945124</v>
      </c>
      <c r="AR354" s="2008" t="n">
        <v>-5806.2028804391</v>
      </c>
      <c r="AS354" s="2008" t="n">
        <v>-5768.23409997625</v>
      </c>
      <c r="AT354" s="2008" t="n">
        <v>-6606.96239982331</v>
      </c>
      <c r="AU354" s="2084">
        <f t="array" ref="AU354">AV354</f>
        <v/>
      </c>
      <c r="AV354" s="2008" t="n">
        <v>-5369.42912631513</v>
      </c>
      <c r="AW354" s="1932" t="n">
        <v>-5209.95158698811</v>
      </c>
      <c r="AX354" s="2077" t="n">
        <v>-6083.92483917709</v>
      </c>
      <c r="AY354" s="2077" t="n">
        <v>-4724.06298990568</v>
      </c>
      <c r="AZ354" s="2086">
        <f t="array" ref="AZ354">BA354</f>
        <v/>
      </c>
      <c r="BA354" s="1931">
        <f t="array" ref="BA354">-5880.199</f>
        <v/>
      </c>
      <c r="BB354" s="1932" t="n">
        <v>-7052.51985664961</v>
      </c>
      <c r="BC354" s="2077" t="n">
        <v>-6298.43952388874</v>
      </c>
      <c r="BD354" s="179" t="n"/>
      <c r="BE354" s="179" t="n"/>
      <c r="BF354" s="2087">
        <f t="array" ref="BF354">BA354-BF331-(BF353-BA353)</f>
        <v/>
      </c>
      <c r="BG354" s="805" t="n"/>
      <c r="BH354" s="805" t="n"/>
      <c r="BI354" s="805" t="n"/>
      <c r="BJ354" s="805" t="n"/>
      <c r="BK354" s="2084">
        <f t="array" ref="BK354">BF354-BK331</f>
        <v/>
      </c>
      <c r="BL354" s="805" t="n"/>
      <c r="BM354" s="805" t="n"/>
      <c r="BN354" s="805" t="n"/>
      <c r="BO354" s="805" t="n"/>
      <c r="BP354" s="2084">
        <f t="array" ref="BP354">BK354-BP331</f>
        <v/>
      </c>
      <c r="BQ354" s="805" t="n"/>
      <c r="BR354" s="805" t="n"/>
      <c r="BS354" s="805" t="n"/>
      <c r="BT354" s="805" t="n"/>
      <c r="BU354" s="2084">
        <f t="array" ref="BU354">BP354-BU331</f>
        <v/>
      </c>
      <c r="BV354" s="805" t="n"/>
      <c r="BW354" s="805" t="n"/>
      <c r="BX354" s="805" t="n"/>
      <c r="BY354" s="805" t="n"/>
      <c r="BZ354" s="2084">
        <f t="array" ref="BZ354">BU354-BZ331</f>
        <v/>
      </c>
      <c r="CA354" s="723" t="n"/>
      <c r="CB354" s="456" t="n"/>
      <c r="CC354" s="701" t="n"/>
      <c r="CD354" s="701" t="n"/>
      <c r="CE354" s="701" t="n"/>
      <c r="CF354" s="701" t="n"/>
      <c r="CG354" s="701" t="n"/>
      <c r="CH354" s="701" t="n"/>
      <c r="CI354" s="701" t="n"/>
      <c r="CJ354" s="701" t="n"/>
      <c r="CK354" s="701" t="n"/>
      <c r="CL354" s="701" t="n"/>
      <c r="CM354" s="701" t="n"/>
      <c r="CN354" s="701" t="n"/>
      <c r="CO354" s="701" t="n"/>
      <c r="CP354" s="701" t="n"/>
      <c r="CQ354" s="701" t="n"/>
      <c r="CR354" s="701" t="n"/>
      <c r="CS354" s="701" t="n"/>
      <c r="CT354" s="701" t="n"/>
      <c r="CU354" s="701" t="n"/>
      <c r="CV354" s="701" t="n"/>
      <c r="CW354" s="30" t="n"/>
    </row>
    <row r="355" ht="12.75" customHeight="1" s="1676">
      <c r="A355" s="13" t="n"/>
      <c r="B355" s="250" t="inlineStr">
        <is>
          <t>Text_300</t>
        </is>
      </c>
      <c r="C355" s="711" t="n"/>
      <c r="D355" s="1807" t="n"/>
      <c r="E355" s="1807" t="n"/>
      <c r="F355" s="1807" t="n"/>
      <c r="G355" s="1807" t="n"/>
      <c r="H355" s="1807" t="n"/>
      <c r="I355" s="1807">
        <f t="array" ref="I355">-I354-I353+I351+I352</f>
        <v/>
      </c>
      <c r="J355" s="1807">
        <f t="array" ref="J355">-J354-J353+J351+J352</f>
        <v/>
      </c>
      <c r="K355" s="1807">
        <f t="array" ref="K355">-K354-K353+K351+K352</f>
        <v/>
      </c>
      <c r="L355" s="1807">
        <f t="array" ref="L355">-L354-L353+L351+L352</f>
        <v/>
      </c>
      <c r="M355" s="1807">
        <f t="array" ref="M355">M354+M353+M352+M351</f>
        <v/>
      </c>
      <c r="N355" s="1807">
        <f t="array" ref="N355">-N354-N353+N351+N352</f>
        <v/>
      </c>
      <c r="O355" s="1807">
        <f t="array" ref="O355">-O354-O353+O351+O352</f>
        <v/>
      </c>
      <c r="P355" s="1807">
        <f t="array" ref="P355">-P354-P353+P351+P352</f>
        <v/>
      </c>
      <c r="Q355" s="1807">
        <f t="array" ref="Q355">-Q354-Q353+Q351+Q352</f>
        <v/>
      </c>
      <c r="R355" s="1807">
        <f t="array" ref="R355">R354+R353+R352+R351</f>
        <v/>
      </c>
      <c r="S355" s="1807">
        <f t="array" ref="S355">-S354-S353+S351+S352</f>
        <v/>
      </c>
      <c r="T355" s="1807">
        <f t="array" ref="T355">-T354-T353+T351+T352</f>
        <v/>
      </c>
      <c r="U355" s="1807">
        <f t="array" ref="U355">-U354-U353+U351+U352</f>
        <v/>
      </c>
      <c r="V355" s="1807">
        <f t="array" ref="V355">-V354-V353+V351+V352</f>
        <v/>
      </c>
      <c r="W355" s="1807">
        <f t="array" ref="W355">W354+W353+W352+W351</f>
        <v/>
      </c>
      <c r="X355" s="1807">
        <f t="array" ref="X355">-X354-X353+X351+X352</f>
        <v/>
      </c>
      <c r="Y355" s="1807">
        <f t="array" ref="Y355">-Y354-Y353+Y351+Y352</f>
        <v/>
      </c>
      <c r="Z355" s="1807">
        <f t="array" ref="Z355">-Z354-Z353+Z351+Z352</f>
        <v/>
      </c>
      <c r="AA355" s="1807">
        <f t="array" ref="AA355">-AA354-AA353+AA351+AA352</f>
        <v/>
      </c>
      <c r="AB355" s="1807">
        <f t="array" ref="AB355">AB354+AB353+AB352+AB351</f>
        <v/>
      </c>
      <c r="AC355" s="1807">
        <f t="array" ref="AC355">-AC354-AC353+AC351+AC352</f>
        <v/>
      </c>
      <c r="AD355" s="1807">
        <f t="array" ref="AD355">-AD354-AD353+AD351+AD352</f>
        <v/>
      </c>
      <c r="AE355" s="1807">
        <f t="array" ref="AE355">-AE354-AE353+AE351+AE352</f>
        <v/>
      </c>
      <c r="AF355" s="1807">
        <f t="array" ref="AF355">-AF354-AF353+AF351+AF352</f>
        <v/>
      </c>
      <c r="AG355" s="1807">
        <f t="array" ref="AG355">AG354+AG353+AG352+AG351</f>
        <v/>
      </c>
      <c r="AH355" s="1807">
        <f t="array" ref="AH355">-AH354-AH353+AH351+AH352</f>
        <v/>
      </c>
      <c r="AI355" s="1807">
        <f t="array" ref="AI355">-AI354-AI353+AI351+AI352</f>
        <v/>
      </c>
      <c r="AJ355" s="1807">
        <f t="array" ref="AJ355">-AJ354-AJ353+AJ351+AJ352</f>
        <v/>
      </c>
      <c r="AK355" s="1807">
        <f t="array" ref="AK355">-AK354-AK353+AK351+AK352</f>
        <v/>
      </c>
      <c r="AL355" s="1807">
        <f t="array" ref="AL355">AL354+AL353+AL352+AL351</f>
        <v/>
      </c>
      <c r="AM355" s="1807">
        <f t="array" ref="AM355">AM354+AM353+AM352+AM351</f>
        <v/>
      </c>
      <c r="AN355" s="1807">
        <f t="array" ref="AN355">AN354+AN353+AN352+AN351</f>
        <v/>
      </c>
      <c r="AO355" s="1807">
        <f t="array" ref="AO355">AO354+AO353+AO352+AO351</f>
        <v/>
      </c>
      <c r="AP355" s="1807">
        <f t="array" ref="AP355">AP354+AP353+AP352+AP351</f>
        <v/>
      </c>
      <c r="AQ355" s="1807">
        <f t="array" ref="AQ355">AQ354+AQ353+AQ352+AQ351</f>
        <v/>
      </c>
      <c r="AR355" s="1807">
        <f t="array" ref="AR355">AR354+AR353+AR352+AR351</f>
        <v/>
      </c>
      <c r="AS355" s="1807">
        <f t="array" ref="AS355">AS354+AS353+AS352+AS351</f>
        <v/>
      </c>
      <c r="AT355" s="1807">
        <f t="array" ref="AT355">AT354+AT353+AT352+AT351</f>
        <v/>
      </c>
      <c r="AU355" s="1807">
        <f t="array" ref="AU355">AU354+AU353+AU352+AU351</f>
        <v/>
      </c>
      <c r="AV355" s="1807">
        <f t="array" ref="AV355">AV354+AV353+AV352+AV351</f>
        <v/>
      </c>
      <c r="AW355" s="1808">
        <f t="array" ref="AW355">AW354+AW353+AW352+AW351</f>
        <v/>
      </c>
      <c r="AX355" s="1809">
        <f t="array" ref="AX355">AX354+AX353+AX352+AX351</f>
        <v/>
      </c>
      <c r="AY355" s="1809">
        <f t="array" ref="AY355">AY354+AY353+AY352+AY351</f>
        <v/>
      </c>
      <c r="AZ355" s="1809">
        <f t="array" ref="AZ355">AZ354+AZ353+AZ352+AZ351</f>
        <v/>
      </c>
      <c r="BA355" s="1810">
        <f t="array" ref="BA355">BA354+BA353+BA352+BA351</f>
        <v/>
      </c>
      <c r="BB355" s="1808">
        <f t="array" ref="BB355">BB354+BB353+BB352+BB351</f>
        <v/>
      </c>
      <c r="BC355" s="1809">
        <f t="array" ref="BC355">BC354+BC353+BC352+BC351</f>
        <v/>
      </c>
      <c r="BD355" s="710" t="n"/>
      <c r="BE355" s="710" t="n"/>
      <c r="BF355" s="1810">
        <f t="array" ref="BF355">BF354+BF353+BF351</f>
        <v/>
      </c>
      <c r="BG355" s="711" t="n"/>
      <c r="BH355" s="711" t="n"/>
      <c r="BI355" s="711" t="n"/>
      <c r="BJ355" s="711" t="n"/>
      <c r="BK355" s="1807">
        <f t="array" ref="BK355">BK354+BK353+BK351</f>
        <v/>
      </c>
      <c r="BL355" s="711" t="n"/>
      <c r="BM355" s="711" t="n"/>
      <c r="BN355" s="711" t="n"/>
      <c r="BO355" s="711" t="n"/>
      <c r="BP355" s="1807">
        <f t="array" ref="BP355">BP354+BP353+BP351</f>
        <v/>
      </c>
      <c r="BQ355" s="711" t="n"/>
      <c r="BR355" s="711" t="n"/>
      <c r="BS355" s="711" t="n"/>
      <c r="BT355" s="711" t="n"/>
      <c r="BU355" s="1807">
        <f t="array" ref="BU355">BU354+BU353+BU351</f>
        <v/>
      </c>
      <c r="BV355" s="711" t="n"/>
      <c r="BW355" s="711" t="n"/>
      <c r="BX355" s="711" t="n"/>
      <c r="BY355" s="711" t="n"/>
      <c r="BZ355" s="1807">
        <f t="array" ref="BZ355">BZ354+BZ353+BZ351</f>
        <v/>
      </c>
      <c r="CA355" s="711" t="n"/>
      <c r="CB355" s="456" t="n"/>
      <c r="CC355" s="701" t="n"/>
      <c r="CD355" s="701" t="n"/>
      <c r="CE355" s="701" t="n"/>
      <c r="CF355" s="701" t="n"/>
      <c r="CG355" s="701" t="n"/>
      <c r="CH355" s="701" t="n"/>
      <c r="CI355" s="701" t="n"/>
      <c r="CJ355" s="701" t="n"/>
      <c r="CK355" s="701" t="n"/>
      <c r="CL355" s="701" t="n"/>
      <c r="CM355" s="701" t="n"/>
      <c r="CN355" s="701" t="n"/>
      <c r="CO355" s="701" t="n"/>
      <c r="CP355" s="701" t="n"/>
      <c r="CQ355" s="701" t="n"/>
      <c r="CR355" s="701" t="n"/>
      <c r="CS355" s="701" t="n"/>
      <c r="CT355" s="701" t="n"/>
      <c r="CU355" s="701" t="n"/>
      <c r="CV355" s="701" t="n"/>
      <c r="CW355" s="30" t="n"/>
    </row>
    <row r="356" ht="12.75" customHeight="1" s="1676">
      <c r="A356" s="31" t="n"/>
      <c r="B356" s="498" t="inlineStr">
        <is>
          <t>Text_301</t>
        </is>
      </c>
      <c r="C356" s="33" t="n"/>
      <c r="D356" s="1954" t="n"/>
      <c r="E356" s="1954" t="n"/>
      <c r="F356" s="1954" t="n"/>
      <c r="G356" s="1954" t="n"/>
      <c r="H356" s="1954" t="n"/>
      <c r="I356" s="1954" t="n"/>
      <c r="J356" s="1954" t="n"/>
      <c r="K356" s="1954" t="n"/>
      <c r="L356" s="1954" t="n"/>
      <c r="M356" s="148">
        <f t="array" ref="M356">M355/$CA$5</f>
        <v/>
      </c>
      <c r="N356" s="1954" t="n"/>
      <c r="O356" s="1954" t="n"/>
      <c r="P356" s="1954" t="n"/>
      <c r="Q356" s="1954" t="n"/>
      <c r="R356" s="148">
        <f t="array" ref="R356">R355/$CA$5</f>
        <v/>
      </c>
      <c r="S356" s="1954" t="n"/>
      <c r="T356" s="1954" t="n"/>
      <c r="U356" s="1954" t="n"/>
      <c r="V356" s="1954" t="n"/>
      <c r="W356" s="148">
        <f t="array" ref="W356">W355/$CA$5</f>
        <v/>
      </c>
      <c r="X356" s="1954" t="n"/>
      <c r="Y356" s="1954" t="n"/>
      <c r="Z356" s="1954" t="n"/>
      <c r="AA356" s="1954" t="n"/>
      <c r="AB356" s="148">
        <f t="array" ref="AB356">AB355/$CA$5</f>
        <v/>
      </c>
      <c r="AC356" s="1954" t="n"/>
      <c r="AD356" s="1954" t="n"/>
      <c r="AE356" s="1954" t="n"/>
      <c r="AF356" s="1954" t="n"/>
      <c r="AG356" s="148">
        <f t="array" ref="AG356">AG355/$CA$5</f>
        <v/>
      </c>
      <c r="AH356" s="1954" t="n"/>
      <c r="AI356" s="1954" t="n"/>
      <c r="AJ356" s="1954" t="n"/>
      <c r="AK356" s="1954" t="n"/>
      <c r="AL356" s="148">
        <f t="array" ref="AL356">AL355/$CA$5</f>
        <v/>
      </c>
      <c r="AM356" s="33" t="n"/>
      <c r="AN356" s="1954" t="n"/>
      <c r="AO356" s="1954" t="n"/>
      <c r="AP356" s="1954" t="n"/>
      <c r="AQ356" s="148">
        <f t="array" ref="AQ356">AQ355/$CA$5</f>
        <v/>
      </c>
      <c r="AR356" s="33" t="n"/>
      <c r="AS356" s="1954" t="n"/>
      <c r="AT356" s="1954" t="n"/>
      <c r="AU356" s="1954" t="n"/>
      <c r="AV356" s="148">
        <f t="array" ref="AV356">AV355/$CA$5</f>
        <v/>
      </c>
      <c r="AW356" s="489" t="n"/>
      <c r="AX356" s="2104" t="n"/>
      <c r="AY356" s="2104" t="n"/>
      <c r="AZ356" s="2104" t="n"/>
      <c r="BA356" s="151">
        <f t="array" ref="BA356">BA355/$CA$5</f>
        <v/>
      </c>
      <c r="BB356" s="489" t="n"/>
      <c r="BC356" s="2104" t="n"/>
      <c r="BD356" s="266" t="n"/>
      <c r="BE356" s="266" t="n"/>
      <c r="BF356" s="151">
        <f t="array" ref="BF356">BF355/$CA$5</f>
        <v/>
      </c>
      <c r="BG356" s="33" t="n"/>
      <c r="BH356" s="33" t="n"/>
      <c r="BI356" s="33" t="n"/>
      <c r="BJ356" s="33" t="n"/>
      <c r="BK356" s="148">
        <f t="array" ref="BK356">BK355/$CA$5</f>
        <v/>
      </c>
      <c r="BL356" s="33" t="n"/>
      <c r="BM356" s="33" t="n"/>
      <c r="BN356" s="33" t="n"/>
      <c r="BO356" s="33" t="n"/>
      <c r="BP356" s="148">
        <f t="array" ref="BP356">BP355/$CA$5</f>
        <v/>
      </c>
      <c r="BQ356" s="33" t="n"/>
      <c r="BR356" s="33" t="n"/>
      <c r="BS356" s="33" t="n"/>
      <c r="BT356" s="33" t="n"/>
      <c r="BU356" s="148">
        <f t="array" ref="BU356">BU355/$CA$5</f>
        <v/>
      </c>
      <c r="BV356" s="33" t="n"/>
      <c r="BW356" s="33" t="n"/>
      <c r="BX356" s="33" t="n"/>
      <c r="BY356" s="33" t="n"/>
      <c r="BZ356" s="148">
        <f t="array" ref="BZ356">BZ355/$CA$5</f>
        <v/>
      </c>
      <c r="CA356" s="33" t="n"/>
      <c r="CB356" s="401" t="n"/>
      <c r="CC356" s="701" t="n"/>
      <c r="CD356" s="701" t="n"/>
      <c r="CE356" s="701" t="n"/>
      <c r="CF356" s="701" t="n"/>
      <c r="CG356" s="701" t="n"/>
      <c r="CH356" s="701" t="n"/>
      <c r="CI356" s="701" t="n"/>
      <c r="CJ356" s="701" t="n"/>
      <c r="CK356" s="701" t="n"/>
      <c r="CL356" s="701" t="n"/>
      <c r="CM356" s="701" t="n"/>
      <c r="CN356" s="701" t="n"/>
      <c r="CO356" s="701" t="n"/>
      <c r="CP356" s="701" t="n"/>
      <c r="CQ356" s="701" t="n"/>
      <c r="CR356" s="701" t="n"/>
      <c r="CS356" s="701" t="n"/>
      <c r="CT356" s="701" t="n"/>
      <c r="CU356" s="701" t="n"/>
      <c r="CV356" s="701" t="n"/>
      <c r="CW356" s="30" t="n"/>
    </row>
    <row r="357" ht="12.75" customHeight="1" s="1676">
      <c r="A357" s="31" t="n"/>
      <c r="B357" s="778" t="inlineStr">
        <is>
          <t>Text_302</t>
        </is>
      </c>
      <c r="C357" s="779" t="n"/>
      <c r="D357" s="779" t="n"/>
      <c r="E357" s="779" t="n"/>
      <c r="F357" s="779" t="n"/>
      <c r="G357" s="779" t="n"/>
      <c r="H357" s="2128" t="n"/>
      <c r="I357" s="779" t="n"/>
      <c r="J357" s="779" t="n"/>
      <c r="K357" s="779" t="n"/>
      <c r="L357" s="779" t="n"/>
      <c r="M357" s="2128" t="n"/>
      <c r="N357" s="779" t="n"/>
      <c r="O357" s="779" t="n"/>
      <c r="P357" s="779" t="n"/>
      <c r="Q357" s="779" t="n"/>
      <c r="R357" s="2128">
        <f t="array" ref="R357">-R355/R230</f>
        <v/>
      </c>
      <c r="S357" s="779" t="n"/>
      <c r="T357" s="779" t="n"/>
      <c r="U357" s="779" t="n"/>
      <c r="V357" s="779" t="n"/>
      <c r="W357" s="2128">
        <f t="array" ref="W357">-W355/W230</f>
        <v/>
      </c>
      <c r="X357" s="2128" t="n"/>
      <c r="Y357" s="2128" t="n"/>
      <c r="Z357" s="2128" t="n"/>
      <c r="AA357" s="2128" t="n"/>
      <c r="AB357" s="2128">
        <f t="array" ref="AB357">-AB355/AB230</f>
        <v/>
      </c>
      <c r="AC357" s="2128">
        <f t="array" ref="AC357">-AC355/(AC230+AA230+Z230+Y230)</f>
        <v/>
      </c>
      <c r="AD357" s="2128">
        <f t="array" ref="AD357">-AD355/(AD230+AC230+AA230+Z230)</f>
        <v/>
      </c>
      <c r="AE357" s="2128">
        <f t="array" ref="AE357">-AE355/(AE230+AC230+AD230+AA230)</f>
        <v/>
      </c>
      <c r="AF357" s="2128">
        <f t="array" ref="AF357">-AF355/(AF230+AD230+AC230+AE230)</f>
        <v/>
      </c>
      <c r="AG357" s="2128">
        <f t="array" ref="AG357">-AG355/AG230</f>
        <v/>
      </c>
      <c r="AH357" s="2128" t="n"/>
      <c r="AI357" s="2128" t="n"/>
      <c r="AJ357" s="2128" t="n"/>
      <c r="AK357" s="2128" t="n"/>
      <c r="AL357" s="2128">
        <f t="array" ref="AL357">-AL355/AL230</f>
        <v/>
      </c>
      <c r="AM357" s="2128">
        <f t="array" ref="AM357">-AM355/(AM230+AJ230+AI230+AK230)</f>
        <v/>
      </c>
      <c r="AN357" s="2128">
        <f t="array" ref="AN357">-AN355/(AN230+AK230+AJ230+AM230)</f>
        <v/>
      </c>
      <c r="AO357" s="2128">
        <f t="array" ref="AO357">-AO355/(AO230+AM230+AK230+AN230)</f>
        <v/>
      </c>
      <c r="AP357" s="2128">
        <f t="array" ref="AP357">-AP355/(AP230+AN230+AM230+AO230)</f>
        <v/>
      </c>
      <c r="AQ357" s="2128">
        <f t="array" ref="AQ357">-AQ355/AQ230</f>
        <v/>
      </c>
      <c r="AR357" s="2128">
        <f t="array" ref="AR357">-AR355/(AR230+AO230+AN230+AP230)</f>
        <v/>
      </c>
      <c r="AS357" s="2128">
        <f t="array" ref="AS357">-AS355/(AS230+AP230+AO230+AR230)</f>
        <v/>
      </c>
      <c r="AT357" s="2128">
        <f t="array" ref="AT357">-AT355/(AT230+AR230+AP230+AS230)</f>
        <v/>
      </c>
      <c r="AU357" s="2128">
        <f t="array" ref="AU357">-AU355/(AU230+AS230+AR230+AT230)</f>
        <v/>
      </c>
      <c r="AV357" s="2128">
        <f t="array" ref="AV357">-AV355/AV230</f>
        <v/>
      </c>
      <c r="AW357" s="2129">
        <f t="array" ref="AW357">-AW355/(AW230+AT230+AS230+AU230)</f>
        <v/>
      </c>
      <c r="AX357" s="2130">
        <f t="array" ref="AX357">-AX355/(AX230+AU230+AT230+AW230)</f>
        <v/>
      </c>
      <c r="AY357" s="2130">
        <f t="array" ref="AY357">-AY355/(AY230+AW230+AU230+AX230)</f>
        <v/>
      </c>
      <c r="AZ357" s="2130">
        <f t="array" ref="AZ357">-AZ355/(AZ230+AX230+AW230+AY230)</f>
        <v/>
      </c>
      <c r="BA357" s="2131">
        <f t="array" ref="BA357">-BA355/BA230</f>
        <v/>
      </c>
      <c r="BB357" s="2129">
        <f t="array" ref="BB357">-BB355/(BB230+AY230+AX230+AZ230)</f>
        <v/>
      </c>
      <c r="BC357" s="2130">
        <f t="array" ref="BC357">-BC355/(BC230+AZ230+AY230+BB230)</f>
        <v/>
      </c>
      <c r="BD357" s="784" t="n"/>
      <c r="BE357" s="784" t="n"/>
      <c r="BF357" s="2131">
        <f t="array" ref="BF357">-BF355/BF230</f>
        <v/>
      </c>
      <c r="BG357" s="779" t="n"/>
      <c r="BH357" s="779" t="n"/>
      <c r="BI357" s="779" t="n"/>
      <c r="BJ357" s="779" t="n"/>
      <c r="BK357" s="2128">
        <f t="array" ref="BK357">-BK355/BK230</f>
        <v/>
      </c>
      <c r="BL357" s="779" t="n"/>
      <c r="BM357" s="779" t="n"/>
      <c r="BN357" s="779" t="n"/>
      <c r="BO357" s="779" t="n"/>
      <c r="BP357" s="2128">
        <f t="array" ref="BP357">-BP355/BP230</f>
        <v/>
      </c>
      <c r="BQ357" s="779" t="n"/>
      <c r="BR357" s="779" t="n"/>
      <c r="BS357" s="779" t="n"/>
      <c r="BT357" s="779" t="n"/>
      <c r="BU357" s="2128">
        <f t="array" ref="BU357">-BU355/BU230</f>
        <v/>
      </c>
      <c r="BV357" s="779" t="n"/>
      <c r="BW357" s="779" t="n"/>
      <c r="BX357" s="779" t="n"/>
      <c r="BY357" s="779" t="n"/>
      <c r="BZ357" s="2128">
        <f t="array" ref="BZ357">-BZ355/BZ230</f>
        <v/>
      </c>
      <c r="CA357" s="1853" t="n"/>
      <c r="CB357" s="456" t="n"/>
      <c r="CC357" s="701" t="n"/>
      <c r="CD357" s="701" t="n"/>
      <c r="CE357" s="701" t="n"/>
      <c r="CF357" s="701" t="n"/>
      <c r="CG357" s="701" t="n"/>
      <c r="CH357" s="701" t="n"/>
      <c r="CI357" s="701" t="n"/>
      <c r="CJ357" s="701" t="n"/>
      <c r="CK357" s="701" t="n"/>
      <c r="CL357" s="701" t="n"/>
      <c r="CM357" s="701" t="n"/>
      <c r="CN357" s="701" t="n"/>
      <c r="CO357" s="701" t="n"/>
      <c r="CP357" s="701" t="n"/>
      <c r="CQ357" s="701" t="n"/>
      <c r="CR357" s="701" t="n"/>
      <c r="CS357" s="701" t="n"/>
      <c r="CT357" s="701" t="n"/>
      <c r="CU357" s="701" t="n"/>
      <c r="CV357" s="701" t="n"/>
      <c r="CW357" s="30" t="n"/>
    </row>
    <row r="358" ht="12.75" customHeight="1" s="1676">
      <c r="A358" s="31" t="n"/>
      <c r="B358" s="270" t="inlineStr">
        <is>
          <t>Text_303</t>
        </is>
      </c>
      <c r="C358" s="699" t="n"/>
      <c r="D358" s="699" t="n"/>
      <c r="E358" s="699" t="n"/>
      <c r="F358" s="699" t="n"/>
      <c r="G358" s="699" t="n"/>
      <c r="H358" s="1939" t="n"/>
      <c r="I358" s="699" t="n"/>
      <c r="J358" s="699" t="n"/>
      <c r="K358" s="699" t="n"/>
      <c r="L358" s="699" t="n"/>
      <c r="M358" s="1939" t="n"/>
      <c r="N358" s="699" t="n"/>
      <c r="O358" s="699" t="n"/>
      <c r="P358" s="699" t="n"/>
      <c r="Q358" s="699" t="n"/>
      <c r="R358" s="1939">
        <f t="array" ref="R358">-R355/R323</f>
        <v/>
      </c>
      <c r="S358" s="699" t="n"/>
      <c r="T358" s="699" t="n"/>
      <c r="U358" s="699" t="n"/>
      <c r="V358" s="699" t="n"/>
      <c r="W358" s="1939">
        <f t="array" ref="W358">-W355/W323</f>
        <v/>
      </c>
      <c r="X358" s="1939" t="n"/>
      <c r="Y358" s="1939" t="n"/>
      <c r="Z358" s="1939" t="n"/>
      <c r="AA358" s="1939" t="n"/>
      <c r="AB358" s="1939">
        <f t="array" ref="AB358">-AB355/AB323</f>
        <v/>
      </c>
      <c r="AC358" s="699" t="n"/>
      <c r="AD358" s="699" t="n"/>
      <c r="AE358" s="699" t="n"/>
      <c r="AF358" s="1939" t="n"/>
      <c r="AG358" s="1939">
        <f t="array" ref="AG358">-AG355/AG323</f>
        <v/>
      </c>
      <c r="AH358" s="699" t="n"/>
      <c r="AI358" s="699" t="n"/>
      <c r="AJ358" s="699" t="n"/>
      <c r="AK358" s="1939" t="n"/>
      <c r="AL358" s="1939">
        <f t="array" ref="AL358">-AL355/AL323</f>
        <v/>
      </c>
      <c r="AM358" s="699" t="n"/>
      <c r="AN358" s="699" t="n"/>
      <c r="AO358" s="699" t="n"/>
      <c r="AP358" s="1939" t="n"/>
      <c r="AQ358" s="1939">
        <f t="array" ref="AQ358">-AQ355/AQ323</f>
        <v/>
      </c>
      <c r="AR358" s="699" t="n"/>
      <c r="AS358" s="699" t="n"/>
      <c r="AT358" s="699" t="n"/>
      <c r="AU358" s="699" t="n"/>
      <c r="AV358" s="1939">
        <f t="array" ref="AV358">-AV355/AV323</f>
        <v/>
      </c>
      <c r="AW358" s="456" t="n"/>
      <c r="AX358" s="701" t="n"/>
      <c r="AY358" s="701" t="n"/>
      <c r="AZ358" s="701" t="n"/>
      <c r="BA358" s="1943">
        <f t="array" ref="BA358">-BA355/BA323</f>
        <v/>
      </c>
      <c r="BB358" s="456" t="n"/>
      <c r="BC358" s="701" t="n"/>
      <c r="BD358" s="701" t="n"/>
      <c r="BE358" s="701" t="n"/>
      <c r="BF358" s="1943">
        <f t="array" ref="BF358">-BF355/BF323</f>
        <v/>
      </c>
      <c r="BG358" s="699" t="n"/>
      <c r="BH358" s="699" t="n"/>
      <c r="BI358" s="699" t="n"/>
      <c r="BJ358" s="699" t="n"/>
      <c r="BK358" s="1939">
        <f t="array" ref="BK358">-BK355/BK323</f>
        <v/>
      </c>
      <c r="BL358" s="699" t="n"/>
      <c r="BM358" s="699" t="n"/>
      <c r="BN358" s="699" t="n"/>
      <c r="BO358" s="699" t="n"/>
      <c r="BP358" s="1939">
        <f t="array" ref="BP358">-BP355/BP323</f>
        <v/>
      </c>
      <c r="BQ358" s="699" t="n"/>
      <c r="BR358" s="699" t="n"/>
      <c r="BS358" s="699" t="n"/>
      <c r="BT358" s="699" t="n"/>
      <c r="BU358" s="1939">
        <f t="array" ref="BU358">-BU355/BU323</f>
        <v/>
      </c>
      <c r="BV358" s="699" t="n"/>
      <c r="BW358" s="699" t="n"/>
      <c r="BX358" s="699" t="n"/>
      <c r="BY358" s="699" t="n"/>
      <c r="BZ358" s="1939">
        <f t="array" ref="BZ358">-BZ355/BZ323</f>
        <v/>
      </c>
      <c r="CA358" s="699" t="n"/>
      <c r="CB358" s="456" t="n"/>
      <c r="CC358" s="701" t="n"/>
      <c r="CD358" s="701" t="n"/>
      <c r="CE358" s="701" t="n"/>
      <c r="CF358" s="701" t="n"/>
      <c r="CG358" s="701" t="n"/>
      <c r="CH358" s="701" t="n"/>
      <c r="CI358" s="701" t="n"/>
      <c r="CJ358" s="701" t="n"/>
      <c r="CK358" s="701" t="n"/>
      <c r="CL358" s="701" t="n"/>
      <c r="CM358" s="701" t="n"/>
      <c r="CN358" s="701" t="n"/>
      <c r="CO358" s="701" t="n"/>
      <c r="CP358" s="701" t="n"/>
      <c r="CQ358" s="701" t="n"/>
      <c r="CR358" s="701" t="n"/>
      <c r="CS358" s="701" t="n"/>
      <c r="CT358" s="701" t="n"/>
      <c r="CU358" s="701" t="n"/>
      <c r="CV358" s="701" t="n"/>
      <c r="CW358" s="30" t="n"/>
    </row>
    <row r="359" ht="12.75" customHeight="1" s="1676">
      <c r="A359" s="31" t="n"/>
      <c r="B359" s="522" t="inlineStr">
        <is>
          <t>Text_304</t>
        </is>
      </c>
      <c r="C359" s="699" t="n"/>
      <c r="D359" s="1797" t="n"/>
      <c r="E359" s="1797" t="n"/>
      <c r="F359" s="1797" t="n"/>
      <c r="G359" s="1797" t="n"/>
      <c r="H359" s="1797" t="n"/>
      <c r="I359" s="1797" t="n">
        <v>521.358169314818</v>
      </c>
      <c r="J359" s="1797" t="n">
        <v>392.026545388162</v>
      </c>
      <c r="K359" s="1797" t="n">
        <v>503.432177264551</v>
      </c>
      <c r="L359" s="1797" t="n">
        <v>671.580775390417</v>
      </c>
      <c r="M359" s="1797" t="n">
        <v>695.196397461006</v>
      </c>
      <c r="N359" s="1797" t="n">
        <v>717.6747932455351</v>
      </c>
      <c r="O359" s="1797" t="n">
        <v>569.014179570094</v>
      </c>
      <c r="P359" s="1797" t="n">
        <v>809.196121102749</v>
      </c>
      <c r="Q359" s="1797" t="n">
        <v>632.551549019588</v>
      </c>
      <c r="R359" s="1797" t="n">
        <v>607.335073475174</v>
      </c>
      <c r="S359" s="1797" t="n">
        <v>737.709841920106</v>
      </c>
      <c r="T359" s="1797" t="n">
        <v>843.42069296862</v>
      </c>
      <c r="U359" s="1797" t="n">
        <v>690.46716210748</v>
      </c>
      <c r="V359" s="1797" t="n">
        <v>544.439097116133</v>
      </c>
      <c r="W359" s="1797" t="n">
        <v>648.4529262993231</v>
      </c>
      <c r="X359" s="1797" t="n">
        <v>500.472482333035</v>
      </c>
      <c r="Y359" s="1797" t="n">
        <v>633.742367144729</v>
      </c>
      <c r="Z359" s="1797" t="n">
        <v>922.423426327449</v>
      </c>
      <c r="AA359" s="1745" t="n">
        <v>818.2332819244911</v>
      </c>
      <c r="AB359" s="1797" t="n">
        <v>930.239098140049</v>
      </c>
      <c r="AC359" s="1797" t="n">
        <v>900.288336381646</v>
      </c>
      <c r="AD359" s="1797" t="n">
        <v>1337.88256934133</v>
      </c>
      <c r="AE359" s="1797" t="n">
        <v>1319.69525720203</v>
      </c>
      <c r="AF359" s="1745" t="n">
        <v>917.964081925928</v>
      </c>
      <c r="AG359" s="1797" t="n">
        <v>1309.01319882101</v>
      </c>
      <c r="AH359" s="1797" t="n">
        <v>1038.17447170215</v>
      </c>
      <c r="AI359" s="1797" t="n">
        <v>1121.44207173556</v>
      </c>
      <c r="AJ359" s="1797" t="n">
        <v>998.547809089308</v>
      </c>
      <c r="AK359" s="1745" t="n">
        <v>1305.80498754252</v>
      </c>
      <c r="AL359" s="1797" t="n">
        <v>1459.2725434025</v>
      </c>
      <c r="AM359" s="1797" t="n">
        <v>1585.24168738801</v>
      </c>
      <c r="AN359" s="1797" t="n">
        <v>1417.42457311602</v>
      </c>
      <c r="AO359" s="1797" t="n">
        <v>1342.30095020661</v>
      </c>
      <c r="AP359" s="1745">
        <f t="array" ref="AP359">AQ359</f>
        <v/>
      </c>
      <c r="AQ359" s="1797" t="n">
        <v>1741.48433388663</v>
      </c>
      <c r="AR359" s="1797" t="n">
        <v>1705.23557616205</v>
      </c>
      <c r="AS359" s="1797" t="n">
        <v>2038.54639228509</v>
      </c>
      <c r="AT359" s="1797" t="n">
        <v>1770.12062207373</v>
      </c>
      <c r="AU359" s="1745">
        <f t="array" ref="AU359">AV359</f>
        <v/>
      </c>
      <c r="AV359" s="1797" t="n">
        <v>1966.20692250791</v>
      </c>
      <c r="AW359" s="1975" t="n">
        <v>1910.73077261917</v>
      </c>
      <c r="AX359" s="1854" t="n">
        <v>1773.88637847204</v>
      </c>
      <c r="AY359" s="1854" t="n">
        <v>1889.27089959714</v>
      </c>
      <c r="AZ359" s="1874">
        <f t="array" ref="AZ359">BA359</f>
        <v/>
      </c>
      <c r="BA359" s="1795" t="n">
        <v>1702.15872068445</v>
      </c>
      <c r="BB359" s="456" t="n"/>
      <c r="BC359" s="701" t="n"/>
      <c r="BD359" s="701" t="n"/>
      <c r="BE359" s="701" t="n"/>
      <c r="BF359" s="785" t="n"/>
      <c r="BG359" s="699" t="n"/>
      <c r="BH359" s="699" t="n"/>
      <c r="BI359" s="699" t="n"/>
      <c r="BJ359" s="699" t="n"/>
      <c r="BK359" s="610" t="n"/>
      <c r="BL359" s="699" t="n"/>
      <c r="BM359" s="699" t="n"/>
      <c r="BN359" s="699" t="n"/>
      <c r="BO359" s="699" t="n"/>
      <c r="BP359" s="610" t="n"/>
      <c r="BQ359" s="699" t="n"/>
      <c r="BR359" s="699" t="n"/>
      <c r="BS359" s="699" t="n"/>
      <c r="BT359" s="699" t="n"/>
      <c r="BU359" s="610" t="n"/>
      <c r="BV359" s="699" t="n"/>
      <c r="BW359" s="699" t="n"/>
      <c r="BX359" s="699" t="n"/>
      <c r="BY359" s="699" t="n"/>
      <c r="BZ359" s="610" t="n"/>
      <c r="CA359" s="699" t="n"/>
      <c r="CB359" s="456" t="n"/>
      <c r="CC359" s="701" t="n"/>
      <c r="CD359" s="701" t="n"/>
      <c r="CE359" s="701" t="n"/>
      <c r="CF359" s="701" t="n"/>
      <c r="CG359" s="701" t="n"/>
      <c r="CH359" s="701" t="n"/>
      <c r="CI359" s="701" t="n"/>
      <c r="CJ359" s="701" t="n"/>
      <c r="CK359" s="701" t="n"/>
      <c r="CL359" s="701" t="n"/>
      <c r="CM359" s="701" t="n"/>
      <c r="CN359" s="701" t="n"/>
      <c r="CO359" s="701" t="n"/>
      <c r="CP359" s="701" t="n"/>
      <c r="CQ359" s="701" t="n"/>
      <c r="CR359" s="701" t="n"/>
      <c r="CS359" s="701" t="n"/>
      <c r="CT359" s="701" t="n"/>
      <c r="CU359" s="701" t="n"/>
      <c r="CV359" s="701" t="n"/>
      <c r="CW359" s="30" t="n"/>
    </row>
    <row r="360" ht="12.75" customHeight="1" s="1676">
      <c r="A360" s="31" t="n"/>
      <c r="B360" s="270" t="inlineStr">
        <is>
          <t>Text_305</t>
        </is>
      </c>
      <c r="C360" s="699" t="n"/>
      <c r="D360" s="699" t="n"/>
      <c r="E360" s="699" t="n"/>
      <c r="F360" s="699" t="n"/>
      <c r="G360" s="699" t="n"/>
      <c r="H360" s="2019" t="n"/>
      <c r="I360" s="699" t="n"/>
      <c r="J360" s="699" t="n"/>
      <c r="K360" s="699" t="n"/>
      <c r="L360" s="699" t="n"/>
      <c r="M360" s="698" t="n"/>
      <c r="N360" s="699" t="n"/>
      <c r="O360" s="699" t="n"/>
      <c r="P360" s="699" t="n"/>
      <c r="Q360" s="699" t="n"/>
      <c r="R360" s="698">
        <f t="array" ref="R360">AVERAGE(M359,R359)/R212*(365)</f>
        <v/>
      </c>
      <c r="S360" s="699" t="n"/>
      <c r="T360" s="699" t="n"/>
      <c r="U360" s="699" t="n"/>
      <c r="V360" s="699" t="n"/>
      <c r="W360" s="698">
        <f t="array" ref="W360">AVERAGE(R359,W359)/W212*(365)</f>
        <v/>
      </c>
      <c r="X360" s="2019" t="n"/>
      <c r="Y360" s="2019" t="n"/>
      <c r="Z360" s="2019" t="n"/>
      <c r="AA360" s="2019" t="n"/>
      <c r="AB360" s="698">
        <f t="array" ref="AB360">AVERAGE(W359,AB359)/AB212*(365)</f>
        <v/>
      </c>
      <c r="AC360" s="698">
        <f t="array" ref="AC360">AVERAGE(AB359,AC359)/AC212*(365/4)</f>
        <v/>
      </c>
      <c r="AD360" s="698">
        <f t="array" ref="AD360">AVERAGE(AC359,AD359)/AD212*(365/4)</f>
        <v/>
      </c>
      <c r="AE360" s="698">
        <f t="array" ref="AE360">AVERAGE(AD359,AE359)/AE212*(365/4)</f>
        <v/>
      </c>
      <c r="AF360" s="698">
        <f t="array" ref="AF360">AVERAGE(AE359,AF359)/AF212*(365/4)</f>
        <v/>
      </c>
      <c r="AG360" s="698">
        <f t="array" ref="AG360">AVERAGE(AB359,AG359)/AG212*(365)</f>
        <v/>
      </c>
      <c r="AH360" s="698" t="n"/>
      <c r="AI360" s="698" t="n"/>
      <c r="AJ360" s="698" t="n"/>
      <c r="AK360" s="698">
        <f t="array" ref="AK360">AVERAGE(AJ359,AK359)/AK212*(365/4)</f>
        <v/>
      </c>
      <c r="AL360" s="698">
        <f t="array" ref="AL360">AVERAGE(AG359,AL359)/AL212*(365)</f>
        <v/>
      </c>
      <c r="AM360" s="698">
        <f t="array" ref="AM360">AVERAGE(AL359,AM359)/AM212*(365/4)</f>
        <v/>
      </c>
      <c r="AN360" s="698">
        <f t="array" ref="AN360">AVERAGE(AM359,AN359)/AN212*(365/4)</f>
        <v/>
      </c>
      <c r="AO360" s="698">
        <f t="array" ref="AO360">AVERAGE(AN359,AO359)/AO212*(365/4)</f>
        <v/>
      </c>
      <c r="AP360" s="698">
        <f t="array" ref="AP360">AVERAGE(AO359,AP359)/AP212*(365/4)</f>
        <v/>
      </c>
      <c r="AQ360" s="698">
        <f t="array" ref="AQ360">AVERAGE(AL359,AQ359)/AQ212*(365)</f>
        <v/>
      </c>
      <c r="AR360" s="698">
        <f t="array" ref="AR360">AVERAGE(AQ359,AR359)/AR212*(365/4)</f>
        <v/>
      </c>
      <c r="AS360" s="698">
        <f t="array" ref="AS360">AVERAGE(AR359,AS359)/AS212*(365/4)</f>
        <v/>
      </c>
      <c r="AT360" s="698">
        <f t="array" ref="AT360">AVERAGE(AS359,AT359)/AT212*(365/4)</f>
        <v/>
      </c>
      <c r="AU360" s="698">
        <f t="array" ref="AU360">AVERAGE(AT359,AU359)/AU212*(365/4)</f>
        <v/>
      </c>
      <c r="AV360" s="698">
        <f t="array" ref="AV360">AVERAGE(AQ359,AV359)/AV212*(365)</f>
        <v/>
      </c>
      <c r="AW360" s="713">
        <f t="array" ref="AW360">AVERAGE(AV359,AW359)/AW212*(365/4)</f>
        <v/>
      </c>
      <c r="AX360" s="786">
        <f t="array" ref="AX360">AVERAGE(AW359,AX359)/AX212*(365/4)</f>
        <v/>
      </c>
      <c r="AY360" s="786">
        <f t="array" ref="AY360">AVERAGE(AX359,AY359)/AY212*(365/4)</f>
        <v/>
      </c>
      <c r="AZ360" s="786">
        <f t="array" ref="AZ360">AVERAGE(AY359,AZ359)/AZ212*(365/4)</f>
        <v/>
      </c>
      <c r="BA360" s="787">
        <f t="array" ref="BA360">AVERAGE(AV359,BA359)/BA212*(365)</f>
        <v/>
      </c>
      <c r="BB360" s="456" t="n"/>
      <c r="BC360" s="701" t="n"/>
      <c r="BD360" s="701" t="n"/>
      <c r="BE360" s="701" t="n"/>
      <c r="BF360" s="785" t="n"/>
      <c r="BG360" s="699" t="n"/>
      <c r="BH360" s="699" t="n"/>
      <c r="BI360" s="699" t="n"/>
      <c r="BJ360" s="699" t="n"/>
      <c r="BK360" s="610" t="n"/>
      <c r="BL360" s="699" t="n"/>
      <c r="BM360" s="699" t="n"/>
      <c r="BN360" s="699" t="n"/>
      <c r="BO360" s="699" t="n"/>
      <c r="BP360" s="610" t="n"/>
      <c r="BQ360" s="699" t="n"/>
      <c r="BR360" s="699" t="n"/>
      <c r="BS360" s="699" t="n"/>
      <c r="BT360" s="699" t="n"/>
      <c r="BU360" s="610" t="n"/>
      <c r="BV360" s="699" t="n"/>
      <c r="BW360" s="699" t="n"/>
      <c r="BX360" s="699" t="n"/>
      <c r="BY360" s="699" t="n"/>
      <c r="BZ360" s="610" t="n"/>
      <c r="CA360" s="2044" t="n"/>
      <c r="CB360" s="401" t="n"/>
      <c r="CC360" s="701" t="n"/>
      <c r="CD360" s="701" t="n"/>
      <c r="CE360" s="701" t="n"/>
      <c r="CF360" s="701" t="n"/>
      <c r="CG360" s="701" t="n"/>
      <c r="CH360" s="701" t="n"/>
      <c r="CI360" s="701" t="n"/>
      <c r="CJ360" s="701" t="n"/>
      <c r="CK360" s="701" t="n"/>
      <c r="CL360" s="701" t="n"/>
      <c r="CM360" s="701" t="n"/>
      <c r="CN360" s="701" t="n"/>
      <c r="CO360" s="701" t="n"/>
      <c r="CP360" s="701" t="n"/>
      <c r="CQ360" s="701" t="n"/>
      <c r="CR360" s="701" t="n"/>
      <c r="CS360" s="701" t="n"/>
      <c r="CT360" s="701" t="n"/>
      <c r="CU360" s="701" t="n"/>
      <c r="CV360" s="701" t="n"/>
      <c r="CW360" s="30" t="n"/>
    </row>
    <row r="361" ht="12.75" customHeight="1" s="1676">
      <c r="A361" s="31" t="n"/>
      <c r="B361" s="522" t="inlineStr">
        <is>
          <t>Text_306</t>
        </is>
      </c>
      <c r="C361" s="699" t="n"/>
      <c r="D361" s="1797" t="n"/>
      <c r="E361" s="1797" t="n"/>
      <c r="F361" s="1797" t="n"/>
      <c r="G361" s="1797" t="n"/>
      <c r="H361" s="1797" t="n"/>
      <c r="I361" s="1797" t="n">
        <v>644.364941547476</v>
      </c>
      <c r="J361" s="1797" t="n">
        <v>615.974278513256</v>
      </c>
      <c r="K361" s="1797" t="n">
        <v>762.03399243903</v>
      </c>
      <c r="L361" s="1797" t="n">
        <v>832.488188560061</v>
      </c>
      <c r="M361" s="1797" t="n">
        <v>727.556559661706</v>
      </c>
      <c r="N361" s="1797" t="n">
        <v>663.2644193687451</v>
      </c>
      <c r="O361" s="1797" t="n">
        <v>710.856372344142</v>
      </c>
      <c r="P361" s="1797" t="n">
        <v>591.686864809531</v>
      </c>
      <c r="Q361" s="1797" t="n">
        <v>846.94097677023</v>
      </c>
      <c r="R361" s="1797" t="n">
        <v>733.892199565684</v>
      </c>
      <c r="S361" s="1797" t="n">
        <v>746.954677072306</v>
      </c>
      <c r="T361" s="1797" t="n">
        <v>815.034585289003</v>
      </c>
      <c r="U361" s="1797" t="n">
        <v>901.79594182501</v>
      </c>
      <c r="V361" s="1797" t="n">
        <v>772.229570461258</v>
      </c>
      <c r="W361" s="1797" t="n">
        <v>999.913377804369</v>
      </c>
      <c r="X361" s="1797" t="n">
        <v>890.967862619539</v>
      </c>
      <c r="Y361" s="1797" t="n">
        <v>1092.08368351012</v>
      </c>
      <c r="Z361" s="1797" t="n">
        <v>1487.20487330021</v>
      </c>
      <c r="AA361" s="1745" t="n">
        <v>1415.99904631402</v>
      </c>
      <c r="AB361" s="1797" t="n">
        <v>1289.01298854098</v>
      </c>
      <c r="AC361" s="1797" t="n">
        <v>1264.35915429273</v>
      </c>
      <c r="AD361" s="1797" t="n">
        <v>1072.63799120806</v>
      </c>
      <c r="AE361" s="1797" t="n">
        <v>1403.35933164365</v>
      </c>
      <c r="AF361" s="1745" t="n">
        <v>1191.11345064997</v>
      </c>
      <c r="AG361" s="1797" t="n">
        <v>1309.25209955319</v>
      </c>
      <c r="AH361" s="1797" t="n">
        <v>1273.91681888475</v>
      </c>
      <c r="AI361" s="1797" t="n">
        <v>1212.54199255516</v>
      </c>
      <c r="AJ361" s="1797" t="n">
        <v>1525.76193616752</v>
      </c>
      <c r="AK361" s="1745" t="n">
        <v>1294.54144040772</v>
      </c>
      <c r="AL361" s="1797" t="n">
        <v>1732.06429157509</v>
      </c>
      <c r="AM361" s="1797" t="n">
        <v>1590.17880631856</v>
      </c>
      <c r="AN361" s="1797" t="n">
        <v>1463.62816359949</v>
      </c>
      <c r="AO361" s="1797" t="n">
        <v>1991.12150372902</v>
      </c>
      <c r="AP361" s="1745">
        <f t="array" ref="AP361">AQ361</f>
        <v/>
      </c>
      <c r="AQ361" s="1797" t="n">
        <v>1757.74553881877</v>
      </c>
      <c r="AR361" s="1797" t="n">
        <v>2192.70242013561</v>
      </c>
      <c r="AS361" s="1797" t="n">
        <v>2745.28020475322</v>
      </c>
      <c r="AT361" s="1797" t="n">
        <v>2268.74653929095</v>
      </c>
      <c r="AU361" s="1714">
        <f t="array" ref="AU361">AV361</f>
        <v/>
      </c>
      <c r="AV361" s="1797" t="n">
        <v>3267.26541815755</v>
      </c>
      <c r="AW361" s="1975" t="n">
        <v>2410.75968019193</v>
      </c>
      <c r="AX361" s="1854" t="n">
        <v>2730.90476801009</v>
      </c>
      <c r="AY361" s="1854" t="n">
        <v>3296.8175059057</v>
      </c>
      <c r="AZ361" s="1850">
        <f t="array" ref="AZ361">BA361</f>
        <v/>
      </c>
      <c r="BA361" s="1795" t="n">
        <v>2811.74905650626</v>
      </c>
      <c r="BB361" s="1879" t="n"/>
      <c r="BC361" s="1850" t="n"/>
      <c r="BD361" s="1850" t="n"/>
      <c r="BE361" s="1850" t="n"/>
      <c r="BF361" s="2039" t="n"/>
      <c r="BG361" s="1714" t="n"/>
      <c r="BH361" s="1714" t="n"/>
      <c r="BI361" s="1714" t="n"/>
      <c r="BJ361" s="1714" t="n"/>
      <c r="BK361" s="1714" t="n"/>
      <c r="BL361" s="1714" t="n"/>
      <c r="BM361" s="1714" t="n"/>
      <c r="BN361" s="1714" t="n"/>
      <c r="BO361" s="1714" t="n"/>
      <c r="BP361" s="1714" t="n"/>
      <c r="BQ361" s="1714" t="n"/>
      <c r="BR361" s="1714" t="n"/>
      <c r="BS361" s="1714" t="n"/>
      <c r="BT361" s="1714" t="n"/>
      <c r="BU361" s="1714" t="n"/>
      <c r="BV361" s="1714" t="n"/>
      <c r="BW361" s="1714" t="n"/>
      <c r="BX361" s="1714" t="n"/>
      <c r="BY361" s="1714" t="n"/>
      <c r="BZ361" s="1714" t="n"/>
      <c r="CA361" s="699" t="n"/>
      <c r="CB361" s="456" t="n"/>
      <c r="CC361" s="701" t="n"/>
      <c r="CD361" s="701" t="n"/>
      <c r="CE361" s="701" t="n"/>
      <c r="CF361" s="701" t="n"/>
      <c r="CG361" s="701" t="n"/>
      <c r="CH361" s="701" t="n"/>
      <c r="CI361" s="701" t="n"/>
      <c r="CJ361" s="701" t="n"/>
      <c r="CK361" s="701" t="n"/>
      <c r="CL361" s="701" t="n"/>
      <c r="CM361" s="701" t="n"/>
      <c r="CN361" s="701" t="n"/>
      <c r="CO361" s="701" t="n"/>
      <c r="CP361" s="701" t="n"/>
      <c r="CQ361" s="701" t="n"/>
      <c r="CR361" s="701" t="n"/>
      <c r="CS361" s="701" t="n"/>
      <c r="CT361" s="701" t="n"/>
      <c r="CU361" s="701" t="n"/>
      <c r="CV361" s="701" t="n"/>
      <c r="CW361" s="30" t="n"/>
    </row>
    <row r="362" ht="12.75" customHeight="1" s="1676">
      <c r="A362" s="31" t="n"/>
      <c r="B362" s="238" t="inlineStr">
        <is>
          <t>Text_307</t>
        </is>
      </c>
      <c r="C362" s="699" t="n"/>
      <c r="D362" s="1797" t="n"/>
      <c r="E362" s="1797" t="n"/>
      <c r="F362" s="1797" t="n"/>
      <c r="G362" s="1797" t="n"/>
      <c r="H362" s="1797" t="n"/>
      <c r="I362" s="1797" t="n"/>
      <c r="J362" s="1797" t="n"/>
      <c r="K362" s="1797" t="n"/>
      <c r="L362" s="1797" t="n"/>
      <c r="M362" s="2132" t="n"/>
      <c r="N362" s="1797" t="n"/>
      <c r="O362" s="1797" t="n"/>
      <c r="P362" s="1797" t="n"/>
      <c r="Q362" s="1797" t="n"/>
      <c r="R362" s="789">
        <f t="array" ref="R362">-AVERAGE(Q361,R361)/R216*(365)</f>
        <v/>
      </c>
      <c r="S362" s="1797" t="n"/>
      <c r="T362" s="1797" t="n"/>
      <c r="U362" s="1797" t="n"/>
      <c r="V362" s="1797" t="n"/>
      <c r="W362" s="789">
        <f t="array" ref="W362">-AVERAGE(V361,W361)/W216*(365)</f>
        <v/>
      </c>
      <c r="X362" s="1797" t="n"/>
      <c r="Y362" s="1797" t="n"/>
      <c r="Z362" s="1797" t="n"/>
      <c r="AA362" s="1745" t="n"/>
      <c r="AB362" s="789">
        <f t="array" ref="AB362">-AVERAGE(AA361,AB361)/AB216*(365)</f>
        <v/>
      </c>
      <c r="AC362" s="2132" t="n"/>
      <c r="AD362" s="2132" t="n"/>
      <c r="AE362" s="2132" t="n"/>
      <c r="AF362" s="2132" t="n"/>
      <c r="AG362" s="789">
        <f t="array" ref="AG362">-AVERAGE(AF361,AG361)/AG216*(365)</f>
        <v/>
      </c>
      <c r="AH362" s="2132" t="n"/>
      <c r="AI362" s="2132" t="n"/>
      <c r="AJ362" s="2132" t="n"/>
      <c r="AK362" s="2132" t="n"/>
      <c r="AL362" s="789">
        <f t="array" ref="AL362">-AVERAGE(AK361,AL361)/AL216*(365)</f>
        <v/>
      </c>
      <c r="AM362" s="789">
        <f t="array" ref="AM362">-AVERAGE(AL361,AM361)/AM216*(365/4)</f>
        <v/>
      </c>
      <c r="AN362" s="789">
        <f t="array" ref="AN362">-AVERAGE(AM361,AN361)/AN216*(365/4)</f>
        <v/>
      </c>
      <c r="AO362" s="789">
        <f t="array" ref="AO362">-AVERAGE(AN361,AO361)/AO216*(365/4)</f>
        <v/>
      </c>
      <c r="AP362" s="789">
        <f t="array" ref="AP362">-AVERAGE(AO361,AP361)/AP216*(365/4)</f>
        <v/>
      </c>
      <c r="AQ362" s="789">
        <f t="array" ref="AQ362">-AVERAGE(AP361,AQ361)/AQ216*(365)</f>
        <v/>
      </c>
      <c r="AR362" s="789">
        <f t="array" ref="AR362">-AVERAGE(AQ361,AR361)/AR216*(365/4)</f>
        <v/>
      </c>
      <c r="AS362" s="789">
        <f t="array" ref="AS362">-AVERAGE(AR361,AS361)/AS216*(365/4)</f>
        <v/>
      </c>
      <c r="AT362" s="789">
        <f t="array" ref="AT362">-AVERAGE(AS361,AT361)/AT216*(365/4)</f>
        <v/>
      </c>
      <c r="AU362" s="789">
        <f t="array" ref="AU362">-AVERAGE(AT361,AU361)/AU216*(365/4)</f>
        <v/>
      </c>
      <c r="AV362" s="789">
        <f t="array" ref="AV362">-AVERAGE(AU361,AV361)/AV216*(365)</f>
        <v/>
      </c>
      <c r="AW362" s="790">
        <f t="array" ref="AW362">-AVERAGE(AV361,AW361)/AW216*(365/4)</f>
        <v/>
      </c>
      <c r="AX362" s="791">
        <f t="array" ref="AX362">-AVERAGE(AW361,AX361)/AX216*(365/4)</f>
        <v/>
      </c>
      <c r="AY362" s="791">
        <f t="array" ref="AY362">-AVERAGE(AX361,AY361)/AY216*(365/4)</f>
        <v/>
      </c>
      <c r="AZ362" s="791">
        <f t="array" ref="AZ362">-AVERAGE(AY361,AZ361)/AZ216*(365/4)</f>
        <v/>
      </c>
      <c r="BA362" s="792">
        <f t="array" ref="BA362">-AVERAGE(AZ361,BA361)/BA216*(365)</f>
        <v/>
      </c>
      <c r="BB362" s="1879" t="n"/>
      <c r="BC362" s="1850" t="n"/>
      <c r="BD362" s="1850" t="n"/>
      <c r="BE362" s="1850" t="n"/>
      <c r="BF362" s="2039" t="n"/>
      <c r="BG362" s="1714" t="n"/>
      <c r="BH362" s="1714" t="n"/>
      <c r="BI362" s="1714" t="n"/>
      <c r="BJ362" s="1714" t="n"/>
      <c r="BK362" s="1714" t="n"/>
      <c r="BL362" s="1714" t="n"/>
      <c r="BM362" s="1714" t="n"/>
      <c r="BN362" s="1714" t="n"/>
      <c r="BO362" s="1714" t="n"/>
      <c r="BP362" s="1714" t="n"/>
      <c r="BQ362" s="1714" t="n"/>
      <c r="BR362" s="1714" t="n"/>
      <c r="BS362" s="1714" t="n"/>
      <c r="BT362" s="1714" t="n"/>
      <c r="BU362" s="1714" t="n"/>
      <c r="BV362" s="1714" t="n"/>
      <c r="BW362" s="1714" t="n"/>
      <c r="BX362" s="1714" t="n"/>
      <c r="BY362" s="1714" t="n"/>
      <c r="BZ362" s="1714" t="n"/>
      <c r="CA362" s="699" t="n"/>
      <c r="CB362" s="456" t="n"/>
      <c r="CC362" s="701" t="n"/>
      <c r="CD362" s="701" t="n"/>
      <c r="CE362" s="701" t="n"/>
      <c r="CF362" s="701" t="n"/>
      <c r="CG362" s="701" t="n"/>
      <c r="CH362" s="701" t="n"/>
      <c r="CI362" s="701" t="n"/>
      <c r="CJ362" s="701" t="n"/>
      <c r="CK362" s="701" t="n"/>
      <c r="CL362" s="701" t="n"/>
      <c r="CM362" s="701" t="n"/>
      <c r="CN362" s="701" t="n"/>
      <c r="CO362" s="701" t="n"/>
      <c r="CP362" s="701" t="n"/>
      <c r="CQ362" s="701" t="n"/>
      <c r="CR362" s="701" t="n"/>
      <c r="CS362" s="701" t="n"/>
      <c r="CT362" s="701" t="n"/>
      <c r="CU362" s="701" t="n"/>
      <c r="CV362" s="701" t="n"/>
      <c r="CW362" s="30" t="n"/>
    </row>
    <row r="363" ht="12.75" customHeight="1" s="1676">
      <c r="A363" s="31" t="n"/>
      <c r="B363" s="238" t="inlineStr">
        <is>
          <t>Text_308</t>
        </is>
      </c>
      <c r="C363" s="699" t="n"/>
      <c r="D363" s="1797" t="n"/>
      <c r="E363" s="1797" t="n"/>
      <c r="F363" s="1797" t="n"/>
      <c r="G363" s="1797" t="n"/>
      <c r="H363" s="1797" t="n"/>
      <c r="I363" s="1797" t="n"/>
      <c r="J363" s="1797" t="n"/>
      <c r="K363" s="1797" t="n"/>
      <c r="L363" s="1797" t="n"/>
      <c r="M363" s="2133" t="n"/>
      <c r="N363" s="1797" t="n"/>
      <c r="O363" s="1797" t="n"/>
      <c r="P363" s="1797" t="n"/>
      <c r="Q363" s="1797" t="n"/>
      <c r="R363" s="1939">
        <f t="array" ref="R363">-R216/AVERAGE(R361,Q361)</f>
        <v/>
      </c>
      <c r="S363" s="1797" t="n"/>
      <c r="T363" s="1797" t="n"/>
      <c r="U363" s="1797" t="n"/>
      <c r="V363" s="1797" t="n"/>
      <c r="W363" s="1939">
        <f t="array" ref="W363">-W216/AVERAGE(W361,V361)</f>
        <v/>
      </c>
      <c r="X363" s="1797" t="n"/>
      <c r="Y363" s="1797" t="n"/>
      <c r="Z363" s="1797" t="n"/>
      <c r="AA363" s="1745" t="n"/>
      <c r="AB363" s="1939">
        <f t="array" ref="AB363">-AB216/AVERAGE(AB361,AA361)</f>
        <v/>
      </c>
      <c r="AC363" s="2133" t="n"/>
      <c r="AD363" s="2133" t="n"/>
      <c r="AE363" s="2133" t="n"/>
      <c r="AF363" s="2133" t="n"/>
      <c r="AG363" s="1939">
        <f t="array" ref="AG363">-AG216/AVERAGE(AG361,AF361)</f>
        <v/>
      </c>
      <c r="AH363" s="2133" t="n"/>
      <c r="AI363" s="2133" t="n"/>
      <c r="AJ363" s="2133" t="n"/>
      <c r="AK363" s="2133" t="n"/>
      <c r="AL363" s="1939">
        <f t="array" ref="AL363">-AL216/AVERAGE(AL361,AK361)</f>
        <v/>
      </c>
      <c r="AM363" s="1939">
        <f t="array" ref="AM363">-AM216*4/AVERAGE(AM361,AL361)</f>
        <v/>
      </c>
      <c r="AN363" s="1939">
        <f t="array" ref="AN363">-AN216*4/AVERAGE(AN361,AM361)</f>
        <v/>
      </c>
      <c r="AO363" s="1939">
        <f t="array" ref="AO363">-AO216*4/AVERAGE(AO361,AN361)</f>
        <v/>
      </c>
      <c r="AP363" s="1939">
        <f t="array" ref="AP363">-AP216*4/AVERAGE(AP361,AO361)</f>
        <v/>
      </c>
      <c r="AQ363" s="1939">
        <f t="array" ref="AQ363">-AQ216/AVERAGE(AQ361,AP361)</f>
        <v/>
      </c>
      <c r="AR363" s="1939">
        <f t="array" ref="AR363">-AR216*4/AVERAGE(AR361,AQ361)</f>
        <v/>
      </c>
      <c r="AS363" s="1939">
        <f t="array" ref="AS363">-AS216*4/AVERAGE(AS361,AR361)</f>
        <v/>
      </c>
      <c r="AT363" s="1939">
        <f t="array" ref="AT363">-AT216*4/AVERAGE(AT361,AS361)</f>
        <v/>
      </c>
      <c r="AU363" s="1939">
        <f t="array" ref="AU363">-AU216*4/AVERAGE(AU361,AT361)</f>
        <v/>
      </c>
      <c r="AV363" s="1939">
        <f t="array" ref="AV363">-AV216/AVERAGE(AV361,AU361)</f>
        <v/>
      </c>
      <c r="AW363" s="2134">
        <f t="array" ref="AW363">-AW216*4/AVERAGE(AW361,AV361)</f>
        <v/>
      </c>
      <c r="AX363" s="2135">
        <f t="array" ref="AX363">-AX216*4/AVERAGE(AX361,AW361)</f>
        <v/>
      </c>
      <c r="AY363" s="2135">
        <f t="array" ref="AY363">-AY216*4/AVERAGE(AY361,AX361)</f>
        <v/>
      </c>
      <c r="AZ363" s="2135">
        <f t="array" ref="AZ363">-AZ216*4/AVERAGE(AZ361,AY361)</f>
        <v/>
      </c>
      <c r="BA363" s="1943">
        <f t="array" ref="BA363">-BA216/AVERAGE(BA361,AZ361)</f>
        <v/>
      </c>
      <c r="BB363" s="1879" t="n"/>
      <c r="BC363" s="1850" t="n"/>
      <c r="BD363" s="1850" t="n"/>
      <c r="BE363" s="1850" t="n"/>
      <c r="BF363" s="2039" t="n"/>
      <c r="BG363" s="1714" t="n"/>
      <c r="BH363" s="1714" t="n"/>
      <c r="BI363" s="1714" t="n"/>
      <c r="BJ363" s="1714" t="n"/>
      <c r="BK363" s="1714" t="n"/>
      <c r="BL363" s="1714" t="n"/>
      <c r="BM363" s="1714" t="n"/>
      <c r="BN363" s="1714" t="n"/>
      <c r="BO363" s="1714" t="n"/>
      <c r="BP363" s="1714" t="n"/>
      <c r="BQ363" s="1714" t="n"/>
      <c r="BR363" s="1714" t="n"/>
      <c r="BS363" s="1714" t="n"/>
      <c r="BT363" s="1714" t="n"/>
      <c r="BU363" s="1714" t="n"/>
      <c r="BV363" s="1714" t="n"/>
      <c r="BW363" s="1714" t="n"/>
      <c r="BX363" s="1714" t="n"/>
      <c r="BY363" s="1714" t="n"/>
      <c r="BZ363" s="1714" t="n"/>
      <c r="CA363" s="699" t="n"/>
      <c r="CB363" s="456" t="n"/>
      <c r="CC363" s="701" t="n"/>
      <c r="CD363" s="701" t="n"/>
      <c r="CE363" s="701" t="n"/>
      <c r="CF363" s="701" t="n"/>
      <c r="CG363" s="701" t="n"/>
      <c r="CH363" s="701" t="n"/>
      <c r="CI363" s="701" t="n"/>
      <c r="CJ363" s="701" t="n"/>
      <c r="CK363" s="701" t="n"/>
      <c r="CL363" s="701" t="n"/>
      <c r="CM363" s="701" t="n"/>
      <c r="CN363" s="701" t="n"/>
      <c r="CO363" s="701" t="n"/>
      <c r="CP363" s="701" t="n"/>
      <c r="CQ363" s="701" t="n"/>
      <c r="CR363" s="701" t="n"/>
      <c r="CS363" s="701" t="n"/>
      <c r="CT363" s="701" t="n"/>
      <c r="CU363" s="701" t="n"/>
      <c r="CV363" s="701" t="n"/>
      <c r="CW363" s="30" t="n"/>
    </row>
    <row r="364" ht="12.75" customHeight="1" s="1676">
      <c r="A364" s="31" t="n"/>
      <c r="B364" s="522" t="inlineStr">
        <is>
          <t>Text_309</t>
        </is>
      </c>
      <c r="C364" s="699" t="n"/>
      <c r="D364" s="1797" t="n"/>
      <c r="E364" s="1797" t="n"/>
      <c r="F364" s="1797" t="n"/>
      <c r="G364" s="1797" t="n"/>
      <c r="H364" s="1797" t="n"/>
      <c r="I364" s="1797" t="n">
        <v>90.2661889839726</v>
      </c>
      <c r="J364" s="1797" t="n">
        <v>115.475860617662</v>
      </c>
      <c r="K364" s="1797" t="n">
        <v>114.720248289066</v>
      </c>
      <c r="L364" s="1797" t="n">
        <v>121.118857472974</v>
      </c>
      <c r="M364" s="1797" t="n">
        <v>-98.5643520549667</v>
      </c>
      <c r="N364" s="1797" t="n">
        <v>117.208791631847</v>
      </c>
      <c r="O364" s="1797" t="n">
        <v>134.37141758306</v>
      </c>
      <c r="P364" s="1797" t="n">
        <v>135.760282717914</v>
      </c>
      <c r="Q364" s="1797" t="n">
        <v>171.546968216504</v>
      </c>
      <c r="R364" s="1797" t="n">
        <v>-140.147653917238</v>
      </c>
      <c r="S364" s="1797" t="n">
        <v>164.396088398108</v>
      </c>
      <c r="T364" s="1797" t="n">
        <v>125.226999805204</v>
      </c>
      <c r="U364" s="1797" t="n">
        <v>182.135839152949</v>
      </c>
      <c r="V364" s="1797" t="n">
        <v>168.934953203017</v>
      </c>
      <c r="W364" s="1797" t="n">
        <v>-161.743150319654</v>
      </c>
      <c r="X364" s="1797" t="n">
        <v>163.154420549808</v>
      </c>
      <c r="Y364" s="1797" t="n">
        <v>164.925548704164</v>
      </c>
      <c r="Z364" s="1797" t="n">
        <v>165.358366255535</v>
      </c>
      <c r="AA364" s="1745" t="n">
        <v>175.450390564741</v>
      </c>
      <c r="AB364" s="1797" t="n">
        <v>-219.665571754079</v>
      </c>
      <c r="AC364" s="1797" t="n">
        <v>236.122293576501</v>
      </c>
      <c r="AD364" s="1797" t="n">
        <v>304.489691200502</v>
      </c>
      <c r="AE364" s="1797" t="n">
        <v>268.631306349544</v>
      </c>
      <c r="AF364" s="1745" t="n">
        <v>311.932084479695</v>
      </c>
      <c r="AG364" s="1797" t="n">
        <v>-285.690961498247</v>
      </c>
      <c r="AH364" s="1797" t="n">
        <v>233.90310756239</v>
      </c>
      <c r="AI364" s="1797" t="n">
        <v>221.059948252464</v>
      </c>
      <c r="AJ364" s="1797" t="n">
        <v>328.378728854235</v>
      </c>
      <c r="AK364" s="1745" t="n">
        <v>361.807399252058</v>
      </c>
      <c r="AL364" s="1797" t="n">
        <v>-280.259846271014</v>
      </c>
      <c r="AM364" s="1797" t="n">
        <v>-359.508375511069</v>
      </c>
      <c r="AN364" s="1797" t="n">
        <v>-449.285731962837</v>
      </c>
      <c r="AO364" s="1797" t="n">
        <v>-424.19605485111</v>
      </c>
      <c r="AP364" s="1745">
        <f t="array" ref="AP364">AQ364</f>
        <v/>
      </c>
      <c r="AQ364" s="1797" t="n">
        <v>-431.408507881882</v>
      </c>
      <c r="AR364" s="1797" t="n">
        <v>-471.59028179686</v>
      </c>
      <c r="AS364" s="1797" t="n">
        <v>-468.642743596563</v>
      </c>
      <c r="AT364" s="1797" t="n">
        <v>-389.306498360313</v>
      </c>
      <c r="AU364" s="1745">
        <f t="array" ref="AU364">AV364</f>
        <v/>
      </c>
      <c r="AV364" s="1797" t="n">
        <v>-351.704933246359</v>
      </c>
      <c r="AW364" s="1975" t="n">
        <v>-298.545412540567</v>
      </c>
      <c r="AX364" s="1854" t="n">
        <v>-416.984986480589</v>
      </c>
      <c r="AY364" s="1854" t="n">
        <v>-342.872980833978</v>
      </c>
      <c r="AZ364" s="1874">
        <f t="array" ref="AZ364">BA364</f>
        <v/>
      </c>
      <c r="BA364" s="1795" t="n">
        <v>-405.81479238879</v>
      </c>
      <c r="BB364" s="456" t="n"/>
      <c r="BC364" s="701" t="n"/>
      <c r="BD364" s="701" t="n"/>
      <c r="BE364" s="701" t="n"/>
      <c r="BF364" s="785" t="n"/>
      <c r="BG364" s="699" t="n"/>
      <c r="BH364" s="699" t="n"/>
      <c r="BI364" s="699" t="n"/>
      <c r="BJ364" s="699" t="n"/>
      <c r="BK364" s="610" t="n"/>
      <c r="BL364" s="699" t="n"/>
      <c r="BM364" s="699" t="n"/>
      <c r="BN364" s="699" t="n"/>
      <c r="BO364" s="699" t="n"/>
      <c r="BP364" s="610" t="n"/>
      <c r="BQ364" s="699" t="n"/>
      <c r="BR364" s="699" t="n"/>
      <c r="BS364" s="699" t="n"/>
      <c r="BT364" s="699" t="n"/>
      <c r="BU364" s="610" t="n"/>
      <c r="BV364" s="699" t="n"/>
      <c r="BW364" s="699" t="n"/>
      <c r="BX364" s="699" t="n"/>
      <c r="BY364" s="699" t="n"/>
      <c r="BZ364" s="610" t="n"/>
      <c r="CA364" s="699" t="n"/>
      <c r="CB364" s="456" t="n"/>
      <c r="CC364" s="701" t="n"/>
      <c r="CD364" s="701" t="n"/>
      <c r="CE364" s="701" t="n"/>
      <c r="CF364" s="701" t="n"/>
      <c r="CG364" s="701" t="n"/>
      <c r="CH364" s="701" t="n"/>
      <c r="CI364" s="701" t="n"/>
      <c r="CJ364" s="701" t="n"/>
      <c r="CK364" s="701" t="n"/>
      <c r="CL364" s="701" t="n"/>
      <c r="CM364" s="701" t="n"/>
      <c r="CN364" s="701" t="n"/>
      <c r="CO364" s="701" t="n"/>
      <c r="CP364" s="701" t="n"/>
      <c r="CQ364" s="701" t="n"/>
      <c r="CR364" s="701" t="n"/>
      <c r="CS364" s="701" t="n"/>
      <c r="CT364" s="701" t="n"/>
      <c r="CU364" s="701" t="n"/>
      <c r="CV364" s="701" t="n"/>
      <c r="CW364" s="30" t="n"/>
    </row>
    <row r="365" ht="12.75" customHeight="1" s="1676">
      <c r="A365" s="31" t="n"/>
      <c r="B365" s="270" t="inlineStr">
        <is>
          <t>Text_310</t>
        </is>
      </c>
      <c r="C365" s="699" t="n"/>
      <c r="D365" s="699" t="n"/>
      <c r="E365" s="699" t="n"/>
      <c r="F365" s="699" t="n"/>
      <c r="G365" s="699" t="n"/>
      <c r="H365" s="2019" t="n"/>
      <c r="I365" s="699" t="n"/>
      <c r="J365" s="699" t="n"/>
      <c r="K365" s="699" t="n"/>
      <c r="L365" s="699" t="n"/>
      <c r="M365" s="698" t="n"/>
      <c r="N365" s="699" t="n"/>
      <c r="O365" s="699" t="n"/>
      <c r="P365" s="699" t="n"/>
      <c r="Q365" s="699" t="n"/>
      <c r="R365" s="698">
        <f t="array" ref="R365">AVERAGE(M364,R364)/R216*(365)</f>
        <v/>
      </c>
      <c r="S365" s="699" t="n"/>
      <c r="T365" s="699" t="n"/>
      <c r="U365" s="699" t="n"/>
      <c r="V365" s="699" t="n"/>
      <c r="W365" s="698">
        <f t="array" ref="W365">AVERAGE(R364,W364)/W216*(365)</f>
        <v/>
      </c>
      <c r="X365" s="2019" t="n"/>
      <c r="Y365" s="2019" t="n"/>
      <c r="Z365" s="2019" t="n"/>
      <c r="AA365" s="2019" t="n"/>
      <c r="AB365" s="698">
        <f t="array" ref="AB365">AVERAGE(W364,AB364)/AB216*(365)</f>
        <v/>
      </c>
      <c r="AC365" s="698">
        <f t="array" ref="AC365">AVERAGE(AB364,AC364)/AC216*(365/4)</f>
        <v/>
      </c>
      <c r="AD365" s="698">
        <f t="array" ref="AD365">AVERAGE(AC364,AD364)/AD216*(365/4)</f>
        <v/>
      </c>
      <c r="AE365" s="698">
        <f t="array" ref="AE365">AVERAGE(AD364,AE364)/AE216*(365/4)</f>
        <v/>
      </c>
      <c r="AF365" s="698">
        <f t="array" ref="AF365">AVERAGE(AE364,AF364)/AF216*(365/4)</f>
        <v/>
      </c>
      <c r="AG365" s="698">
        <f t="array" ref="AG365">AVERAGE(AB364,AG364)/AG216*(365)</f>
        <v/>
      </c>
      <c r="AH365" s="698" t="n"/>
      <c r="AI365" s="698" t="n"/>
      <c r="AJ365" s="698" t="n"/>
      <c r="AK365" s="698">
        <f t="array" ref="AK365">AVERAGE(AJ364,AK364)/AK216*(365/4)</f>
        <v/>
      </c>
      <c r="AL365" s="698">
        <f t="array" ref="AL365">AVERAGE(AG364,AL364)/AL216*(365)</f>
        <v/>
      </c>
      <c r="AM365" s="698">
        <f t="array" ref="AM365">AVERAGE(AL364,AM364)/AM216*(365/4)</f>
        <v/>
      </c>
      <c r="AN365" s="698">
        <f t="array" ref="AN365">AVERAGE(AM364,AN364)/AN216*(365/4)</f>
        <v/>
      </c>
      <c r="AO365" s="698">
        <f t="array" ref="AO365">AVERAGE(AN364,AO364)/AO216*(365/4)</f>
        <v/>
      </c>
      <c r="AP365" s="698">
        <f t="array" ref="AP365">AVERAGE(AO364,AP364)/AP216*(365/4)</f>
        <v/>
      </c>
      <c r="AQ365" s="698">
        <f t="array" ref="AQ365">AVERAGE(AL364,AQ364)/AQ216*(365)</f>
        <v/>
      </c>
      <c r="AR365" s="698">
        <f t="array" ref="AR365">AVERAGE(AQ364,AR364)/AR216*(365/4)</f>
        <v/>
      </c>
      <c r="AS365" s="698">
        <f t="array" ref="AS365">AVERAGE(AR364,AS364)/AS216*(365/4)</f>
        <v/>
      </c>
      <c r="AT365" s="698">
        <f t="array" ref="AT365">AVERAGE(AS364,AT364)/AT216*(365/4)</f>
        <v/>
      </c>
      <c r="AU365" s="698">
        <f t="array" ref="AU365">AVERAGE(AT364,AU364)/AU216*(365/4)</f>
        <v/>
      </c>
      <c r="AV365" s="698">
        <f t="array" ref="AV365">AVERAGE(AU364,AV364)/AV216*(365)</f>
        <v/>
      </c>
      <c r="AW365" s="713">
        <f t="array" ref="AW365">AVERAGE(AV364,AW364)/AW216*(365/4)</f>
        <v/>
      </c>
      <c r="AX365" s="786">
        <f t="array" ref="AX365">AVERAGE(AW364,AX364)/AX216*(365/4)</f>
        <v/>
      </c>
      <c r="AY365" s="786">
        <f t="array" ref="AY365">AVERAGE(AX364,AY364)/AY216*(365/4)</f>
        <v/>
      </c>
      <c r="AZ365" s="786">
        <f t="array" ref="AZ365">AVERAGE(AY364,AZ364)/AZ216*(365/4)</f>
        <v/>
      </c>
      <c r="BA365" s="787">
        <f t="array" ref="BA365">AVERAGE(AZ364,BA364)/BA216*(365)</f>
        <v/>
      </c>
      <c r="BB365" s="456" t="n"/>
      <c r="BC365" s="701" t="n"/>
      <c r="BD365" s="701" t="n"/>
      <c r="BE365" s="701" t="n"/>
      <c r="BF365" s="785" t="n"/>
      <c r="BG365" s="699" t="n"/>
      <c r="BH365" s="699" t="n"/>
      <c r="BI365" s="699" t="n"/>
      <c r="BJ365" s="699" t="n"/>
      <c r="BK365" s="610" t="n"/>
      <c r="BL365" s="699" t="n"/>
      <c r="BM365" s="699" t="n"/>
      <c r="BN365" s="699" t="n"/>
      <c r="BO365" s="699" t="n"/>
      <c r="BP365" s="610" t="n"/>
      <c r="BQ365" s="699" t="n"/>
      <c r="BR365" s="699" t="n"/>
      <c r="BS365" s="699" t="n"/>
      <c r="BT365" s="699" t="n"/>
      <c r="BU365" s="610" t="n"/>
      <c r="BV365" s="699" t="n"/>
      <c r="BW365" s="699" t="n"/>
      <c r="BX365" s="699" t="n"/>
      <c r="BY365" s="699" t="n"/>
      <c r="BZ365" s="610" t="n"/>
      <c r="CA365" s="699" t="n"/>
      <c r="CB365" s="401" t="n"/>
      <c r="CC365" s="701" t="n"/>
      <c r="CD365" s="701" t="n"/>
      <c r="CE365" s="701" t="n"/>
      <c r="CF365" s="701" t="n"/>
      <c r="CG365" s="701" t="n"/>
      <c r="CH365" s="701" t="n"/>
      <c r="CI365" s="701" t="n"/>
      <c r="CJ365" s="701" t="n"/>
      <c r="CK365" s="701" t="n"/>
      <c r="CL365" s="701" t="n"/>
      <c r="CM365" s="701" t="n"/>
      <c r="CN365" s="701" t="n"/>
      <c r="CO365" s="701" t="n"/>
      <c r="CP365" s="701" t="n"/>
      <c r="CQ365" s="701" t="n"/>
      <c r="CR365" s="701" t="n"/>
      <c r="CS365" s="701" t="n"/>
      <c r="CT365" s="701" t="n"/>
      <c r="CU365" s="701" t="n"/>
      <c r="CV365" s="701" t="n"/>
      <c r="CW365" s="30" t="n"/>
    </row>
    <row r="366" ht="12.75" customHeight="1" s="1676">
      <c r="A366" s="31" t="n"/>
      <c r="B366" s="522" t="inlineStr">
        <is>
          <t>Text_311</t>
        </is>
      </c>
      <c r="C366" s="699" t="n"/>
      <c r="D366" s="1797" t="n"/>
      <c r="E366" s="1797" t="n"/>
      <c r="F366" s="1797" t="n"/>
      <c r="G366" s="1797" t="n"/>
      <c r="H366" s="1797" t="n"/>
      <c r="I366" s="1797" t="n">
        <v>335.955697082396</v>
      </c>
      <c r="J366" s="1797" t="n">
        <v>287.009767787638</v>
      </c>
      <c r="K366" s="1797" t="n">
        <v>338.920988998764</v>
      </c>
      <c r="L366" s="1797" t="n">
        <v>64.1507682544211</v>
      </c>
      <c r="M366" s="1797" t="n">
        <v>74.7343070355867</v>
      </c>
      <c r="N366" s="1797" t="n">
        <v>67.8725684845331</v>
      </c>
      <c r="O366" s="1797" t="n">
        <v>111.009281781493</v>
      </c>
      <c r="P366" s="1797" t="n">
        <v>123.414476937732</v>
      </c>
      <c r="Q366" s="1797" t="n">
        <v>65.3894666136574</v>
      </c>
      <c r="R366" s="1797" t="n">
        <v>60.8683411835761</v>
      </c>
      <c r="S366" s="1797" t="n">
        <v>78.3538336102952</v>
      </c>
      <c r="T366" s="1797" t="n">
        <v>73.3166357101355</v>
      </c>
      <c r="U366" s="1797" t="n">
        <v>121.480589206638</v>
      </c>
      <c r="V366" s="1797" t="n">
        <v>90.0925198903745</v>
      </c>
      <c r="W366" s="1797" t="n">
        <v>81.5867811845152</v>
      </c>
      <c r="X366" s="1797" t="n">
        <v>157.364913947639</v>
      </c>
      <c r="Y366" s="1797" t="n">
        <v>112.028026103103</v>
      </c>
      <c r="Z366" s="1797" t="n">
        <v>312.23455107879</v>
      </c>
      <c r="AA366" s="1745" t="n">
        <v>295.603772078924</v>
      </c>
      <c r="AB366" s="1797" t="n">
        <v>305.990877426518</v>
      </c>
      <c r="AC366" s="699" t="n">
        <v>233.63377516338</v>
      </c>
      <c r="AD366" s="699" t="n">
        <v>217.473933400702</v>
      </c>
      <c r="AE366" s="699" t="n">
        <v>302.447860841226</v>
      </c>
      <c r="AF366" s="699" t="n">
        <v>294.492260926662</v>
      </c>
      <c r="AG366" s="1797" t="n">
        <v>368.243816917139</v>
      </c>
      <c r="AH366" s="699" t="n">
        <v>232.203889448104</v>
      </c>
      <c r="AI366" s="699" t="n">
        <v>272.755519579282</v>
      </c>
      <c r="AJ366" s="699" t="n">
        <v>289.700891386967</v>
      </c>
      <c r="AK366" s="699" t="n">
        <v>259.174239579855</v>
      </c>
      <c r="AL366" s="1797" t="n">
        <v>272.655886032839</v>
      </c>
      <c r="AM366" s="1797" t="n">
        <v>328.782543349137</v>
      </c>
      <c r="AN366" s="1797" t="n">
        <v>332.274917606834</v>
      </c>
      <c r="AO366" s="1797" t="n">
        <v>388.203354603063</v>
      </c>
      <c r="AP366" s="1745">
        <f t="array" ref="AP366">AQ366</f>
        <v/>
      </c>
      <c r="AQ366" s="1797" t="n">
        <v>508.350981209926</v>
      </c>
      <c r="AR366" s="1797" t="n">
        <v>440.937784830554</v>
      </c>
      <c r="AS366" s="1797" t="n">
        <v>360.123678818174</v>
      </c>
      <c r="AT366" s="1797" t="n">
        <v>432.429973360878</v>
      </c>
      <c r="AU366" s="1745" t="n">
        <v>591.192019763754</v>
      </c>
      <c r="AV366" s="1797" t="n">
        <v>502.52477240178</v>
      </c>
      <c r="AW366" s="1975" t="n">
        <v>474.480839114959</v>
      </c>
      <c r="AX366" s="1854" t="n">
        <v>483.846287841252</v>
      </c>
      <c r="AY366" s="1854" t="n">
        <v>667.389037687017</v>
      </c>
      <c r="AZ366" s="1874">
        <f t="array" ref="AZ366">BA366</f>
        <v/>
      </c>
      <c r="BA366" s="1795" t="n">
        <v>731.304800752373</v>
      </c>
      <c r="BB366" s="456" t="n"/>
      <c r="BC366" s="701" t="n"/>
      <c r="BD366" s="701" t="n"/>
      <c r="BE366" s="701" t="n"/>
      <c r="BF366" s="2124">
        <f t="array" ref="BF366">BA366</f>
        <v/>
      </c>
      <c r="BG366" s="699" t="n"/>
      <c r="BH366" s="699" t="n"/>
      <c r="BI366" s="699" t="n"/>
      <c r="BJ366" s="699" t="n"/>
      <c r="BK366" s="2125">
        <f t="array" ref="BK366">BF366</f>
        <v/>
      </c>
      <c r="BL366" s="699" t="n"/>
      <c r="BM366" s="699" t="n"/>
      <c r="BN366" s="699" t="n"/>
      <c r="BO366" s="699" t="n"/>
      <c r="BP366" s="2125">
        <f t="array" ref="BP366">BK366</f>
        <v/>
      </c>
      <c r="BQ366" s="699" t="n"/>
      <c r="BR366" s="699" t="n"/>
      <c r="BS366" s="699" t="n"/>
      <c r="BT366" s="699" t="n"/>
      <c r="BU366" s="2125">
        <f t="array" ref="BU366">BP366</f>
        <v/>
      </c>
      <c r="BV366" s="699" t="n"/>
      <c r="BW366" s="699" t="n"/>
      <c r="BX366" s="699" t="n"/>
      <c r="BY366" s="699" t="n"/>
      <c r="BZ366" s="2125">
        <f t="array" ref="BZ366">BU366</f>
        <v/>
      </c>
      <c r="CA366" s="699" t="n"/>
      <c r="CB366" s="456" t="n"/>
      <c r="CC366" s="701" t="n"/>
      <c r="CD366" s="701" t="n"/>
      <c r="CE366" s="701" t="n"/>
      <c r="CF366" s="701" t="n"/>
      <c r="CG366" s="701" t="n"/>
      <c r="CH366" s="701" t="n"/>
      <c r="CI366" s="701" t="n"/>
      <c r="CJ366" s="701" t="n"/>
      <c r="CK366" s="701" t="n"/>
      <c r="CL366" s="701" t="n"/>
      <c r="CM366" s="701" t="n"/>
      <c r="CN366" s="701" t="n"/>
      <c r="CO366" s="701" t="n"/>
      <c r="CP366" s="701" t="n"/>
      <c r="CQ366" s="701" t="n"/>
      <c r="CR366" s="701" t="n"/>
      <c r="CS366" s="701" t="n"/>
      <c r="CT366" s="701" t="n"/>
      <c r="CU366" s="701" t="n"/>
      <c r="CV366" s="701" t="n"/>
      <c r="CW366" s="30" t="n"/>
    </row>
    <row r="367" ht="12.75" customHeight="1" s="1676">
      <c r="A367" s="31" t="n"/>
      <c r="B367" s="522" t="inlineStr">
        <is>
          <t>Text_312</t>
        </is>
      </c>
      <c r="C367" s="699" t="n"/>
      <c r="D367" s="1797" t="n"/>
      <c r="E367" s="1797" t="n"/>
      <c r="F367" s="1797" t="n"/>
      <c r="G367" s="1797" t="n"/>
      <c r="H367" s="1797" t="n"/>
      <c r="I367" s="1797" t="n">
        <v>615.186150443419</v>
      </c>
      <c r="J367" s="1797" t="n">
        <v>643.51061144084</v>
      </c>
      <c r="K367" s="1797" t="n">
        <v>532.519196625003</v>
      </c>
      <c r="L367" s="1797" t="n">
        <v>534.25555170848</v>
      </c>
      <c r="M367" s="1797" t="n"/>
      <c r="N367" s="1797" t="n"/>
      <c r="O367" s="1797" t="n"/>
      <c r="P367" s="1797" t="n"/>
      <c r="Q367" s="1797" t="n"/>
      <c r="R367" s="1797" t="n"/>
      <c r="S367" s="1797" t="n"/>
      <c r="T367" s="1797" t="n"/>
      <c r="U367" s="1797" t="n"/>
      <c r="V367" s="1797" t="n"/>
      <c r="W367" s="1797" t="n">
        <v>-771.300691215952</v>
      </c>
      <c r="X367" s="1797" t="n"/>
      <c r="Y367" s="1797" t="n"/>
      <c r="Z367" s="1797" t="n"/>
      <c r="AA367" s="1745" t="n"/>
      <c r="AB367" s="1797" t="n">
        <v>-928.66768631991</v>
      </c>
      <c r="AC367" s="699" t="n"/>
      <c r="AD367" s="699" t="n"/>
      <c r="AE367" s="699" t="n"/>
      <c r="AF367" s="699" t="n"/>
      <c r="AG367" s="1797" t="n">
        <v>-734.2498135996379</v>
      </c>
      <c r="AH367" s="699" t="n">
        <v>905.8226095741099</v>
      </c>
      <c r="AI367" s="699" t="n">
        <v>1003.41433452243</v>
      </c>
      <c r="AJ367" s="699" t="n">
        <v>1054.06609818552</v>
      </c>
      <c r="AK367" s="699" t="n">
        <v>1310.04996934717</v>
      </c>
      <c r="AL367" s="1797" t="n">
        <v>-1169.3569840171</v>
      </c>
      <c r="AM367" s="1797" t="n">
        <v>-1423.50571544939</v>
      </c>
      <c r="AN367" s="1797" t="n">
        <v>-1571.15300373639</v>
      </c>
      <c r="AO367" s="1797" t="n">
        <v>-1301.44263735461</v>
      </c>
      <c r="AP367" s="1745">
        <f t="array" ref="AP367">AQ367</f>
        <v/>
      </c>
      <c r="AQ367" s="1797" t="n">
        <v>-1421.31260292355</v>
      </c>
      <c r="AR367" s="1797" t="n">
        <v>-1965.09935684883</v>
      </c>
      <c r="AS367" s="1797" t="n">
        <v>-2431.68115274204</v>
      </c>
      <c r="AT367" s="1797" t="n">
        <v>-2402.29412341681</v>
      </c>
      <c r="AU367" s="1745">
        <f t="array" ref="AU367">AV367</f>
        <v/>
      </c>
      <c r="AV367" s="1797" t="n">
        <v>-1864.53230604453</v>
      </c>
      <c r="AW367" s="1975" t="n">
        <v>-2761.01115031636</v>
      </c>
      <c r="AX367" s="1854" t="n">
        <v>-2353.7108200695</v>
      </c>
      <c r="AY367" s="1854" t="n">
        <v>-2122.56916079622</v>
      </c>
      <c r="AZ367" s="1874">
        <f t="array" ref="AZ367">BA367</f>
        <v/>
      </c>
      <c r="BA367" s="1795" t="n">
        <v>-2028.8975401645</v>
      </c>
      <c r="BB367" s="456" t="n"/>
      <c r="BC367" s="701" t="n"/>
      <c r="BD367" s="701" t="n"/>
      <c r="BE367" s="701" t="n"/>
      <c r="BF367" s="2124">
        <f t="array" ref="BF367">BA367</f>
        <v/>
      </c>
      <c r="BG367" s="699" t="n"/>
      <c r="BH367" s="699" t="n"/>
      <c r="BI367" s="699" t="n"/>
      <c r="BJ367" s="699" t="n"/>
      <c r="BK367" s="2125">
        <f t="array" ref="BK367">BF367</f>
        <v/>
      </c>
      <c r="BL367" s="699" t="n"/>
      <c r="BM367" s="699" t="n"/>
      <c r="BN367" s="699" t="n"/>
      <c r="BO367" s="699" t="n"/>
      <c r="BP367" s="2125">
        <f t="array" ref="BP367">BK367</f>
        <v/>
      </c>
      <c r="BQ367" s="699" t="n"/>
      <c r="BR367" s="699" t="n"/>
      <c r="BS367" s="699" t="n"/>
      <c r="BT367" s="699" t="n"/>
      <c r="BU367" s="2125">
        <f t="array" ref="BU367">BP367</f>
        <v/>
      </c>
      <c r="BV367" s="699" t="n"/>
      <c r="BW367" s="699" t="n"/>
      <c r="BX367" s="699" t="n"/>
      <c r="BY367" s="699" t="n"/>
      <c r="BZ367" s="2125">
        <f t="array" ref="BZ367">BU367</f>
        <v/>
      </c>
      <c r="CA367" s="699" t="n"/>
      <c r="CB367" s="456" t="n"/>
      <c r="CC367" s="701" t="n"/>
      <c r="CD367" s="701" t="n"/>
      <c r="CE367" s="701" t="n"/>
      <c r="CF367" s="701" t="n"/>
      <c r="CG367" s="701" t="n"/>
      <c r="CH367" s="701" t="n"/>
      <c r="CI367" s="701" t="n"/>
      <c r="CJ367" s="701" t="n"/>
      <c r="CK367" s="701" t="n"/>
      <c r="CL367" s="701" t="n"/>
      <c r="CM367" s="701" t="n"/>
      <c r="CN367" s="701" t="n"/>
      <c r="CO367" s="701" t="n"/>
      <c r="CP367" s="701" t="n"/>
      <c r="CQ367" s="701" t="n"/>
      <c r="CR367" s="701" t="n"/>
      <c r="CS367" s="701" t="n"/>
      <c r="CT367" s="701" t="n"/>
      <c r="CU367" s="701" t="n"/>
      <c r="CV367" s="701" t="n"/>
      <c r="CW367" s="30" t="n"/>
    </row>
    <row r="368" ht="12.75" customHeight="1" s="1676">
      <c r="A368" s="13" t="n"/>
      <c r="B368" s="525" t="inlineStr">
        <is>
          <t>Text_313</t>
        </is>
      </c>
      <c r="C368" s="526" t="n"/>
      <c r="D368" s="1882" t="n"/>
      <c r="E368" s="1882" t="n"/>
      <c r="F368" s="1882" t="n"/>
      <c r="G368" s="1882" t="n"/>
      <c r="H368" s="1882" t="n"/>
      <c r="I368" s="1882" t="n"/>
      <c r="J368" s="1882" t="n"/>
      <c r="K368" s="1882" t="n"/>
      <c r="L368" s="1882" t="n"/>
      <c r="M368" s="1882">
        <f t="array" ref="M368">M367+M366+M364+M361+M359</f>
        <v/>
      </c>
      <c r="N368" s="1882" t="n"/>
      <c r="O368" s="1882" t="n"/>
      <c r="P368" s="1882" t="n"/>
      <c r="Q368" s="1882" t="n"/>
      <c r="R368" s="1882">
        <f t="array" ref="R368">R367+R366+R364+R361+R359</f>
        <v/>
      </c>
      <c r="S368" s="1882" t="n"/>
      <c r="T368" s="1882" t="n"/>
      <c r="U368" s="1882" t="n"/>
      <c r="V368" s="1882" t="n"/>
      <c r="W368" s="1882">
        <f t="array" ref="W368">W367+W366+W364+W361+W359</f>
        <v/>
      </c>
      <c r="X368" s="1882" t="n"/>
      <c r="Y368" s="1882" t="n"/>
      <c r="Z368" s="1882" t="n"/>
      <c r="AA368" s="1882" t="n"/>
      <c r="AB368" s="1882">
        <f t="array" ref="AB368">AB367+AB366+AB364+AB361+AB359</f>
        <v/>
      </c>
      <c r="AC368" s="1882">
        <f t="array" ref="AC368">AC373+AC371+AC364+AC359+AC361</f>
        <v/>
      </c>
      <c r="AD368" s="1882">
        <f t="array" ref="AD368">AD373+AD371+AD364+AD359+AD361</f>
        <v/>
      </c>
      <c r="AE368" s="1882">
        <f t="array" ref="AE368">AE373+AE371+AE364+AE359+AE361</f>
        <v/>
      </c>
      <c r="AF368" s="1882">
        <f t="array" ref="AF368">AF373+AF371+AF364+AF359+AF361</f>
        <v/>
      </c>
      <c r="AG368" s="1882">
        <f t="array" ref="AG368">AG367+AG366+AG364+AG361+AG359</f>
        <v/>
      </c>
      <c r="AH368" s="1882" t="n"/>
      <c r="AI368" s="1882" t="n"/>
      <c r="AJ368" s="1882" t="n"/>
      <c r="AK368" s="1882">
        <f t="array" ref="AK368">AK373+AK371+AK364+AK359+AK361</f>
        <v/>
      </c>
      <c r="AL368" s="1882">
        <f t="array" ref="AL368">AL367+AL366+AL364+AL361+AL359</f>
        <v/>
      </c>
      <c r="AM368" s="1882">
        <f t="array" ref="AM368">AM367+AM366+AM364+AM361+AM359</f>
        <v/>
      </c>
      <c r="AN368" s="1882">
        <f t="array" ref="AN368">AN373+AN371+AN364+AN359+AN361+AN372</f>
        <v/>
      </c>
      <c r="AO368" s="1882">
        <f t="array" ref="AO368">AO373+AO371+AO364+AO359+AO361+AO372</f>
        <v/>
      </c>
      <c r="AP368" s="1882">
        <f t="array" ref="AP368">AP367+AP366+AP364+AP361+AP359</f>
        <v/>
      </c>
      <c r="AQ368" s="1882">
        <f t="array" ref="AQ368">AQ367+AQ366+AQ364+AQ361+AQ359</f>
        <v/>
      </c>
      <c r="AR368" s="1882">
        <f t="array" ref="AR368">AR367+AR366+AR364+AR361+AR359</f>
        <v/>
      </c>
      <c r="AS368" s="1882">
        <f t="array" ref="AS368">AS367+AS366+AS364+AS361+AS359</f>
        <v/>
      </c>
      <c r="AT368" s="1882">
        <f t="array" ref="AT368">AT359+AT361+AT364+AT366+AT367</f>
        <v/>
      </c>
      <c r="AU368" s="1882">
        <f t="array" ref="AU368">AU367+AU366+AU364+AU361+AU359</f>
        <v/>
      </c>
      <c r="AV368" s="1882">
        <f t="array" ref="AV368">AV367+AV366+AV364+AV361+AV359</f>
        <v/>
      </c>
      <c r="AW368" s="2004">
        <f t="array" ref="AW368">AW367+AW366+AW364+AW361+AW359</f>
        <v/>
      </c>
      <c r="AX368" s="2005">
        <f t="array" ref="AX368">AX367+AX366+AX364+AX361+AX359</f>
        <v/>
      </c>
      <c r="AY368" s="2005">
        <f t="array" ref="AY368">AY359+AY361+AY364+AY366+AY367</f>
        <v/>
      </c>
      <c r="AZ368" s="2005">
        <f t="array" ref="AZ368">AZ367+AZ366+AZ364+AZ361+AZ359</f>
        <v/>
      </c>
      <c r="BA368" s="1881">
        <f t="array" ref="BA368">BA367+BA366+BA364+BA361+BA359</f>
        <v/>
      </c>
      <c r="BB368" s="704" t="n"/>
      <c r="BC368" s="705" t="n"/>
      <c r="BD368" s="705" t="n"/>
      <c r="BE368" s="705" t="n"/>
      <c r="BF368" s="1881">
        <f t="array" ref="BF368">BF369*BF212</f>
        <v/>
      </c>
      <c r="BG368" s="526" t="n"/>
      <c r="BH368" s="526" t="n"/>
      <c r="BI368" s="526" t="n"/>
      <c r="BJ368" s="526" t="n"/>
      <c r="BK368" s="1882">
        <f t="array" ref="BK368">BK369*BK212</f>
        <v/>
      </c>
      <c r="BL368" s="526" t="n"/>
      <c r="BM368" s="526" t="n"/>
      <c r="BN368" s="526" t="n"/>
      <c r="BO368" s="526" t="n"/>
      <c r="BP368" s="1882">
        <f t="array" ref="BP368">BP369*BP212</f>
        <v/>
      </c>
      <c r="BQ368" s="526" t="n"/>
      <c r="BR368" s="526" t="n"/>
      <c r="BS368" s="526" t="n"/>
      <c r="BT368" s="526" t="n"/>
      <c r="BU368" s="1882">
        <f t="array" ref="BU368">BU369*BU212</f>
        <v/>
      </c>
      <c r="BV368" s="526" t="n"/>
      <c r="BW368" s="526" t="n"/>
      <c r="BX368" s="526" t="n"/>
      <c r="BY368" s="526" t="n"/>
      <c r="BZ368" s="1882">
        <f t="array" ref="BZ368">BZ369*BZ212</f>
        <v/>
      </c>
      <c r="CA368" s="526" t="n"/>
      <c r="CB368" s="456" t="n"/>
      <c r="CC368" s="701" t="n"/>
      <c r="CD368" s="701" t="n"/>
      <c r="CE368" s="701" t="n"/>
      <c r="CF368" s="701" t="n"/>
      <c r="CG368" s="701" t="n"/>
      <c r="CH368" s="701" t="n"/>
      <c r="CI368" s="701" t="n"/>
      <c r="CJ368" s="701" t="n"/>
      <c r="CK368" s="701" t="n"/>
      <c r="CL368" s="701" t="n"/>
      <c r="CM368" s="701" t="n"/>
      <c r="CN368" s="701" t="n"/>
      <c r="CO368" s="701" t="n"/>
      <c r="CP368" s="701" t="n"/>
      <c r="CQ368" s="701" t="n"/>
      <c r="CR368" s="701" t="n"/>
      <c r="CS368" s="701" t="n"/>
      <c r="CT368" s="701" t="n"/>
      <c r="CU368" s="701" t="n"/>
      <c r="CV368" s="701" t="n"/>
      <c r="CW368" s="30" t="n"/>
    </row>
    <row r="369" ht="12.75" customHeight="1" s="1676">
      <c r="A369" s="548" t="n"/>
      <c r="B369" s="796" t="inlineStr">
        <is>
          <t>Text_314</t>
        </is>
      </c>
      <c r="C369" s="610" t="n"/>
      <c r="D369" s="1990" t="n"/>
      <c r="E369" s="1990" t="n"/>
      <c r="F369" s="1990" t="n"/>
      <c r="G369" s="1990" t="n"/>
      <c r="H369" s="1990" t="n"/>
      <c r="I369" s="1990" t="n"/>
      <c r="J369" s="1990" t="n"/>
      <c r="K369" s="1990" t="n"/>
      <c r="L369" s="1990" t="n"/>
      <c r="M369" s="1990">
        <f t="array" ref="M369">M368/(M212)</f>
        <v/>
      </c>
      <c r="N369" s="1990" t="n"/>
      <c r="O369" s="1990" t="n"/>
      <c r="P369" s="1990" t="n"/>
      <c r="Q369" s="1990" t="n"/>
      <c r="R369" s="1990">
        <f t="array" ref="R369">R368/(R212)</f>
        <v/>
      </c>
      <c r="S369" s="1990" t="n"/>
      <c r="T369" s="1990" t="n"/>
      <c r="U369" s="1990" t="n"/>
      <c r="V369" s="1990" t="n"/>
      <c r="W369" s="1990">
        <f t="array" ref="W369">W368/(W212)</f>
        <v/>
      </c>
      <c r="X369" s="1990" t="n"/>
      <c r="Y369" s="1990" t="n"/>
      <c r="Z369" s="1990" t="n"/>
      <c r="AA369" s="1990" t="n"/>
      <c r="AB369" s="1990">
        <f t="array" ref="AB369">AB368/(AB212)</f>
        <v/>
      </c>
      <c r="AC369" s="1990">
        <f t="array" ref="AC369">AC368/(AC212*4)</f>
        <v/>
      </c>
      <c r="AD369" s="1990">
        <f t="array" ref="AD369">AD368/(AD212*4)</f>
        <v/>
      </c>
      <c r="AE369" s="1990">
        <f t="array" ref="AE369">AE368/(AE212*4)</f>
        <v/>
      </c>
      <c r="AF369" s="1990">
        <f t="array" ref="AF369">AF368/(AF212*4)</f>
        <v/>
      </c>
      <c r="AG369" s="1990">
        <f t="array" ref="AG369">AG368/(AG212)</f>
        <v/>
      </c>
      <c r="AH369" s="1990" t="n"/>
      <c r="AI369" s="1990" t="n"/>
      <c r="AJ369" s="1990" t="n"/>
      <c r="AK369" s="1990">
        <f t="array" ref="AK369">AK368/(AK212*4)</f>
        <v/>
      </c>
      <c r="AL369" s="1990">
        <f t="array" ref="AL369">AL368/(AL212)</f>
        <v/>
      </c>
      <c r="AM369" s="1990">
        <f t="array" ref="AM369">AM368/(AM212*4)</f>
        <v/>
      </c>
      <c r="AN369" s="1990">
        <f t="array" ref="AN369">AN368/(AN212*4)</f>
        <v/>
      </c>
      <c r="AO369" s="1990">
        <f t="array" ref="AO369">AO368/(AO212*4)</f>
        <v/>
      </c>
      <c r="AP369" s="1990">
        <f t="array" ref="AP369">AP368/(AP212*4)</f>
        <v/>
      </c>
      <c r="AQ369" s="1990">
        <f t="array" ref="AQ369">AQ368/(AQ212)</f>
        <v/>
      </c>
      <c r="AR369" s="1990">
        <f t="array" ref="AR369">AR368/(AR212*4)</f>
        <v/>
      </c>
      <c r="AS369" s="1990">
        <f t="array" ref="AS369">AS368/(AS212*4)</f>
        <v/>
      </c>
      <c r="AT369" s="1990">
        <f t="array" ref="AT369">AT368/(AT212*4)</f>
        <v/>
      </c>
      <c r="AU369" s="1990">
        <f t="array" ref="AU369">AU368/(AU212*4)</f>
        <v/>
      </c>
      <c r="AV369" s="1990">
        <f t="array" ref="AV369">AV368/(AV212)</f>
        <v/>
      </c>
      <c r="AW369" s="2136">
        <f t="array" ref="AW369">AW368/(AW212*4)</f>
        <v/>
      </c>
      <c r="AX369" s="1996">
        <f t="array" ref="AX369">AX368/(AX212*4)</f>
        <v/>
      </c>
      <c r="AY369" s="1996">
        <f t="array" ref="AY369">AY368/(AY212*4)</f>
        <v/>
      </c>
      <c r="AZ369" s="1996">
        <f t="array" ref="AZ369">AZ368/(AZ212*4)</f>
        <v/>
      </c>
      <c r="BA369" s="2137">
        <f t="array" ref="BA369">BA368/(BA212)</f>
        <v/>
      </c>
      <c r="BB369" s="2136" t="n"/>
      <c r="BC369" s="1996" t="n"/>
      <c r="BD369" s="1996" t="n"/>
      <c r="BE369" s="1996" t="n"/>
      <c r="BF369" s="2138" t="n">
        <v>0.276192197603635</v>
      </c>
      <c r="BG369" s="1990" t="n"/>
      <c r="BH369" s="1990" t="n"/>
      <c r="BI369" s="1990" t="n"/>
      <c r="BJ369" s="1990" t="n"/>
      <c r="BK369" s="2139" t="n">
        <v>0.262904966237995</v>
      </c>
      <c r="BL369" s="1990" t="n"/>
      <c r="BM369" s="1990" t="n"/>
      <c r="BN369" s="1990" t="n"/>
      <c r="BO369" s="1990" t="n"/>
      <c r="BP369" s="2139" t="n">
        <v>0.254365014922357</v>
      </c>
      <c r="BQ369" s="1990" t="n"/>
      <c r="BR369" s="1990" t="n"/>
      <c r="BS369" s="1990" t="n"/>
      <c r="BT369" s="1990" t="n"/>
      <c r="BU369" s="2139" t="n">
        <v>0.260216473085773</v>
      </c>
      <c r="BV369" s="1990" t="n"/>
      <c r="BW369" s="1990" t="n"/>
      <c r="BX369" s="1990" t="n"/>
      <c r="BY369" s="1990" t="n"/>
      <c r="BZ369" s="2139" t="n">
        <v>0.260877730859209</v>
      </c>
      <c r="CA369" s="1871" t="n"/>
      <c r="CB369" s="456" t="n"/>
      <c r="CC369" s="701" t="n"/>
      <c r="CD369" s="701" t="n"/>
      <c r="CE369" s="701" t="n"/>
      <c r="CF369" s="701" t="n"/>
      <c r="CG369" s="701" t="n"/>
      <c r="CH369" s="701" t="n"/>
      <c r="CI369" s="701" t="n"/>
      <c r="CJ369" s="701" t="n"/>
      <c r="CK369" s="701" t="n"/>
      <c r="CL369" s="701" t="n"/>
      <c r="CM369" s="701" t="n"/>
      <c r="CN369" s="701" t="n"/>
      <c r="CO369" s="701" t="n"/>
      <c r="CP369" s="701" t="n"/>
      <c r="CQ369" s="701" t="n"/>
      <c r="CR369" s="701" t="n"/>
      <c r="CS369" s="701" t="n"/>
      <c r="CT369" s="701" t="n"/>
      <c r="CU369" s="701" t="n"/>
      <c r="CV369" s="701" t="n"/>
      <c r="CW369" s="30" t="n"/>
    </row>
    <row r="370" ht="12.75" customHeight="1" s="1676">
      <c r="A370" s="542" t="n"/>
      <c r="B370" s="238" t="inlineStr">
        <is>
          <t>Text_315</t>
        </is>
      </c>
      <c r="C370" s="543" t="n"/>
      <c r="D370" s="192" t="n"/>
      <c r="E370" s="192" t="n"/>
      <c r="F370" s="192" t="n"/>
      <c r="G370" s="192" t="n"/>
      <c r="H370" s="192" t="n"/>
      <c r="I370" s="192" t="n"/>
      <c r="J370" s="192" t="n"/>
      <c r="K370" s="192" t="n"/>
      <c r="L370" s="192" t="n"/>
      <c r="M370" s="192">
        <f t="array" ref="M370">M368/(M256*4)</f>
        <v/>
      </c>
      <c r="N370" s="192" t="n"/>
      <c r="O370" s="192" t="n"/>
      <c r="P370" s="192" t="n"/>
      <c r="Q370" s="192" t="n"/>
      <c r="R370" s="192">
        <f t="array" ref="R370">R368/(R256*4)</f>
        <v/>
      </c>
      <c r="S370" s="192" t="n"/>
      <c r="T370" s="192" t="n"/>
      <c r="U370" s="192" t="n"/>
      <c r="V370" s="192" t="n"/>
      <c r="W370" s="192">
        <f t="array" ref="W370">W368/(W256*4)</f>
        <v/>
      </c>
      <c r="X370" s="192" t="n"/>
      <c r="Y370" s="192" t="n"/>
      <c r="Z370" s="192" t="n"/>
      <c r="AA370" s="192" t="n"/>
      <c r="AB370" s="192">
        <f t="array" ref="AB370">AB368/(AB256*4)</f>
        <v/>
      </c>
      <c r="AC370" s="192">
        <f t="array" ref="AC370">AC368/(AC256*4)</f>
        <v/>
      </c>
      <c r="AD370" s="192">
        <f t="array" ref="AD370">AD368/(AD256*4)</f>
        <v/>
      </c>
      <c r="AE370" s="192">
        <f t="array" ref="AE370">AE368/(AE256*4)</f>
        <v/>
      </c>
      <c r="AF370" s="192">
        <f t="array" ref="AF370">AF368/(AF256*4)</f>
        <v/>
      </c>
      <c r="AG370" s="192">
        <f t="array" ref="AG370">AG368/(AG256*4)</f>
        <v/>
      </c>
      <c r="AH370" s="192" t="n"/>
      <c r="AI370" s="192" t="n"/>
      <c r="AJ370" s="192" t="n"/>
      <c r="AK370" s="192">
        <f t="array" ref="AK370">AK368/(AK256*4)</f>
        <v/>
      </c>
      <c r="AL370" s="192">
        <f t="array" ref="AL370">AL368/(AL256*4)</f>
        <v/>
      </c>
      <c r="AM370" s="192">
        <f t="array" ref="AM370">AM368/(AM256*4)</f>
        <v/>
      </c>
      <c r="AN370" s="192">
        <f t="array" ref="AN370">AN368/AN256</f>
        <v/>
      </c>
      <c r="AO370" s="192">
        <f t="array" ref="AO370">AO368/AO256</f>
        <v/>
      </c>
      <c r="AP370" s="192">
        <f t="array" ref="AP370">AP368/AP256</f>
        <v/>
      </c>
      <c r="AQ370" s="192">
        <f t="array" ref="AQ370">AQ368/(AQ256*4)</f>
        <v/>
      </c>
      <c r="AR370" s="192">
        <f t="array" ref="AR370">AR368/(AR256*4)</f>
        <v/>
      </c>
      <c r="AS370" s="192">
        <f t="array" ref="AS370">AS368/(AS256*4)</f>
        <v/>
      </c>
      <c r="AT370" s="192">
        <f t="array" ref="AT370">AT368/(AT256*4)</f>
        <v/>
      </c>
      <c r="AU370" s="192">
        <f t="array" ref="AU370">AU368/(AU256*4)</f>
        <v/>
      </c>
      <c r="AV370" s="192">
        <f t="array" ref="AV370">AV368/(AV256*4)</f>
        <v/>
      </c>
      <c r="AW370" s="193">
        <f t="array" ref="AW370">AW368/(AW256*4)</f>
        <v/>
      </c>
      <c r="AX370" s="194">
        <f t="array" ref="AX370">AX368/(AX256*4)</f>
        <v/>
      </c>
      <c r="AY370" s="194">
        <f t="array" ref="AY370">AY368/(AY256*4)</f>
        <v/>
      </c>
      <c r="AZ370" s="194">
        <f t="array" ref="AZ370">AZ368/(AZ256*4)</f>
        <v/>
      </c>
      <c r="BA370" s="195">
        <f t="array" ref="BA370">BA368/BA256</f>
        <v/>
      </c>
      <c r="BB370" s="801" t="n"/>
      <c r="BC370" s="802" t="n"/>
      <c r="BD370" s="802" t="n"/>
      <c r="BE370" s="802" t="n"/>
      <c r="BF370" s="195">
        <f t="array" ref="BF370">BF368/BF256</f>
        <v/>
      </c>
      <c r="BG370" s="543" t="n"/>
      <c r="BH370" s="543" t="n"/>
      <c r="BI370" s="543" t="n"/>
      <c r="BJ370" s="543" t="n"/>
      <c r="BK370" s="192">
        <f t="array" ref="BK370">BK368/BK256</f>
        <v/>
      </c>
      <c r="BL370" s="543" t="n"/>
      <c r="BM370" s="543" t="n"/>
      <c r="BN370" s="543" t="n"/>
      <c r="BO370" s="543" t="n"/>
      <c r="BP370" s="192">
        <f t="array" ref="BP370">BP368/BP256</f>
        <v/>
      </c>
      <c r="BQ370" s="543" t="n"/>
      <c r="BR370" s="543" t="n"/>
      <c r="BS370" s="543" t="n"/>
      <c r="BT370" s="543" t="n"/>
      <c r="BU370" s="192">
        <f t="array" ref="BU370">BU368/BU256</f>
        <v/>
      </c>
      <c r="BV370" s="543" t="n"/>
      <c r="BW370" s="543" t="n"/>
      <c r="BX370" s="543" t="n"/>
      <c r="BY370" s="543" t="n"/>
      <c r="BZ370" s="192">
        <f t="array" ref="BZ370">BZ368/BZ256</f>
        <v/>
      </c>
      <c r="CA370" s="543" t="n"/>
      <c r="CB370" s="456" t="n"/>
      <c r="CC370" s="701" t="n"/>
      <c r="CD370" s="701" t="n"/>
      <c r="CE370" s="701" t="n"/>
      <c r="CF370" s="701" t="n"/>
      <c r="CG370" s="701" t="n"/>
      <c r="CH370" s="701" t="n"/>
      <c r="CI370" s="701" t="n"/>
      <c r="CJ370" s="701" t="n"/>
      <c r="CK370" s="701" t="n"/>
      <c r="CL370" s="701" t="n"/>
      <c r="CM370" s="701" t="n"/>
      <c r="CN370" s="701" t="n"/>
      <c r="CO370" s="701" t="n"/>
      <c r="CP370" s="701" t="n"/>
      <c r="CQ370" s="701" t="n"/>
      <c r="CR370" s="701" t="n"/>
      <c r="CS370" s="701" t="n"/>
      <c r="CT370" s="701" t="n"/>
      <c r="CU370" s="701" t="n"/>
      <c r="CV370" s="701" t="n"/>
      <c r="CW370" s="30" t="n"/>
    </row>
    <row r="371" ht="12.75" customHeight="1" s="1676">
      <c r="A371" s="31" t="n"/>
      <c r="B371" s="522" t="inlineStr">
        <is>
          <t>Text_316</t>
        </is>
      </c>
      <c r="C371" s="699" t="n"/>
      <c r="D371" s="699" t="n"/>
      <c r="E371" s="699" t="n"/>
      <c r="F371" s="699" t="n"/>
      <c r="G371" s="699" t="n"/>
      <c r="H371" s="2019" t="n"/>
      <c r="I371" s="699" t="n"/>
      <c r="J371" s="699" t="n"/>
      <c r="K371" s="699" t="n"/>
      <c r="L371" s="699" t="n"/>
      <c r="M371" s="1797" t="n"/>
      <c r="N371" s="699" t="n"/>
      <c r="O371" s="699" t="n"/>
      <c r="P371" s="699" t="n"/>
      <c r="Q371" s="699" t="n"/>
      <c r="R371" s="1797" t="n"/>
      <c r="S371" s="699" t="n"/>
      <c r="T371" s="699" t="n"/>
      <c r="U371" s="699" t="n"/>
      <c r="V371" s="699" t="n"/>
      <c r="W371" s="1797" t="n">
        <v>-277.800300490659</v>
      </c>
      <c r="X371" s="2019" t="n"/>
      <c r="Y371" s="2019" t="n"/>
      <c r="Z371" s="2019" t="n"/>
      <c r="AA371" s="2019" t="n"/>
      <c r="AB371" s="1797" t="n">
        <v>-310.294173325505</v>
      </c>
      <c r="AC371" s="1797" t="n"/>
      <c r="AD371" s="1797" t="n"/>
      <c r="AE371" s="1797" t="n"/>
      <c r="AF371" s="1973" t="n"/>
      <c r="AG371" s="1797" t="n">
        <v>-332.714558108416</v>
      </c>
      <c r="AH371" s="1797" t="n"/>
      <c r="AI371" s="1797" t="n"/>
      <c r="AJ371" s="1797" t="n"/>
      <c r="AK371" s="1973" t="n"/>
      <c r="AL371" s="1797" t="n">
        <v>-242.983687488483</v>
      </c>
      <c r="AM371" s="1797" t="n">
        <v>-378.414894674749</v>
      </c>
      <c r="AN371" s="1797" t="n">
        <v>-509.507996966865</v>
      </c>
      <c r="AO371" s="1797" t="n">
        <v>-477.629926602886</v>
      </c>
      <c r="AP371" s="1973">
        <f t="array" ref="AP371">AQ371</f>
        <v/>
      </c>
      <c r="AQ371" s="1797" t="n">
        <v>-599.4250190074901</v>
      </c>
      <c r="AR371" s="1797" t="n">
        <v>-448.314377801944</v>
      </c>
      <c r="AS371" s="1797" t="n">
        <v>-634.691346635282</v>
      </c>
      <c r="AT371" s="1797" t="n">
        <v>-443.175716094342</v>
      </c>
      <c r="AU371" s="1973">
        <f t="array" ref="AU371">AV371</f>
        <v/>
      </c>
      <c r="AV371" s="1797" t="n">
        <v>-616.70458290276</v>
      </c>
      <c r="AW371" s="1975" t="n">
        <v>-592.643065787896</v>
      </c>
      <c r="AX371" s="1854" t="n">
        <v>-776.470293547187</v>
      </c>
      <c r="AY371" s="1854" t="n">
        <v>-851.5848671129399</v>
      </c>
      <c r="AZ371" s="2007">
        <f t="array" ref="AZ371">BA371</f>
        <v/>
      </c>
      <c r="BA371" s="1795" t="n">
        <v>-1034.12888920788</v>
      </c>
      <c r="BB371" s="456" t="n"/>
      <c r="BC371" s="701" t="n"/>
      <c r="BD371" s="701" t="n"/>
      <c r="BE371" s="701" t="n"/>
      <c r="BF371" s="785" t="n"/>
      <c r="BG371" s="699" t="n"/>
      <c r="BH371" s="699" t="n"/>
      <c r="BI371" s="699" t="n"/>
      <c r="BJ371" s="699" t="n"/>
      <c r="BK371" s="610" t="n"/>
      <c r="BL371" s="699" t="n"/>
      <c r="BM371" s="699" t="n"/>
      <c r="BN371" s="699" t="n"/>
      <c r="BO371" s="699" t="n"/>
      <c r="BP371" s="610" t="n"/>
      <c r="BQ371" s="699" t="n"/>
      <c r="BR371" s="699" t="n"/>
      <c r="BS371" s="699" t="n"/>
      <c r="BT371" s="699" t="n"/>
      <c r="BU371" s="610" t="n"/>
      <c r="BV371" s="699" t="n"/>
      <c r="BW371" s="699" t="n"/>
      <c r="BX371" s="699" t="n"/>
      <c r="BY371" s="699" t="n"/>
      <c r="BZ371" s="610" t="n"/>
      <c r="CA371" s="699" t="n"/>
      <c r="CB371" s="401" t="n"/>
      <c r="CC371" s="701" t="n"/>
      <c r="CD371" s="701" t="n"/>
      <c r="CE371" s="701" t="n"/>
      <c r="CF371" s="701" t="n"/>
      <c r="CG371" s="701" t="n"/>
      <c r="CH371" s="701" t="n"/>
      <c r="CI371" s="701" t="n"/>
      <c r="CJ371" s="701" t="n"/>
      <c r="CK371" s="701" t="n"/>
      <c r="CL371" s="701" t="n"/>
      <c r="CM371" s="701" t="n"/>
      <c r="CN371" s="701" t="n"/>
      <c r="CO371" s="701" t="n"/>
      <c r="CP371" s="701" t="n"/>
      <c r="CQ371" s="701" t="n"/>
      <c r="CR371" s="701" t="n"/>
      <c r="CS371" s="701" t="n"/>
      <c r="CT371" s="701" t="n"/>
      <c r="CU371" s="701" t="n"/>
      <c r="CV371" s="701" t="n"/>
      <c r="CW371" s="30" t="n"/>
    </row>
    <row r="372" ht="12.75" customHeight="1" s="1676">
      <c r="A372" s="31" t="n"/>
      <c r="B372" s="522" t="inlineStr">
        <is>
          <t>Text_317</t>
        </is>
      </c>
      <c r="C372" s="699" t="n"/>
      <c r="D372" s="699" t="n"/>
      <c r="E372" s="699" t="n"/>
      <c r="F372" s="699" t="n"/>
      <c r="G372" s="699" t="n"/>
      <c r="H372" s="2019" t="n"/>
      <c r="I372" s="699" t="n"/>
      <c r="J372" s="699" t="n"/>
      <c r="K372" s="699" t="n"/>
      <c r="L372" s="699" t="n"/>
      <c r="M372" s="1797" t="n"/>
      <c r="N372" s="699" t="n"/>
      <c r="O372" s="699" t="n"/>
      <c r="P372" s="699" t="n"/>
      <c r="Q372" s="699" t="n"/>
      <c r="R372" s="1797" t="n"/>
      <c r="S372" s="699" t="n"/>
      <c r="T372" s="699" t="n"/>
      <c r="U372" s="699" t="n"/>
      <c r="V372" s="699" t="n"/>
      <c r="W372" s="1797" t="n">
        <v>-77.0481780479118</v>
      </c>
      <c r="X372" s="2019" t="n"/>
      <c r="Y372" s="2019" t="n"/>
      <c r="Z372" s="2019" t="n"/>
      <c r="AA372" s="2019" t="n"/>
      <c r="AB372" s="1797" t="n">
        <v>-213.141740763923</v>
      </c>
      <c r="AC372" s="1797" t="n"/>
      <c r="AD372" s="1797" t="n"/>
      <c r="AE372" s="1797" t="n"/>
      <c r="AF372" s="1973" t="n"/>
      <c r="AG372" s="1797" t="n">
        <v>-200.520305579952</v>
      </c>
      <c r="AH372" s="1797" t="n"/>
      <c r="AI372" s="1797" t="n"/>
      <c r="AJ372" s="1797" t="n"/>
      <c r="AK372" s="1973" t="n"/>
      <c r="AL372" s="1797" t="n">
        <v>-320.396145003905</v>
      </c>
      <c r="AM372" s="1797" t="n">
        <v>-302.334515474734</v>
      </c>
      <c r="AN372" s="1797" t="n">
        <v>-293.505565283008</v>
      </c>
      <c r="AO372" s="1797" t="n">
        <v>-374.837122133763</v>
      </c>
      <c r="AP372" s="1973">
        <f t="array" ref="AP372">AQ372</f>
        <v/>
      </c>
      <c r="AQ372" s="1797" t="n">
        <v>-345.075738824488</v>
      </c>
      <c r="AR372" s="1797" t="n">
        <v>-340.364311756949</v>
      </c>
      <c r="AS372" s="1797" t="n">
        <v>-434.769575315215</v>
      </c>
      <c r="AT372" s="1797" t="n">
        <v>-333.858439535853</v>
      </c>
      <c r="AU372" s="1973">
        <f t="array" ref="AU372">AV372</f>
        <v/>
      </c>
      <c r="AV372" s="1797" t="n">
        <v>-411.604772977682</v>
      </c>
      <c r="AW372" s="1975" t="n">
        <v>-470.445613780774</v>
      </c>
      <c r="AX372" s="1854" t="n">
        <v>-483.320679402973</v>
      </c>
      <c r="AY372" s="1854" t="n">
        <v>-371.966194953651</v>
      </c>
      <c r="AZ372" s="2007">
        <f t="array" ref="AZ372">BA372</f>
        <v/>
      </c>
      <c r="BA372" s="1795" t="n">
        <v>-431.114891121107</v>
      </c>
      <c r="BB372" s="456" t="n"/>
      <c r="BC372" s="701" t="n"/>
      <c r="BD372" s="701" t="n"/>
      <c r="BE372" s="701" t="n"/>
      <c r="BF372" s="785" t="n"/>
      <c r="BG372" s="699" t="n"/>
      <c r="BH372" s="699" t="n"/>
      <c r="BI372" s="699" t="n"/>
      <c r="BJ372" s="699" t="n"/>
      <c r="BK372" s="610" t="n"/>
      <c r="BL372" s="699" t="n"/>
      <c r="BM372" s="699" t="n"/>
      <c r="BN372" s="699" t="n"/>
      <c r="BO372" s="699" t="n"/>
      <c r="BP372" s="610" t="n"/>
      <c r="BQ372" s="699" t="n"/>
      <c r="BR372" s="699" t="n"/>
      <c r="BS372" s="699" t="n"/>
      <c r="BT372" s="699" t="n"/>
      <c r="BU372" s="610" t="n"/>
      <c r="BV372" s="699" t="n"/>
      <c r="BW372" s="699" t="n"/>
      <c r="BX372" s="699" t="n"/>
      <c r="BY372" s="699" t="n"/>
      <c r="BZ372" s="610" t="n"/>
      <c r="CA372" s="699" t="n"/>
      <c r="CB372" s="401" t="n"/>
      <c r="CC372" s="701" t="n"/>
      <c r="CD372" s="701" t="n"/>
      <c r="CE372" s="701" t="n"/>
      <c r="CF372" s="701" t="n"/>
      <c r="CG372" s="701" t="n"/>
      <c r="CH372" s="701" t="n"/>
      <c r="CI372" s="701" t="n"/>
      <c r="CJ372" s="701" t="n"/>
      <c r="CK372" s="701" t="n"/>
      <c r="CL372" s="701" t="n"/>
      <c r="CM372" s="701" t="n"/>
      <c r="CN372" s="701" t="n"/>
      <c r="CO372" s="701" t="n"/>
      <c r="CP372" s="701" t="n"/>
      <c r="CQ372" s="701" t="n"/>
      <c r="CR372" s="701" t="n"/>
      <c r="CS372" s="701" t="n"/>
      <c r="CT372" s="701" t="n"/>
      <c r="CU372" s="701" t="n"/>
      <c r="CV372" s="701" t="n"/>
      <c r="CW372" s="30" t="n"/>
    </row>
    <row r="373" ht="12.75" customHeight="1" s="1676">
      <c r="A373" s="31" t="n"/>
      <c r="B373" s="522" t="inlineStr">
        <is>
          <t>Text_318</t>
        </is>
      </c>
      <c r="C373" s="699" t="n"/>
      <c r="D373" s="1797" t="n"/>
      <c r="E373" s="1797" t="n"/>
      <c r="F373" s="1797" t="n"/>
      <c r="G373" s="1797" t="n"/>
      <c r="H373" s="1797" t="n"/>
      <c r="I373" s="1797" t="n">
        <v>36.1170545348052</v>
      </c>
      <c r="J373" s="1797" t="n">
        <v>51.9449198262846</v>
      </c>
      <c r="K373" s="1797" t="n">
        <v>49.9961773874332</v>
      </c>
      <c r="L373" s="1797" t="n">
        <v>48.0946032001722</v>
      </c>
      <c r="M373" s="1797" t="n"/>
      <c r="N373" s="1797" t="n"/>
      <c r="O373" s="1797" t="n"/>
      <c r="P373" s="1797" t="n"/>
      <c r="Q373" s="1797" t="n"/>
      <c r="R373" s="1797" t="n"/>
      <c r="S373" s="1797" t="n"/>
      <c r="T373" s="1797" t="n"/>
      <c r="U373" s="1797" t="n"/>
      <c r="V373" s="1797" t="n"/>
      <c r="W373" s="1797" t="n">
        <v>-85.1849531654897</v>
      </c>
      <c r="X373" s="1797" t="n"/>
      <c r="Y373" s="1797" t="n"/>
      <c r="Z373" s="1797" t="n"/>
      <c r="AA373" s="1745" t="n"/>
      <c r="AB373" s="1797" t="n">
        <v>-99.9438201014227</v>
      </c>
      <c r="AC373" s="1797" t="n"/>
      <c r="AD373" s="1797" t="n"/>
      <c r="AE373" s="1797" t="n"/>
      <c r="AF373" s="1745" t="n"/>
      <c r="AG373" s="1797" t="n">
        <v>-86.3801486221696</v>
      </c>
      <c r="AH373" s="1797" t="n"/>
      <c r="AI373" s="1797" t="n"/>
      <c r="AJ373" s="1797" t="n"/>
      <c r="AK373" s="1745" t="n"/>
      <c r="AL373" s="1797" t="n">
        <v>-87.5961430975494</v>
      </c>
      <c r="AM373" s="1797" t="n">
        <v>-101.63692737251</v>
      </c>
      <c r="AN373" s="1797" t="n">
        <v>-85.3550247465804</v>
      </c>
      <c r="AO373" s="1797" t="n">
        <v>-97.74311305108191</v>
      </c>
      <c r="AP373" s="1745">
        <f t="array" ref="AP373">AQ373</f>
        <v/>
      </c>
      <c r="AQ373" s="1797" t="n">
        <v>-139.919370217193</v>
      </c>
      <c r="AR373" s="1797" t="n">
        <v>-127.765815894144</v>
      </c>
      <c r="AS373" s="1797" t="n">
        <v>-165.800507301725</v>
      </c>
      <c r="AT373" s="1797" t="n">
        <v>-171.523259419776</v>
      </c>
      <c r="AU373" s="1745">
        <f t="array" ref="AU373">AV373</f>
        <v/>
      </c>
      <c r="AV373" s="1797" t="n">
        <v>-144.447314306444</v>
      </c>
      <c r="AW373" s="1975" t="n">
        <v>-166.534029869403</v>
      </c>
      <c r="AX373" s="1854" t="n">
        <v>-216.937151256205</v>
      </c>
      <c r="AY373" s="1854" t="n">
        <v>-239.798245528169</v>
      </c>
      <c r="AZ373" s="1874">
        <f t="array" ref="AZ373">BA373</f>
        <v/>
      </c>
      <c r="BA373" s="1795" t="n">
        <v>-241.454729911652</v>
      </c>
      <c r="BB373" s="456" t="n"/>
      <c r="BC373" s="701" t="n"/>
      <c r="BD373" s="701" t="n"/>
      <c r="BE373" s="701" t="n"/>
      <c r="BF373" s="785" t="n"/>
      <c r="BG373" s="699" t="n"/>
      <c r="BH373" s="699" t="n"/>
      <c r="BI373" s="699" t="n"/>
      <c r="BJ373" s="699" t="n"/>
      <c r="BK373" s="610" t="n"/>
      <c r="BL373" s="699" t="n"/>
      <c r="BM373" s="699" t="n"/>
      <c r="BN373" s="699" t="n"/>
      <c r="BO373" s="699" t="n"/>
      <c r="BP373" s="610" t="n"/>
      <c r="BQ373" s="699" t="n"/>
      <c r="BR373" s="699" t="n"/>
      <c r="BS373" s="699" t="n"/>
      <c r="BT373" s="699" t="n"/>
      <c r="BU373" s="610" t="n"/>
      <c r="BV373" s="699" t="n"/>
      <c r="BW373" s="699" t="n"/>
      <c r="BX373" s="699" t="n"/>
      <c r="BY373" s="699" t="n"/>
      <c r="BZ373" s="610" t="n"/>
      <c r="CA373" s="699" t="n"/>
      <c r="CB373" s="456" t="n"/>
      <c r="CC373" s="701" t="n"/>
      <c r="CD373" s="701" t="n"/>
      <c r="CE373" s="701" t="n"/>
      <c r="CF373" s="701" t="n"/>
      <c r="CG373" s="701" t="n"/>
      <c r="CH373" s="701" t="n"/>
      <c r="CI373" s="701" t="n"/>
      <c r="CJ373" s="701" t="n"/>
      <c r="CK373" s="701" t="n"/>
      <c r="CL373" s="701" t="n"/>
      <c r="CM373" s="701" t="n"/>
      <c r="CN373" s="701" t="n"/>
      <c r="CO373" s="701" t="n"/>
      <c r="CP373" s="701" t="n"/>
      <c r="CQ373" s="701" t="n"/>
      <c r="CR373" s="701" t="n"/>
      <c r="CS373" s="701" t="n"/>
      <c r="CT373" s="701" t="n"/>
      <c r="CU373" s="701" t="n"/>
      <c r="CV373" s="701" t="n"/>
      <c r="CW373" s="30" t="n"/>
    </row>
    <row r="374" ht="12.75" customHeight="1" s="1676">
      <c r="A374" s="31" t="n"/>
      <c r="B374" s="270" t="inlineStr">
        <is>
          <t>Text_319</t>
        </is>
      </c>
      <c r="C374" s="699" t="n"/>
      <c r="D374" s="699" t="n"/>
      <c r="E374" s="699" t="n"/>
      <c r="F374" s="699" t="n"/>
      <c r="G374" s="699" t="n"/>
      <c r="H374" s="2019" t="n"/>
      <c r="I374" s="699" t="n"/>
      <c r="J374" s="699" t="n"/>
      <c r="K374" s="699" t="n"/>
      <c r="L374" s="699" t="n"/>
      <c r="M374" s="1745">
        <f t="array" ref="M374">M373+M372+M371</f>
        <v/>
      </c>
      <c r="N374" s="699" t="n"/>
      <c r="O374" s="699" t="n"/>
      <c r="P374" s="699" t="n"/>
      <c r="Q374" s="699" t="n"/>
      <c r="R374" s="1745">
        <f t="array" ref="R374">R373+R372+R371</f>
        <v/>
      </c>
      <c r="S374" s="699" t="n"/>
      <c r="T374" s="699" t="n"/>
      <c r="U374" s="699" t="n"/>
      <c r="V374" s="699" t="n"/>
      <c r="W374" s="1745">
        <f t="array" ref="W374">W373+W372+W371</f>
        <v/>
      </c>
      <c r="X374" s="2019" t="n"/>
      <c r="Y374" s="2019" t="n"/>
      <c r="Z374" s="2019" t="n"/>
      <c r="AA374" s="2019" t="n"/>
      <c r="AB374" s="1745">
        <f t="array" ref="AB374">AB373+AB372+AB371</f>
        <v/>
      </c>
      <c r="AC374" s="1745" t="n"/>
      <c r="AD374" s="1745" t="n"/>
      <c r="AE374" s="1745" t="n"/>
      <c r="AF374" s="1745" t="n"/>
      <c r="AG374" s="1745">
        <f t="array" ref="AG374">AG373+AG372+AG371</f>
        <v/>
      </c>
      <c r="AH374" s="1745" t="n"/>
      <c r="AI374" s="1745" t="n"/>
      <c r="AJ374" s="1745" t="n"/>
      <c r="AK374" s="1745" t="n"/>
      <c r="AL374" s="1745">
        <f t="array" ref="AL374">AL373+AL372+AL371</f>
        <v/>
      </c>
      <c r="AM374" s="1745">
        <f t="array" ref="AM374">AM373+AM372+AM371</f>
        <v/>
      </c>
      <c r="AN374" s="1745">
        <f t="array" ref="AN374">AN373+AN372+AN371</f>
        <v/>
      </c>
      <c r="AO374" s="1745">
        <f t="array" ref="AO374">AO373+AO372+AO371</f>
        <v/>
      </c>
      <c r="AP374" s="1745">
        <f t="array" ref="AP374">AP373+AP372+AP371</f>
        <v/>
      </c>
      <c r="AQ374" s="1745">
        <f t="array" ref="AQ374">AQ373+AQ372+AQ371</f>
        <v/>
      </c>
      <c r="AR374" s="1745">
        <f t="array" ref="AR374">AR373+AR372+AR371</f>
        <v/>
      </c>
      <c r="AS374" s="1745">
        <f t="array" ref="AS374">AS373+AS372+AS371</f>
        <v/>
      </c>
      <c r="AT374" s="1745">
        <f t="array" ref="AT374">AT373+AT372+AT371</f>
        <v/>
      </c>
      <c r="AU374" s="1745">
        <f t="array" ref="AU374">AU373+AU372+AU371</f>
        <v/>
      </c>
      <c r="AV374" s="1745">
        <f t="array" ref="AV374">AV373+AV372+AV371</f>
        <v/>
      </c>
      <c r="AW374" s="1873">
        <f t="array" ref="AW374">AW373+AW372+AW371</f>
        <v/>
      </c>
      <c r="AX374" s="1874">
        <f t="array" ref="AX374">AX373+AX372+AX371</f>
        <v/>
      </c>
      <c r="AY374" s="1874">
        <f t="array" ref="AY374">AY373+AY372+AY371</f>
        <v/>
      </c>
      <c r="AZ374" s="1874">
        <f t="array" ref="AZ374">AZ373+AZ372+AZ371</f>
        <v/>
      </c>
      <c r="BA374" s="1748">
        <f t="array" ref="BA374">BA373+BA372+BA371</f>
        <v/>
      </c>
      <c r="BB374" s="456" t="n"/>
      <c r="BC374" s="701" t="n"/>
      <c r="BD374" s="701" t="n"/>
      <c r="BE374" s="701" t="n"/>
      <c r="BF374" s="1748">
        <f t="array" ref="BF374">-BF375*BF212</f>
        <v/>
      </c>
      <c r="BG374" s="699" t="n"/>
      <c r="BH374" s="699" t="n"/>
      <c r="BI374" s="699" t="n"/>
      <c r="BJ374" s="699" t="n"/>
      <c r="BK374" s="1745">
        <f t="array" ref="BK374">-BK375*BK212</f>
        <v/>
      </c>
      <c r="BL374" s="699" t="n"/>
      <c r="BM374" s="699" t="n"/>
      <c r="BN374" s="699" t="n"/>
      <c r="BO374" s="699" t="n"/>
      <c r="BP374" s="1745">
        <f t="array" ref="BP374">-BP375*BP212</f>
        <v/>
      </c>
      <c r="BQ374" s="699" t="n"/>
      <c r="BR374" s="699" t="n"/>
      <c r="BS374" s="699" t="n"/>
      <c r="BT374" s="699" t="n"/>
      <c r="BU374" s="1745">
        <f t="array" ref="BU374">-BU375*BU212</f>
        <v/>
      </c>
      <c r="BV374" s="699" t="n"/>
      <c r="BW374" s="699" t="n"/>
      <c r="BX374" s="699" t="n"/>
      <c r="BY374" s="699" t="n"/>
      <c r="BZ374" s="1745">
        <f t="array" ref="BZ374">-BZ375*BZ212</f>
        <v/>
      </c>
      <c r="CA374" s="699" t="n"/>
      <c r="CB374" s="98" t="n"/>
      <c r="CC374" s="701" t="n"/>
      <c r="CD374" s="701" t="n"/>
      <c r="CE374" s="701" t="n"/>
      <c r="CF374" s="701" t="n"/>
      <c r="CG374" s="701" t="n"/>
      <c r="CH374" s="701" t="n"/>
      <c r="CI374" s="701" t="n"/>
      <c r="CJ374" s="701" t="n"/>
      <c r="CK374" s="701" t="n"/>
      <c r="CL374" s="701" t="n"/>
      <c r="CM374" s="701" t="n"/>
      <c r="CN374" s="701" t="n"/>
      <c r="CO374" s="701" t="n"/>
      <c r="CP374" s="701" t="n"/>
      <c r="CQ374" s="701" t="n"/>
      <c r="CR374" s="701" t="n"/>
      <c r="CS374" s="701" t="n"/>
      <c r="CT374" s="701" t="n"/>
      <c r="CU374" s="701" t="n"/>
      <c r="CV374" s="701" t="n"/>
      <c r="CW374" s="30" t="n"/>
    </row>
    <row r="375" ht="12.75" customHeight="1" s="1676">
      <c r="A375" s="31" t="n"/>
      <c r="B375" s="270" t="inlineStr">
        <is>
          <t>Text_187</t>
        </is>
      </c>
      <c r="C375" s="699" t="n"/>
      <c r="D375" s="699" t="n"/>
      <c r="E375" s="699" t="n"/>
      <c r="F375" s="699" t="n"/>
      <c r="G375" s="699" t="n"/>
      <c r="H375" s="2019" t="n"/>
      <c r="I375" s="699" t="n"/>
      <c r="J375" s="699" t="n"/>
      <c r="K375" s="699" t="n"/>
      <c r="L375" s="699" t="n"/>
      <c r="M375" s="1751">
        <f t="array" ref="M375">-M374/(M212)</f>
        <v/>
      </c>
      <c r="N375" s="1751" t="n"/>
      <c r="O375" s="1751" t="n"/>
      <c r="P375" s="1751" t="n"/>
      <c r="Q375" s="1751" t="n"/>
      <c r="R375" s="1751">
        <f t="array" ref="R375">-R374/(R212)</f>
        <v/>
      </c>
      <c r="S375" s="1751" t="n"/>
      <c r="T375" s="1751" t="n"/>
      <c r="U375" s="1751" t="n"/>
      <c r="V375" s="1751" t="n"/>
      <c r="W375" s="1751">
        <f t="array" ref="W375">-W374/(W212)</f>
        <v/>
      </c>
      <c r="X375" s="1751" t="n"/>
      <c r="Y375" s="1751" t="n"/>
      <c r="Z375" s="1751" t="n"/>
      <c r="AA375" s="1751" t="n"/>
      <c r="AB375" s="1751">
        <f t="array" ref="AB375">-AB374/(AB212)</f>
        <v/>
      </c>
      <c r="AC375" s="1751" t="n"/>
      <c r="AD375" s="1751" t="n"/>
      <c r="AE375" s="1751" t="n"/>
      <c r="AF375" s="1751" t="n"/>
      <c r="AG375" s="1751">
        <f t="array" ref="AG375">-AG374/(AG212)</f>
        <v/>
      </c>
      <c r="AH375" s="1751" t="n"/>
      <c r="AI375" s="1751" t="n"/>
      <c r="AJ375" s="1751" t="n"/>
      <c r="AK375" s="1751" t="n"/>
      <c r="AL375" s="1751">
        <f t="array" ref="AL375">-AL374/(AL212)</f>
        <v/>
      </c>
      <c r="AM375" s="1751">
        <f t="array" ref="AM375">-AM374/(AM212*4)</f>
        <v/>
      </c>
      <c r="AN375" s="1751">
        <f t="array" ref="AN375">-AN374/(AN212*4)</f>
        <v/>
      </c>
      <c r="AO375" s="1751">
        <f t="array" ref="AO375">-AO374/(AO212*4)</f>
        <v/>
      </c>
      <c r="AP375" s="1751">
        <f t="array" ref="AP375">-AP374/(AP212*4)</f>
        <v/>
      </c>
      <c r="AQ375" s="1751">
        <f t="array" ref="AQ375">-AQ374/(AQ212)</f>
        <v/>
      </c>
      <c r="AR375" s="1751">
        <f t="array" ref="AR375">-AR374/(AR212*4)</f>
        <v/>
      </c>
      <c r="AS375" s="1751">
        <f t="array" ref="AS375">-AS374/(AS212*4)</f>
        <v/>
      </c>
      <c r="AT375" s="1751">
        <f t="array" ref="AT375">-AT374/(AT212*4)</f>
        <v/>
      </c>
      <c r="AU375" s="1751">
        <f t="array" ref="AU375">-AU374/(AU212*4)</f>
        <v/>
      </c>
      <c r="AV375" s="1751">
        <f t="array" ref="AV375">-AV374/(AV212)</f>
        <v/>
      </c>
      <c r="AW375" s="1800">
        <f t="array" ref="AW375">-AW374/(AW212*4)</f>
        <v/>
      </c>
      <c r="AX375" s="1972">
        <f t="array" ref="AX375">-AX374/(AX212*4)</f>
        <v/>
      </c>
      <c r="AY375" s="1972">
        <f t="array" ref="AY375">-AY374/(AY212*4)</f>
        <v/>
      </c>
      <c r="AZ375" s="1972">
        <f t="array" ref="AZ375">-AZ374/(AZ212*4)</f>
        <v/>
      </c>
      <c r="BA375" s="1875">
        <f t="array" ref="BA375">-BA374/(BA212)</f>
        <v/>
      </c>
      <c r="BB375" s="1749" t="n"/>
      <c r="BC375" s="1750" t="n"/>
      <c r="BD375" s="1750" t="n"/>
      <c r="BE375" s="1750" t="n"/>
      <c r="BF375" s="2140" t="n">
        <v>0.167331192833106</v>
      </c>
      <c r="BG375" s="1751" t="n"/>
      <c r="BH375" s="1751" t="n"/>
      <c r="BI375" s="1751" t="n"/>
      <c r="BJ375" s="1751" t="n"/>
      <c r="BK375" s="2141" t="n">
        <v>0.159623850583282</v>
      </c>
      <c r="BL375" s="1751" t="n"/>
      <c r="BM375" s="1751" t="n"/>
      <c r="BN375" s="1751" t="n"/>
      <c r="BO375" s="1751" t="n"/>
      <c r="BP375" s="2141" t="n">
        <v>0.145472000314606</v>
      </c>
      <c r="BQ375" s="1751" t="n"/>
      <c r="BR375" s="1751" t="n"/>
      <c r="BS375" s="1751" t="n"/>
      <c r="BT375" s="1751" t="n"/>
      <c r="BU375" s="2141" t="n">
        <v>0.136132271976214</v>
      </c>
      <c r="BV375" s="1751" t="n"/>
      <c r="BW375" s="1751" t="n"/>
      <c r="BX375" s="1751" t="n"/>
      <c r="BY375" s="1751" t="n"/>
      <c r="BZ375" s="2141" t="n">
        <v>0.115871634085073</v>
      </c>
      <c r="CA375" s="699" t="n"/>
      <c r="CB375" s="401" t="n"/>
      <c r="CC375" s="701" t="n"/>
      <c r="CD375" s="701" t="n"/>
      <c r="CE375" s="701" t="n"/>
      <c r="CF375" s="701" t="n"/>
      <c r="CG375" s="701" t="n"/>
      <c r="CH375" s="701" t="n"/>
      <c r="CI375" s="701" t="n"/>
      <c r="CJ375" s="701" t="n"/>
      <c r="CK375" s="701" t="n"/>
      <c r="CL375" s="701" t="n"/>
      <c r="CM375" s="701" t="n"/>
      <c r="CN375" s="701" t="n"/>
      <c r="CO375" s="701" t="n"/>
      <c r="CP375" s="701" t="n"/>
      <c r="CQ375" s="701" t="n"/>
      <c r="CR375" s="701" t="n"/>
      <c r="CS375" s="701" t="n"/>
      <c r="CT375" s="701" t="n"/>
      <c r="CU375" s="701" t="n"/>
      <c r="CV375" s="701" t="n"/>
      <c r="CW375" s="30" t="n"/>
    </row>
    <row r="376" ht="12.75" customHeight="1" s="1676">
      <c r="A376" s="31" t="n"/>
      <c r="B376" s="522" t="inlineStr">
        <is>
          <t>Text_320</t>
        </is>
      </c>
      <c r="C376" s="699" t="n"/>
      <c r="D376" s="1797" t="n"/>
      <c r="E376" s="1797" t="n"/>
      <c r="F376" s="1797" t="n"/>
      <c r="G376" s="1797" t="n"/>
      <c r="H376" s="1797" t="n"/>
      <c r="I376" s="1797" t="n">
        <v>358.671668327893</v>
      </c>
      <c r="J376" s="1797" t="n">
        <v>256.946279000901</v>
      </c>
      <c r="K376" s="1797" t="n">
        <v>339.855962091241</v>
      </c>
      <c r="L376" s="1797" t="n">
        <v>333.04067647706</v>
      </c>
      <c r="M376" s="1797" t="n">
        <v>301.558761646673</v>
      </c>
      <c r="N376" s="1797" t="n">
        <v>324.766990598894</v>
      </c>
      <c r="O376" s="1797" t="n">
        <v>287.753509570513</v>
      </c>
      <c r="P376" s="1797" t="n">
        <v>258.256587649894</v>
      </c>
      <c r="Q376" s="1797" t="n">
        <v>276.818362652758</v>
      </c>
      <c r="R376" s="1797" t="n">
        <v>294.602586649676</v>
      </c>
      <c r="S376" s="1797" t="n">
        <v>232.07899317105</v>
      </c>
      <c r="T376" s="1797" t="n">
        <v>295.416409194885</v>
      </c>
      <c r="U376" s="1797" t="n">
        <v>339.25326793901</v>
      </c>
      <c r="V376" s="1797" t="n">
        <v>250.816384311592</v>
      </c>
      <c r="W376" s="1797" t="n">
        <v>319.814694945625</v>
      </c>
      <c r="X376" s="1797" t="n">
        <v>338.749272604011</v>
      </c>
      <c r="Y376" s="1797" t="n">
        <v>360.722370664827</v>
      </c>
      <c r="Z376" s="1797" t="n">
        <v>487.655107578237</v>
      </c>
      <c r="AA376" s="1745" t="n">
        <v>452.651425759423</v>
      </c>
      <c r="AB376" s="1797" t="n">
        <v>534.485124719472</v>
      </c>
      <c r="AC376" s="1797" t="n">
        <v>524.120553412943</v>
      </c>
      <c r="AD376" s="1797" t="n">
        <v>423.670308130955</v>
      </c>
      <c r="AE376" s="1797" t="n">
        <v>493.143875877475</v>
      </c>
      <c r="AF376" s="1745" t="n">
        <v>565.221513962631</v>
      </c>
      <c r="AG376" s="1797" t="n">
        <v>467.288572932136</v>
      </c>
      <c r="AH376" s="1797" t="n">
        <v>593.453968842924</v>
      </c>
      <c r="AI376" s="1797" t="n">
        <v>633.781602256926</v>
      </c>
      <c r="AJ376" s="1797" t="n">
        <v>543.649080639827</v>
      </c>
      <c r="AK376" s="1745" t="n">
        <v>680.288327783845</v>
      </c>
      <c r="AL376" s="1797" t="n">
        <v>735.065390362165</v>
      </c>
      <c r="AM376" s="1797" t="n">
        <v>698.238427909836</v>
      </c>
      <c r="AN376" s="1797" t="n">
        <v>577.2144356333019</v>
      </c>
      <c r="AO376" s="1797" t="n">
        <v>650.023593055217</v>
      </c>
      <c r="AP376" s="1745">
        <f t="array" ref="AP376">AQ376</f>
        <v/>
      </c>
      <c r="AQ376" s="1797" t="n">
        <v>801.323037316435</v>
      </c>
      <c r="AR376" s="1797" t="n">
        <v>1068.64841474654</v>
      </c>
      <c r="AS376" s="1797" t="n">
        <v>860.102531903879</v>
      </c>
      <c r="AT376" s="1797" t="n">
        <v>1037.17111296377</v>
      </c>
      <c r="AU376" s="1745">
        <f t="array" ref="AU376">AV376</f>
        <v/>
      </c>
      <c r="AV376" s="1797" t="n">
        <v>917.131595396826</v>
      </c>
      <c r="AW376" s="1975" t="n">
        <v>984.318425515959</v>
      </c>
      <c r="AX376" s="1854" t="n">
        <v>1240.4066320673</v>
      </c>
      <c r="AY376" s="1854" t="n">
        <v>1207.55175145261</v>
      </c>
      <c r="AZ376" s="1874">
        <f t="array" ref="AZ376">BA376</f>
        <v/>
      </c>
      <c r="BA376" s="1795" t="n">
        <v>930.330458016316</v>
      </c>
      <c r="BB376" s="456" t="n"/>
      <c r="BC376" s="701" t="n"/>
      <c r="BD376" s="701" t="n"/>
      <c r="BE376" s="701" t="n"/>
      <c r="BF376" s="1748">
        <f t="array" ref="BF376">BA376-BF320+BF234</f>
        <v/>
      </c>
      <c r="BG376" s="699" t="n"/>
      <c r="BH376" s="699" t="n"/>
      <c r="BI376" s="699" t="n"/>
      <c r="BJ376" s="699" t="n"/>
      <c r="BK376" s="1745">
        <f t="array" ref="BK376">BF376-BK320+BK234</f>
        <v/>
      </c>
      <c r="BL376" s="699" t="n"/>
      <c r="BM376" s="699" t="n"/>
      <c r="BN376" s="699" t="n"/>
      <c r="BO376" s="699" t="n"/>
      <c r="BP376" s="1745">
        <f t="array" ref="BP376">BK376-BP320+BP234</f>
        <v/>
      </c>
      <c r="BQ376" s="699" t="n"/>
      <c r="BR376" s="699" t="n"/>
      <c r="BS376" s="699" t="n"/>
      <c r="BT376" s="699" t="n"/>
      <c r="BU376" s="1745">
        <f t="array" ref="BU376">BP376-BU320+BU234</f>
        <v/>
      </c>
      <c r="BV376" s="699" t="n"/>
      <c r="BW376" s="699" t="n"/>
      <c r="BX376" s="699" t="n"/>
      <c r="BY376" s="699" t="n"/>
      <c r="BZ376" s="1745">
        <f t="array" ref="BZ376">BU376-BZ320+BZ234</f>
        <v/>
      </c>
      <c r="CA376" s="699" t="n"/>
      <c r="CB376" s="456" t="n"/>
      <c r="CC376" s="701" t="n"/>
      <c r="CD376" s="701" t="n"/>
      <c r="CE376" s="701" t="n"/>
      <c r="CF376" s="701" t="n"/>
      <c r="CG376" s="701" t="n"/>
      <c r="CH376" s="701" t="n"/>
      <c r="CI376" s="701" t="n"/>
      <c r="CJ376" s="701" t="n"/>
      <c r="CK376" s="701" t="n"/>
      <c r="CL376" s="701" t="n"/>
      <c r="CM376" s="701" t="n"/>
      <c r="CN376" s="701" t="n"/>
      <c r="CO376" s="701" t="n"/>
      <c r="CP376" s="701" t="n"/>
      <c r="CQ376" s="701" t="n"/>
      <c r="CR376" s="701" t="n"/>
      <c r="CS376" s="701" t="n"/>
      <c r="CT376" s="701" t="n"/>
      <c r="CU376" s="701" t="n"/>
      <c r="CV376" s="701" t="n"/>
      <c r="CW376" s="30" t="n"/>
    </row>
    <row r="377" ht="12.75" customHeight="1" s="1676">
      <c r="A377" s="31" t="n"/>
      <c r="B377" s="738" t="inlineStr">
        <is>
          <t>Text_321</t>
        </is>
      </c>
      <c r="C377" s="805" t="n"/>
      <c r="D377" s="2008" t="n"/>
      <c r="E377" s="2008" t="n"/>
      <c r="F377" s="2008" t="n"/>
      <c r="G377" s="2008" t="n"/>
      <c r="H377" s="2008" t="n"/>
      <c r="I377" s="2008" t="n">
        <v>8.00694482278807</v>
      </c>
      <c r="J377" s="2008" t="n">
        <v>5.6281052564465</v>
      </c>
      <c r="K377" s="2008" t="n">
        <v>5.58200282985677</v>
      </c>
      <c r="L377" s="2008" t="n">
        <v>4.61240068187093</v>
      </c>
      <c r="M377" s="2008" t="n">
        <v>3.67009394512144</v>
      </c>
      <c r="N377" s="2008" t="n">
        <v>2.80617293510264</v>
      </c>
      <c r="O377" s="2008" t="n">
        <v>2.4467524926624</v>
      </c>
      <c r="P377" s="2008" t="n">
        <v>2.38000169129961</v>
      </c>
      <c r="Q377" s="2008" t="n">
        <v>22.7044379429863</v>
      </c>
      <c r="R377" s="2008" t="n">
        <v>15.5110611851415</v>
      </c>
      <c r="S377" s="2008" t="n">
        <v>19.6175134980195</v>
      </c>
      <c r="T377" s="2008" t="n">
        <v>15.7131462847288</v>
      </c>
      <c r="U377" s="2008" t="n">
        <v>14.7145748285858</v>
      </c>
      <c r="V377" s="2008" t="n">
        <v>21.2992818918872</v>
      </c>
      <c r="W377" s="2008" t="n">
        <v>22.5687752850669</v>
      </c>
      <c r="X377" s="2008" t="n">
        <v>29.6615538605018</v>
      </c>
      <c r="Y377" s="2008" t="n">
        <v>24.5527623017043</v>
      </c>
      <c r="Z377" s="2008" t="n">
        <v>1597.48040911117</v>
      </c>
      <c r="AA377" s="2084" t="n">
        <v>1740.17769273089</v>
      </c>
      <c r="AB377" s="2008" t="n">
        <v>1405.22813152639</v>
      </c>
      <c r="AC377" s="805" t="n">
        <v>1588.90641981717</v>
      </c>
      <c r="AD377" s="805" t="n">
        <v>1408.02416996112</v>
      </c>
      <c r="AE377" s="805" t="n">
        <v>1527.92841981777</v>
      </c>
      <c r="AF377" s="805" t="n">
        <v>1246.92806903436</v>
      </c>
      <c r="AG377" s="2008" t="n">
        <v>1219.76436616149</v>
      </c>
      <c r="AH377" s="805" t="n">
        <v>1565.24189137249</v>
      </c>
      <c r="AI377" s="805" t="n">
        <v>1084.39870713067</v>
      </c>
      <c r="AJ377" s="805" t="n">
        <v>1240.53837643031</v>
      </c>
      <c r="AK377" s="805" t="n">
        <v>1052.96049321067</v>
      </c>
      <c r="AL377" s="2008" t="n">
        <v>966.706445503804</v>
      </c>
      <c r="AM377" s="2008" t="n">
        <v>942.705217132387</v>
      </c>
      <c r="AN377" s="2008" t="n">
        <v>961.440192472396</v>
      </c>
      <c r="AO377" s="2008" t="n">
        <v>1439.8893058333</v>
      </c>
      <c r="AP377" s="2084">
        <f t="array" ref="AP377">AQ377</f>
        <v/>
      </c>
      <c r="AQ377" s="2008" t="n">
        <v>1090.48982660343</v>
      </c>
      <c r="AR377" s="2008" t="n">
        <v>1335.31291050063</v>
      </c>
      <c r="AS377" s="2008" t="n">
        <v>1099.86506786486</v>
      </c>
      <c r="AT377" s="2008" t="n">
        <v>974.604740789118</v>
      </c>
      <c r="AU377" s="2084">
        <f t="array" ref="AU377">AV377</f>
        <v/>
      </c>
      <c r="AV377" s="2008" t="n">
        <v>965.265930933138</v>
      </c>
      <c r="AW377" s="1932" t="n">
        <v>877.823390087568</v>
      </c>
      <c r="AX377" s="2077" t="n">
        <v>867.616372128153</v>
      </c>
      <c r="AY377" s="2077" t="n">
        <v>664.298568039165</v>
      </c>
      <c r="AZ377" s="2086">
        <f t="array" ref="AZ377">BA377</f>
        <v/>
      </c>
      <c r="BA377" s="1931" t="n">
        <v>629.454156835274</v>
      </c>
      <c r="BB377" s="501" t="n"/>
      <c r="BC377" s="179" t="n"/>
      <c r="BD377" s="179" t="n"/>
      <c r="BE377" s="179" t="n"/>
      <c r="BF377" s="2142">
        <f t="array" ref="BF377">BA377</f>
        <v/>
      </c>
      <c r="BG377" s="805" t="n"/>
      <c r="BH377" s="805" t="n"/>
      <c r="BI377" s="805" t="n"/>
      <c r="BJ377" s="805" t="n"/>
      <c r="BK377" s="2143">
        <f t="array" ref="BK377">BF377</f>
        <v/>
      </c>
      <c r="BL377" s="805" t="n"/>
      <c r="BM377" s="805" t="n"/>
      <c r="BN377" s="805" t="n"/>
      <c r="BO377" s="805" t="n"/>
      <c r="BP377" s="2143">
        <f t="array" ref="BP377">BK377</f>
        <v/>
      </c>
      <c r="BQ377" s="805" t="n"/>
      <c r="BR377" s="805" t="n"/>
      <c r="BS377" s="805" t="n"/>
      <c r="BT377" s="805" t="n"/>
      <c r="BU377" s="2143">
        <f t="array" ref="BU377">BP377</f>
        <v/>
      </c>
      <c r="BV377" s="805" t="n"/>
      <c r="BW377" s="805" t="n"/>
      <c r="BX377" s="805" t="n"/>
      <c r="BY377" s="805" t="n"/>
      <c r="BZ377" s="2143">
        <f t="array" ref="BZ377">BU377</f>
        <v/>
      </c>
      <c r="CA377" s="805" t="n"/>
      <c r="CB377" s="456" t="n"/>
      <c r="CC377" s="701" t="n"/>
      <c r="CD377" s="701" t="n"/>
      <c r="CE377" s="701" t="n"/>
      <c r="CF377" s="701" t="n"/>
      <c r="CG377" s="701" t="n"/>
      <c r="CH377" s="701" t="n"/>
      <c r="CI377" s="701" t="n"/>
      <c r="CJ377" s="701" t="n"/>
      <c r="CK377" s="701" t="n"/>
      <c r="CL377" s="701" t="n"/>
      <c r="CM377" s="701" t="n"/>
      <c r="CN377" s="701" t="n"/>
      <c r="CO377" s="701" t="n"/>
      <c r="CP377" s="701" t="n"/>
      <c r="CQ377" s="701" t="n"/>
      <c r="CR377" s="701" t="n"/>
      <c r="CS377" s="701" t="n"/>
      <c r="CT377" s="701" t="n"/>
      <c r="CU377" s="701" t="n"/>
      <c r="CV377" s="701" t="n"/>
      <c r="CW377" s="30" t="n"/>
    </row>
    <row r="378" ht="12.75" customHeight="1" s="1676">
      <c r="A378" s="13" t="n"/>
      <c r="B378" s="250" t="inlineStr">
        <is>
          <t>Text_322</t>
        </is>
      </c>
      <c r="C378" s="711" t="n"/>
      <c r="D378" s="711" t="n"/>
      <c r="E378" s="711" t="n"/>
      <c r="F378" s="711" t="n"/>
      <c r="G378" s="711" t="n"/>
      <c r="H378" s="1807" t="n"/>
      <c r="I378" s="711" t="n"/>
      <c r="J378" s="711" t="n"/>
      <c r="K378" s="711" t="n"/>
      <c r="L378" s="711" t="n"/>
      <c r="M378" s="1807">
        <f t="array" ref="M378">M377+M376+M368+M374</f>
        <v/>
      </c>
      <c r="N378" s="711" t="n"/>
      <c r="O378" s="711" t="n"/>
      <c r="P378" s="711" t="n"/>
      <c r="Q378" s="711" t="n"/>
      <c r="R378" s="1807">
        <f t="array" ref="R378">R377+R376+R368+R374</f>
        <v/>
      </c>
      <c r="S378" s="711" t="n"/>
      <c r="T378" s="711" t="n"/>
      <c r="U378" s="711" t="n"/>
      <c r="V378" s="711" t="n"/>
      <c r="W378" s="1807">
        <f t="array" ref="W378">W377+W376+W368+W374</f>
        <v/>
      </c>
      <c r="X378" s="1807" t="n"/>
      <c r="Y378" s="1807" t="n"/>
      <c r="Z378" s="1807" t="n"/>
      <c r="AA378" s="1807" t="n"/>
      <c r="AB378" s="1807">
        <f t="array" ref="AB378">AB377+AB376+AB368+AB374</f>
        <v/>
      </c>
      <c r="AC378" s="1807">
        <f t="array" ref="AC378">AC377+AC376+AC368</f>
        <v/>
      </c>
      <c r="AD378" s="1807">
        <f t="array" ref="AD378">AD377+AD376+AD368</f>
        <v/>
      </c>
      <c r="AE378" s="1807">
        <f t="array" ref="AE378">AE377+AE376+AE368</f>
        <v/>
      </c>
      <c r="AF378" s="1807">
        <f t="array" ref="AF378">AF377+AF376+AF368</f>
        <v/>
      </c>
      <c r="AG378" s="1807">
        <f t="array" ref="AG378">AG377+AG376+AG368+AG374</f>
        <v/>
      </c>
      <c r="AH378" s="1807" t="n"/>
      <c r="AI378" s="1807" t="n"/>
      <c r="AJ378" s="1807" t="n"/>
      <c r="AK378" s="1807">
        <f t="array" ref="AK378">AK377+AK376+AK368</f>
        <v/>
      </c>
      <c r="AL378" s="1807">
        <f t="array" ref="AL378">AL377+AL376+AL368+AL374</f>
        <v/>
      </c>
      <c r="AM378" s="1807">
        <f t="array" ref="AM378">AM377+AM376+AM368</f>
        <v/>
      </c>
      <c r="AN378" s="1807">
        <f t="array" ref="AN378">AN377+AN376+AN368</f>
        <v/>
      </c>
      <c r="AO378" s="1807">
        <f t="array" ref="AO378">AO377+AO376+AO368</f>
        <v/>
      </c>
      <c r="AP378" s="1807">
        <f t="array" ref="AP378">AP377+AP376+AP368+AP374</f>
        <v/>
      </c>
      <c r="AQ378" s="1807">
        <f t="array" ref="AQ378">AQ377+AQ376+AQ368+AQ374</f>
        <v/>
      </c>
      <c r="AR378" s="1807">
        <f t="array" ref="AR378">AR377+AR376+AR368</f>
        <v/>
      </c>
      <c r="AS378" s="1807">
        <f t="array" ref="AS378">AS377+AS376+AS368</f>
        <v/>
      </c>
      <c r="AT378" s="1807">
        <f t="array" ref="AT378">AT377+AT376+AT368</f>
        <v/>
      </c>
      <c r="AU378" s="1807">
        <f t="array" ref="AU378">AU377+AU376+AU368</f>
        <v/>
      </c>
      <c r="AV378" s="1807">
        <f t="array" ref="AV378">AV377+AV376+AV368</f>
        <v/>
      </c>
      <c r="AW378" s="1808">
        <f t="array" ref="AW378">AW377+AW376+AW368+AW374</f>
        <v/>
      </c>
      <c r="AX378" s="1809">
        <f t="array" ref="AX378">AX377+AX376+AX368</f>
        <v/>
      </c>
      <c r="AY378" s="1809">
        <f t="array" ref="AY378">AY377+AY376+AY368</f>
        <v/>
      </c>
      <c r="AZ378" s="1809">
        <f t="array" ref="AZ378">AZ377+AZ376+AZ368</f>
        <v/>
      </c>
      <c r="BA378" s="1810">
        <f t="array" ref="BA378">BA377+BA376+BA368</f>
        <v/>
      </c>
      <c r="BB378" s="808" t="n"/>
      <c r="BC378" s="710" t="n"/>
      <c r="BD378" s="710" t="n"/>
      <c r="BE378" s="710" t="n"/>
      <c r="BF378" s="1810">
        <f t="array" ref="BF378">BF377+BF376+BF368+BF367+BF366</f>
        <v/>
      </c>
      <c r="BG378" s="711" t="n"/>
      <c r="BH378" s="711" t="n"/>
      <c r="BI378" s="711" t="n"/>
      <c r="BJ378" s="711" t="n"/>
      <c r="BK378" s="1807">
        <f t="array" ref="BK378">BK377+BK376+BK368+BK367+BK366</f>
        <v/>
      </c>
      <c r="BL378" s="711" t="n"/>
      <c r="BM378" s="711" t="n"/>
      <c r="BN378" s="711" t="n"/>
      <c r="BO378" s="711" t="n"/>
      <c r="BP378" s="1807">
        <f t="array" ref="BP378">BP377+BP376+BP368+BP367+BP366</f>
        <v/>
      </c>
      <c r="BQ378" s="711" t="n"/>
      <c r="BR378" s="711" t="n"/>
      <c r="BS378" s="711" t="n"/>
      <c r="BT378" s="711" t="n"/>
      <c r="BU378" s="1807">
        <f t="array" ref="BU378">BU377+BU376+BU368+BU367+BU366</f>
        <v/>
      </c>
      <c r="BV378" s="711" t="n"/>
      <c r="BW378" s="711" t="n"/>
      <c r="BX378" s="711" t="n"/>
      <c r="BY378" s="711" t="n"/>
      <c r="BZ378" s="1807">
        <f t="array" ref="BZ378">BZ377+BZ376+BZ368+BZ367+BZ366</f>
        <v/>
      </c>
      <c r="CA378" s="711" t="n"/>
      <c r="CB378" s="456" t="n"/>
      <c r="CC378" s="701" t="n"/>
      <c r="CD378" s="701" t="n"/>
      <c r="CE378" s="701" t="n"/>
      <c r="CF378" s="701" t="n"/>
      <c r="CG378" s="701" t="n"/>
      <c r="CH378" s="701" t="n"/>
      <c r="CI378" s="701" t="n"/>
      <c r="CJ378" s="701" t="n"/>
      <c r="CK378" s="701" t="n"/>
      <c r="CL378" s="701" t="n"/>
      <c r="CM378" s="701" t="n"/>
      <c r="CN378" s="701" t="n"/>
      <c r="CO378" s="701" t="n"/>
      <c r="CP378" s="701" t="n"/>
      <c r="CQ378" s="701" t="n"/>
      <c r="CR378" s="701" t="n"/>
      <c r="CS378" s="701" t="n"/>
      <c r="CT378" s="701" t="n"/>
      <c r="CU378" s="701" t="n"/>
      <c r="CV378" s="701" t="n"/>
      <c r="CW378" s="30" t="n"/>
    </row>
    <row r="379" ht="12.75" customHeight="1" s="1676">
      <c r="A379" s="31" t="n"/>
      <c r="B379" s="763" t="inlineStr">
        <is>
          <t>Text_323</t>
        </is>
      </c>
      <c r="C379" s="66" t="n"/>
      <c r="D379" s="1997" t="n"/>
      <c r="E379" s="1997" t="n"/>
      <c r="F379" s="1997" t="n"/>
      <c r="G379" s="1997" t="n"/>
      <c r="H379" s="1997" t="n"/>
      <c r="I379" s="1997" t="n">
        <v>388.061001562637</v>
      </c>
      <c r="J379" s="1997" t="n">
        <v>395.066782196233</v>
      </c>
      <c r="K379" s="1997" t="n">
        <v>387.839992257842</v>
      </c>
      <c r="L379" s="1997" t="n">
        <v>324.377328108252</v>
      </c>
      <c r="M379" s="1997" t="n">
        <v>372.765827280535</v>
      </c>
      <c r="N379" s="1997" t="n">
        <v>332.025114052425</v>
      </c>
      <c r="O379" s="1997" t="n">
        <v>334.840172897524</v>
      </c>
      <c r="P379" s="1997" t="n">
        <v>295.635256415971</v>
      </c>
      <c r="Q379" s="1997" t="n">
        <v>362.266964150694</v>
      </c>
      <c r="R379" s="1997" t="n">
        <v>305.644534319255</v>
      </c>
      <c r="S379" s="1997" t="n">
        <v>326.118752336167</v>
      </c>
      <c r="T379" s="1997" t="n">
        <v>399.730494504646</v>
      </c>
      <c r="U379" s="1997" t="n">
        <v>308.988847628872</v>
      </c>
      <c r="V379" s="1997" t="n">
        <v>293.854280573779</v>
      </c>
      <c r="W379" s="1997" t="n">
        <v>293.549142033832</v>
      </c>
      <c r="X379" s="1997" t="n">
        <v>423.976433262358</v>
      </c>
      <c r="Y379" s="1734" t="n">
        <v>361.477871790593</v>
      </c>
      <c r="Z379" s="1734" t="n">
        <v>2094.16652387014</v>
      </c>
      <c r="AA379" s="1734" t="n">
        <v>2486.90571057241</v>
      </c>
      <c r="AB379" s="1997" t="n">
        <v>2508.97770610252</v>
      </c>
      <c r="AC379" s="1997" t="n">
        <v>2111.74207502497</v>
      </c>
      <c r="AD379" s="1997" t="n">
        <v>2477.89265193406</v>
      </c>
      <c r="AE379" s="1997" t="n">
        <v>2264.70455505146</v>
      </c>
      <c r="AF379" s="1734" t="n">
        <v>2171.9311296868</v>
      </c>
      <c r="AG379" s="1997" t="n">
        <v>1760.35074767451</v>
      </c>
      <c r="AH379" s="1997" t="n">
        <v>2352.96931491378</v>
      </c>
      <c r="AI379" s="1997" t="n">
        <v>2077.43130296844</v>
      </c>
      <c r="AJ379" s="1997" t="n">
        <v>1836.19154870952</v>
      </c>
      <c r="AK379" s="1734" t="n">
        <v>1951.02040806524</v>
      </c>
      <c r="AL379" s="1997" t="n">
        <v>1639.1623700079</v>
      </c>
      <c r="AM379" s="1997" t="n">
        <v>1737.47814410951</v>
      </c>
      <c r="AN379" s="1997" t="n">
        <v>2259.77692346932</v>
      </c>
      <c r="AO379" s="1997" t="n">
        <v>1851.58757132156</v>
      </c>
      <c r="AP379" s="1734">
        <f t="array" ref="AP379">AQ379</f>
        <v/>
      </c>
      <c r="AQ379" s="1997" t="n">
        <v>2242.6204535218</v>
      </c>
      <c r="AR379" s="1997" t="n">
        <v>2299.34572337309</v>
      </c>
      <c r="AS379" s="1997" t="n">
        <v>1872.8477632032</v>
      </c>
      <c r="AT379" s="1997" t="n">
        <v>2710.04042404405</v>
      </c>
      <c r="AU379" s="1734">
        <f t="array" ref="AU379">AV379</f>
        <v/>
      </c>
      <c r="AV379" s="1997" t="n">
        <v>2029.17557094335</v>
      </c>
      <c r="AW379" s="2031" t="n">
        <v>2100.3278253203</v>
      </c>
      <c r="AX379" s="2144" t="n">
        <v>1922.5976339346</v>
      </c>
      <c r="AY379" s="2144" t="n">
        <v>1798.36443483193</v>
      </c>
      <c r="AZ379" s="1964">
        <f t="array" ref="AZ379">BA379</f>
        <v/>
      </c>
      <c r="BA379" s="1998" t="n">
        <v>1613.7691285995</v>
      </c>
      <c r="BB379" s="72" t="n"/>
      <c r="BC379" s="69" t="n"/>
      <c r="BD379" s="69" t="n"/>
      <c r="BE379" s="69" t="n"/>
      <c r="BF379" s="2145">
        <f t="array" ref="BF379">BA379</f>
        <v/>
      </c>
      <c r="BG379" s="66" t="n"/>
      <c r="BH379" s="66" t="n"/>
      <c r="BI379" s="66" t="n"/>
      <c r="BJ379" s="66" t="n"/>
      <c r="BK379" s="2146">
        <f t="array" ref="BK379">BF379</f>
        <v/>
      </c>
      <c r="BL379" s="66" t="n"/>
      <c r="BM379" s="66" t="n"/>
      <c r="BN379" s="66" t="n"/>
      <c r="BO379" s="66" t="n"/>
      <c r="BP379" s="2146">
        <f t="array" ref="BP379">BK379</f>
        <v/>
      </c>
      <c r="BQ379" s="66" t="n"/>
      <c r="BR379" s="66" t="n"/>
      <c r="BS379" s="66" t="n"/>
      <c r="BT379" s="66" t="n"/>
      <c r="BU379" s="2146">
        <f t="array" ref="BU379">BP379</f>
        <v/>
      </c>
      <c r="BV379" s="66" t="n"/>
      <c r="BW379" s="66" t="n"/>
      <c r="BX379" s="66" t="n"/>
      <c r="BY379" s="66" t="n"/>
      <c r="BZ379" s="2146">
        <f t="array" ref="BZ379">BU379</f>
        <v/>
      </c>
      <c r="CA379" s="66" t="n"/>
      <c r="CB379" s="456" t="n"/>
      <c r="CC379" s="701" t="n"/>
      <c r="CD379" s="701" t="n"/>
      <c r="CE379" s="701" t="n"/>
      <c r="CF379" s="701" t="n"/>
      <c r="CG379" s="701" t="n"/>
      <c r="CH379" s="701" t="n"/>
      <c r="CI379" s="701" t="n"/>
      <c r="CJ379" s="701" t="n"/>
      <c r="CK379" s="701" t="n"/>
      <c r="CL379" s="701" t="n"/>
      <c r="CM379" s="701" t="n"/>
      <c r="CN379" s="701" t="n"/>
      <c r="CO379" s="701" t="n"/>
      <c r="CP379" s="701" t="n"/>
      <c r="CQ379" s="701" t="n"/>
      <c r="CR379" s="701" t="n"/>
      <c r="CS379" s="701" t="n"/>
      <c r="CT379" s="701" t="n"/>
      <c r="CU379" s="701" t="n"/>
      <c r="CV379" s="701" t="n"/>
      <c r="CW379" s="30" t="n"/>
    </row>
    <row r="380" ht="12.75" customHeight="1" s="1676">
      <c r="A380" s="13" t="n"/>
      <c r="B380" s="250" t="inlineStr">
        <is>
          <t>Text_324</t>
        </is>
      </c>
      <c r="C380" s="711" t="n"/>
      <c r="D380" s="711" t="n"/>
      <c r="E380" s="711" t="n"/>
      <c r="F380" s="711" t="n"/>
      <c r="G380" s="711" t="n"/>
      <c r="H380" s="1807" t="n"/>
      <c r="I380" s="711" t="n"/>
      <c r="J380" s="711" t="n"/>
      <c r="K380" s="711" t="n"/>
      <c r="L380" s="711" t="n"/>
      <c r="M380" s="1807">
        <f t="array" ref="M380">M379+M378</f>
        <v/>
      </c>
      <c r="N380" s="711" t="n"/>
      <c r="O380" s="711" t="n"/>
      <c r="P380" s="711" t="n"/>
      <c r="Q380" s="711" t="n"/>
      <c r="R380" s="1807">
        <f t="array" ref="R380">R379+R378</f>
        <v/>
      </c>
      <c r="S380" s="711" t="n"/>
      <c r="T380" s="711" t="n"/>
      <c r="U380" s="711" t="n"/>
      <c r="V380" s="711" t="n"/>
      <c r="W380" s="1807">
        <f t="array" ref="W380">W379+W378</f>
        <v/>
      </c>
      <c r="X380" s="1807" t="n"/>
      <c r="Y380" s="1807" t="n"/>
      <c r="Z380" s="1807" t="n"/>
      <c r="AA380" s="1807" t="n"/>
      <c r="AB380" s="1807">
        <f t="array" ref="AB380">AB379+AB378</f>
        <v/>
      </c>
      <c r="AC380" s="1807">
        <f t="array" ref="AC380">AC379+AC378</f>
        <v/>
      </c>
      <c r="AD380" s="1807">
        <f t="array" ref="AD380">AD379+AD378</f>
        <v/>
      </c>
      <c r="AE380" s="1807">
        <f t="array" ref="AE380">AE379+AE378</f>
        <v/>
      </c>
      <c r="AF380" s="1807">
        <f t="array" ref="AF380">AF379+AF378</f>
        <v/>
      </c>
      <c r="AG380" s="1807">
        <f t="array" ref="AG380">AG379+AG378</f>
        <v/>
      </c>
      <c r="AH380" s="1807" t="n"/>
      <c r="AI380" s="1807" t="n"/>
      <c r="AJ380" s="1807" t="n"/>
      <c r="AK380" s="1807">
        <f t="array" ref="AK380">AK379+AK378</f>
        <v/>
      </c>
      <c r="AL380" s="1807">
        <f t="array" ref="AL380">AL379+AL378</f>
        <v/>
      </c>
      <c r="AM380" s="1807">
        <f t="array" ref="AM380">AM379+AM378</f>
        <v/>
      </c>
      <c r="AN380" s="1807">
        <f t="array" ref="AN380">AN379+AN378</f>
        <v/>
      </c>
      <c r="AO380" s="1807">
        <f t="array" ref="AO380">AO379+AO378</f>
        <v/>
      </c>
      <c r="AP380" s="1807">
        <f t="array" ref="AP380">AP379+AP378</f>
        <v/>
      </c>
      <c r="AQ380" s="1807">
        <f t="array" ref="AQ380">AQ379+AQ378</f>
        <v/>
      </c>
      <c r="AR380" s="1807">
        <f t="array" ref="AR380">AR379+AR378</f>
        <v/>
      </c>
      <c r="AS380" s="1807">
        <f t="array" ref="AS380">AS379+AS378</f>
        <v/>
      </c>
      <c r="AT380" s="1807">
        <f t="array" ref="AT380">AT379+AT378</f>
        <v/>
      </c>
      <c r="AU380" s="1807">
        <f t="array" ref="AU380">AU379+AU378</f>
        <v/>
      </c>
      <c r="AV380" s="1807">
        <f t="array" ref="AV380">AV379+AV378</f>
        <v/>
      </c>
      <c r="AW380" s="1808">
        <f t="array" ref="AW380">AW379+AW378</f>
        <v/>
      </c>
      <c r="AX380" s="1809">
        <f t="array" ref="AX380">AX379+AX378</f>
        <v/>
      </c>
      <c r="AY380" s="1809">
        <f t="array" ref="AY380">AY379+AY378</f>
        <v/>
      </c>
      <c r="AZ380" s="1809">
        <f t="array" ref="AZ380">AZ379+AZ378</f>
        <v/>
      </c>
      <c r="BA380" s="1810">
        <f t="array" ref="BA380">BA379+BA378</f>
        <v/>
      </c>
      <c r="BB380" s="808" t="n"/>
      <c r="BC380" s="710" t="n"/>
      <c r="BD380" s="710" t="n"/>
      <c r="BE380" s="710" t="n"/>
      <c r="BF380" s="1810">
        <f t="array" ref="BF380">BF379+BF378</f>
        <v/>
      </c>
      <c r="BG380" s="711" t="n"/>
      <c r="BH380" s="711" t="n"/>
      <c r="BI380" s="711" t="n"/>
      <c r="BJ380" s="711" t="n"/>
      <c r="BK380" s="1807">
        <f t="array" ref="BK380">BK379+BK378</f>
        <v/>
      </c>
      <c r="BL380" s="711" t="n"/>
      <c r="BM380" s="711" t="n"/>
      <c r="BN380" s="711" t="n"/>
      <c r="BO380" s="711" t="n"/>
      <c r="BP380" s="1807">
        <f t="array" ref="BP380">BP379+BP378</f>
        <v/>
      </c>
      <c r="BQ380" s="711" t="n"/>
      <c r="BR380" s="711" t="n"/>
      <c r="BS380" s="711" t="n"/>
      <c r="BT380" s="711" t="n"/>
      <c r="BU380" s="1807">
        <f t="array" ref="BU380">BU379+BU378</f>
        <v/>
      </c>
      <c r="BV380" s="711" t="n"/>
      <c r="BW380" s="711" t="n"/>
      <c r="BX380" s="711" t="n"/>
      <c r="BY380" s="711" t="n"/>
      <c r="BZ380" s="1807">
        <f t="array" ref="BZ380">BZ379+BZ378</f>
        <v/>
      </c>
      <c r="CA380" s="711" t="n"/>
      <c r="CB380" s="456" t="n"/>
      <c r="CC380" s="701" t="n"/>
      <c r="CD380" s="701" t="n"/>
      <c r="CE380" s="701" t="n"/>
      <c r="CF380" s="701" t="n"/>
      <c r="CG380" s="701" t="n"/>
      <c r="CH380" s="701" t="n"/>
      <c r="CI380" s="701" t="n"/>
      <c r="CJ380" s="701" t="n"/>
      <c r="CK380" s="701" t="n"/>
      <c r="CL380" s="701" t="n"/>
      <c r="CM380" s="701" t="n"/>
      <c r="CN380" s="701" t="n"/>
      <c r="CO380" s="701" t="n"/>
      <c r="CP380" s="701" t="n"/>
      <c r="CQ380" s="701" t="n"/>
      <c r="CR380" s="701" t="n"/>
      <c r="CS380" s="701" t="n"/>
      <c r="CT380" s="701" t="n"/>
      <c r="CU380" s="701" t="n"/>
      <c r="CV380" s="701" t="n"/>
      <c r="CW380" s="30" t="n"/>
    </row>
    <row r="381" ht="12.75" customHeight="1" s="1676">
      <c r="A381" s="31" t="n"/>
      <c r="B381" s="619" t="inlineStr">
        <is>
          <t>Text_325</t>
        </is>
      </c>
      <c r="C381" s="33" t="n"/>
      <c r="D381" s="1971" t="n"/>
      <c r="E381" s="1971" t="n"/>
      <c r="F381" s="1971" t="n"/>
      <c r="G381" s="1971" t="n"/>
      <c r="H381" s="1971" t="n"/>
      <c r="I381" s="1971" t="n"/>
      <c r="J381" s="1971" t="n"/>
      <c r="K381" s="1971" t="n"/>
      <c r="L381" s="1971" t="n"/>
      <c r="M381" s="1971" t="n"/>
      <c r="N381" s="1971" t="n"/>
      <c r="O381" s="1971" t="n"/>
      <c r="P381" s="1971" t="n"/>
      <c r="Q381" s="1971" t="n"/>
      <c r="R381" s="1971" t="n"/>
      <c r="S381" s="1971" t="n"/>
      <c r="T381" s="1971" t="n"/>
      <c r="U381" s="1971" t="n"/>
      <c r="V381" s="1971" t="n"/>
      <c r="W381" s="1971">
        <f t="array" ref="W381">-1.197+193.2</f>
        <v/>
      </c>
      <c r="X381" s="1971" t="n"/>
      <c r="Y381" s="1971" t="n"/>
      <c r="Z381" s="1971" t="n"/>
      <c r="AA381" s="1954" t="n"/>
      <c r="AB381" s="1971">
        <f t="array" ref="AB381">-702.285+206.141</f>
        <v/>
      </c>
      <c r="AC381" s="1971" t="n"/>
      <c r="AD381" s="1971" t="n"/>
      <c r="AE381" s="1971" t="n"/>
      <c r="AF381" s="1954" t="n"/>
      <c r="AG381" s="1971">
        <f t="array" ref="AG381">236.797-660.885</f>
        <v/>
      </c>
      <c r="AH381" s="1971" t="n"/>
      <c r="AI381" s="1971" t="n"/>
      <c r="AJ381" s="1971" t="n"/>
      <c r="AK381" s="1954" t="n"/>
      <c r="AL381" s="1971">
        <f t="array" ref="AL381">-650.623+270.461</f>
        <v/>
      </c>
      <c r="AM381" s="1971">
        <f t="array" ref="AM381">-625.54+665.672</f>
        <v/>
      </c>
      <c r="AN381" s="1971">
        <f t="array" ref="AN381">662.854-679.688</f>
        <v/>
      </c>
      <c r="AO381" s="1971">
        <f t="array" ref="AO381">614.957-660.816</f>
        <v/>
      </c>
      <c r="AP381" s="1954">
        <f t="array" ref="AP381">AQ381</f>
        <v/>
      </c>
      <c r="AQ381" s="1971">
        <f t="array" ref="AQ381">-658.937+579.173</f>
        <v/>
      </c>
      <c r="AR381" s="1971">
        <f t="array" ref="AR381">-557.832+662.408</f>
        <v/>
      </c>
      <c r="AS381" s="1971">
        <f t="array" ref="AS381">765.046-559.346</f>
        <v/>
      </c>
      <c r="AT381" s="1971">
        <f t="array" ref="AT381">-514.269+783.843</f>
        <v/>
      </c>
      <c r="AU381" s="1954">
        <f t="array" ref="AU381">AV381</f>
        <v/>
      </c>
      <c r="AV381" s="1971">
        <f t="array" ref="AV381">-529.287+816.899</f>
        <v/>
      </c>
      <c r="AW381" s="2034">
        <f t="array" ref="AW381">-505.812+870.472</f>
        <v/>
      </c>
      <c r="AX381" s="2035">
        <f t="array" ref="AX381">-493.968+902.163</f>
        <v/>
      </c>
      <c r="AY381" s="2035">
        <f t="array" ref="AY381">879.38-480.27</f>
        <v/>
      </c>
      <c r="AZ381" s="2104">
        <f t="array" ref="AZ381">BA381</f>
        <v/>
      </c>
      <c r="BA381" s="1970">
        <f t="array" ref="BA381">915.241-486.69</f>
        <v/>
      </c>
      <c r="BB381" s="489" t="n"/>
      <c r="BC381" s="266" t="n"/>
      <c r="BD381" s="266" t="n"/>
      <c r="BE381" s="266" t="n"/>
      <c r="BF381" s="2037">
        <f t="array" ref="BF381">BA381</f>
        <v/>
      </c>
      <c r="BG381" s="33" t="n"/>
      <c r="BH381" s="33" t="n"/>
      <c r="BI381" s="33" t="n"/>
      <c r="BJ381" s="33" t="n"/>
      <c r="BK381" s="2038">
        <f t="array" ref="BK381">BF381</f>
        <v/>
      </c>
      <c r="BL381" s="33" t="n"/>
      <c r="BM381" s="33" t="n"/>
      <c r="BN381" s="33" t="n"/>
      <c r="BO381" s="33" t="n"/>
      <c r="BP381" s="2038">
        <f t="array" ref="BP381">BK381</f>
        <v/>
      </c>
      <c r="BQ381" s="33" t="n"/>
      <c r="BR381" s="33" t="n"/>
      <c r="BS381" s="33" t="n"/>
      <c r="BT381" s="33" t="n"/>
      <c r="BU381" s="2038">
        <f t="array" ref="BU381">BP381</f>
        <v/>
      </c>
      <c r="BV381" s="33" t="n"/>
      <c r="BW381" s="33" t="n"/>
      <c r="BX381" s="33" t="n"/>
      <c r="BY381" s="33" t="n"/>
      <c r="BZ381" s="2038">
        <f t="array" ref="BZ381">BU381</f>
        <v/>
      </c>
      <c r="CA381" s="33" t="n"/>
      <c r="CB381" s="456" t="n"/>
      <c r="CC381" s="701" t="n"/>
      <c r="CD381" s="701" t="n"/>
      <c r="CE381" s="701" t="n"/>
      <c r="CF381" s="701" t="n"/>
      <c r="CG381" s="701" t="n"/>
      <c r="CH381" s="701" t="n"/>
      <c r="CI381" s="701" t="n"/>
      <c r="CJ381" s="701" t="n"/>
      <c r="CK381" s="701" t="n"/>
      <c r="CL381" s="701" t="n"/>
      <c r="CM381" s="701" t="n"/>
      <c r="CN381" s="701" t="n"/>
      <c r="CO381" s="701" t="n"/>
      <c r="CP381" s="701" t="n"/>
      <c r="CQ381" s="701" t="n"/>
      <c r="CR381" s="701" t="n"/>
      <c r="CS381" s="701" t="n"/>
      <c r="CT381" s="701" t="n"/>
      <c r="CU381" s="701" t="n"/>
      <c r="CV381" s="701" t="n"/>
      <c r="CW381" s="30" t="n"/>
    </row>
    <row r="382" hidden="1" ht="12.75" customHeight="1" s="1676">
      <c r="A382" s="31" t="n"/>
      <c r="B382" s="522" t="inlineStr">
        <is>
          <t>Text_326</t>
        </is>
      </c>
      <c r="C382" s="699" t="n"/>
      <c r="D382" s="1797" t="n"/>
      <c r="E382" s="1797" t="n"/>
      <c r="F382" s="1797" t="n"/>
      <c r="G382" s="1797" t="n"/>
      <c r="H382" s="1797" t="n"/>
      <c r="I382" s="1797" t="n"/>
      <c r="J382" s="1797" t="n"/>
      <c r="K382" s="1797" t="n"/>
      <c r="L382" s="1797" t="n"/>
      <c r="M382" s="1797" t="n"/>
      <c r="N382" s="1797" t="n"/>
      <c r="O382" s="1797" t="n"/>
      <c r="P382" s="1797" t="n"/>
      <c r="Q382" s="1797" t="n"/>
      <c r="R382" s="1797" t="n"/>
      <c r="S382" s="1797" t="n"/>
      <c r="T382" s="1797" t="n"/>
      <c r="U382" s="1797" t="n"/>
      <c r="V382" s="1797" t="n"/>
      <c r="W382" s="1797" t="n"/>
      <c r="X382" s="1797" t="n"/>
      <c r="Y382" s="1797" t="n"/>
      <c r="Z382" s="1797" t="n"/>
      <c r="AA382" s="1745" t="n"/>
      <c r="AB382" s="1797" t="n"/>
      <c r="AC382" s="1797" t="n"/>
      <c r="AD382" s="1797" t="n"/>
      <c r="AE382" s="1797" t="n"/>
      <c r="AF382" s="1745" t="n"/>
      <c r="AG382" s="1797" t="n"/>
      <c r="AH382" s="1797" t="n"/>
      <c r="AI382" s="1797" t="n"/>
      <c r="AJ382" s="1797" t="n"/>
      <c r="AK382" s="1745" t="n"/>
      <c r="AL382" s="1797" t="n"/>
      <c r="AM382" s="1797" t="n"/>
      <c r="AN382" s="1797" t="n"/>
      <c r="AO382" s="1797" t="n"/>
      <c r="AP382" s="1745" t="n"/>
      <c r="AQ382" s="1797" t="n"/>
      <c r="AR382" s="1797" t="n"/>
      <c r="AS382" s="1797" t="n"/>
      <c r="AT382" s="1797" t="n"/>
      <c r="AU382" s="1745" t="n"/>
      <c r="AV382" s="1975" t="n"/>
      <c r="AW382" s="701" t="n"/>
      <c r="AX382" s="1854" t="n"/>
      <c r="AY382" s="1854" t="n"/>
      <c r="AZ382" s="1874" t="n"/>
      <c r="BA382" s="1795" t="n"/>
      <c r="BB382" s="456" t="n"/>
      <c r="BC382" s="701" t="n"/>
      <c r="BD382" s="701" t="n"/>
      <c r="BE382" s="701" t="n"/>
      <c r="BF382" s="2124">
        <f t="array" ref="BF382">BA382</f>
        <v/>
      </c>
      <c r="BG382" s="699" t="n"/>
      <c r="BH382" s="699" t="n"/>
      <c r="BI382" s="699" t="n"/>
      <c r="BJ382" s="699" t="n"/>
      <c r="BK382" s="2125">
        <f t="array" ref="BK382">BF382</f>
        <v/>
      </c>
      <c r="BL382" s="699" t="n"/>
      <c r="BM382" s="699" t="n"/>
      <c r="BN382" s="699" t="n"/>
      <c r="BO382" s="699" t="n"/>
      <c r="BP382" s="2125">
        <f t="array" ref="BP382">BK382</f>
        <v/>
      </c>
      <c r="BQ382" s="699" t="n"/>
      <c r="BR382" s="699" t="n"/>
      <c r="BS382" s="699" t="n"/>
      <c r="BT382" s="699" t="n"/>
      <c r="BU382" s="2125">
        <f t="array" ref="BU382">BP382</f>
        <v/>
      </c>
      <c r="BV382" s="699" t="n"/>
      <c r="BW382" s="699" t="n"/>
      <c r="BX382" s="699" t="n"/>
      <c r="BY382" s="699" t="n"/>
      <c r="BZ382" s="2125">
        <f t="array" ref="BZ382">BU382</f>
        <v/>
      </c>
      <c r="CA382" s="699" t="n"/>
      <c r="CB382" s="456" t="n"/>
      <c r="CC382" s="701" t="n"/>
      <c r="CD382" s="701" t="n"/>
      <c r="CE382" s="701" t="n"/>
      <c r="CF382" s="701" t="n"/>
      <c r="CG382" s="701" t="n"/>
      <c r="CH382" s="701" t="n"/>
      <c r="CI382" s="701" t="n"/>
      <c r="CJ382" s="701" t="n"/>
      <c r="CK382" s="701" t="n"/>
      <c r="CL382" s="701" t="n"/>
      <c r="CM382" s="701" t="n"/>
      <c r="CN382" s="701" t="n"/>
      <c r="CO382" s="701" t="n"/>
      <c r="CP382" s="701" t="n"/>
      <c r="CQ382" s="701" t="n"/>
      <c r="CR382" s="701" t="n"/>
      <c r="CS382" s="701" t="n"/>
      <c r="CT382" s="701" t="n"/>
      <c r="CU382" s="701" t="n"/>
      <c r="CV382" s="701" t="n"/>
      <c r="CW382" s="30" t="n"/>
    </row>
    <row r="383" hidden="1" ht="12.75" customHeight="1" s="1676">
      <c r="A383" s="31" t="n"/>
      <c r="B383" s="522" t="inlineStr">
        <is>
          <t>Text_327</t>
        </is>
      </c>
      <c r="C383" s="699" t="n"/>
      <c r="D383" s="1797" t="n"/>
      <c r="E383" s="1797" t="n"/>
      <c r="F383" s="1797" t="n"/>
      <c r="G383" s="1797" t="n"/>
      <c r="H383" s="1797" t="n"/>
      <c r="I383" s="1797" t="n"/>
      <c r="J383" s="1797" t="n"/>
      <c r="K383" s="1797" t="n"/>
      <c r="L383" s="1797" t="n"/>
      <c r="M383" s="1797" t="n"/>
      <c r="N383" s="1797" t="n"/>
      <c r="O383" s="1797" t="n"/>
      <c r="P383" s="1797" t="n"/>
      <c r="Q383" s="1797" t="n"/>
      <c r="R383" s="1797" t="n"/>
      <c r="S383" s="1797" t="n"/>
      <c r="T383" s="1797" t="n"/>
      <c r="U383" s="1797" t="n"/>
      <c r="V383" s="1797" t="n"/>
      <c r="W383" s="1797" t="n"/>
      <c r="X383" s="1797" t="n"/>
      <c r="Y383" s="1797" t="n"/>
      <c r="Z383" s="1797" t="n"/>
      <c r="AA383" s="1745" t="n"/>
      <c r="AB383" s="1797" t="n"/>
      <c r="AC383" s="1797" t="n"/>
      <c r="AD383" s="1797" t="n"/>
      <c r="AE383" s="1797" t="n"/>
      <c r="AF383" s="1745" t="n"/>
      <c r="AG383" s="1797" t="n"/>
      <c r="AH383" s="1797" t="n"/>
      <c r="AI383" s="1797" t="n"/>
      <c r="AJ383" s="1797" t="n"/>
      <c r="AK383" s="1745" t="n"/>
      <c r="AL383" s="1797" t="n"/>
      <c r="AM383" s="1797" t="n"/>
      <c r="AN383" s="1797" t="n"/>
      <c r="AO383" s="1797" t="n"/>
      <c r="AP383" s="1745" t="n"/>
      <c r="AQ383" s="1797" t="n"/>
      <c r="AR383" s="1797" t="n"/>
      <c r="AS383" s="1797" t="n"/>
      <c r="AT383" s="1797" t="n"/>
      <c r="AU383" s="1745" t="n"/>
      <c r="AV383" s="1975" t="n"/>
      <c r="AW383" s="701" t="n"/>
      <c r="AX383" s="1854" t="n"/>
      <c r="AY383" s="1854" t="n"/>
      <c r="AZ383" s="1874" t="n"/>
      <c r="BA383" s="1795" t="n"/>
      <c r="BB383" s="456" t="n"/>
      <c r="BC383" s="701" t="n"/>
      <c r="BD383" s="701" t="n"/>
      <c r="BE383" s="701" t="n"/>
      <c r="BF383" s="2124">
        <f t="array" ref="BF383">BA383</f>
        <v/>
      </c>
      <c r="BG383" s="699" t="n"/>
      <c r="BH383" s="699" t="n"/>
      <c r="BI383" s="699" t="n"/>
      <c r="BJ383" s="699" t="n"/>
      <c r="BK383" s="2125">
        <f t="array" ref="BK383">BF383</f>
        <v/>
      </c>
      <c r="BL383" s="699" t="n"/>
      <c r="BM383" s="699" t="n"/>
      <c r="BN383" s="699" t="n"/>
      <c r="BO383" s="699" t="n"/>
      <c r="BP383" s="2125">
        <f t="array" ref="BP383">BK383</f>
        <v/>
      </c>
      <c r="BQ383" s="699" t="n"/>
      <c r="BR383" s="699" t="n"/>
      <c r="BS383" s="699" t="n"/>
      <c r="BT383" s="699" t="n"/>
      <c r="BU383" s="2125">
        <f t="array" ref="BU383">BP383</f>
        <v/>
      </c>
      <c r="BV383" s="699" t="n"/>
      <c r="BW383" s="699" t="n"/>
      <c r="BX383" s="699" t="n"/>
      <c r="BY383" s="699" t="n"/>
      <c r="BZ383" s="2125">
        <f t="array" ref="BZ383">BU383</f>
        <v/>
      </c>
      <c r="CA383" s="699" t="n"/>
      <c r="CB383" s="456" t="n"/>
      <c r="CC383" s="701" t="n"/>
      <c r="CD383" s="701" t="n"/>
      <c r="CE383" s="701" t="n"/>
      <c r="CF383" s="701" t="n"/>
      <c r="CG383" s="701" t="n"/>
      <c r="CH383" s="701" t="n"/>
      <c r="CI383" s="701" t="n"/>
      <c r="CJ383" s="701" t="n"/>
      <c r="CK383" s="701" t="n"/>
      <c r="CL383" s="701" t="n"/>
      <c r="CM383" s="701" t="n"/>
      <c r="CN383" s="701" t="n"/>
      <c r="CO383" s="701" t="n"/>
      <c r="CP383" s="701" t="n"/>
      <c r="CQ383" s="701" t="n"/>
      <c r="CR383" s="701" t="n"/>
      <c r="CS383" s="701" t="n"/>
      <c r="CT383" s="701" t="n"/>
      <c r="CU383" s="701" t="n"/>
      <c r="CV383" s="701" t="n"/>
      <c r="CW383" s="30" t="n"/>
    </row>
    <row r="384" ht="12.75" customHeight="1" s="1676">
      <c r="A384" s="31" t="n"/>
      <c r="B384" s="522" t="inlineStr">
        <is>
          <t>Text_328</t>
        </is>
      </c>
      <c r="C384" s="699" t="n"/>
      <c r="D384" s="1797" t="n"/>
      <c r="E384" s="1797" t="n"/>
      <c r="F384" s="1797" t="n"/>
      <c r="G384" s="1797" t="n"/>
      <c r="H384" s="1797" t="n"/>
      <c r="I384" s="1797" t="n"/>
      <c r="J384" s="1797" t="n"/>
      <c r="K384" s="1797" t="n"/>
      <c r="L384" s="1797" t="n"/>
      <c r="M384" s="1797" t="n"/>
      <c r="N384" s="1797" t="n"/>
      <c r="O384" s="1797" t="n"/>
      <c r="P384" s="1797" t="n"/>
      <c r="Q384" s="1797" t="n"/>
      <c r="R384" s="1797" t="n"/>
      <c r="S384" s="1797" t="n"/>
      <c r="T384" s="1797" t="n"/>
      <c r="U384" s="1797" t="n"/>
      <c r="V384" s="1797" t="n"/>
      <c r="W384" s="1797" t="n">
        <v>-538.490993970221</v>
      </c>
      <c r="X384" s="1797" t="n"/>
      <c r="Y384" s="1797" t="n"/>
      <c r="Z384" s="1797" t="n"/>
      <c r="AA384" s="1745" t="n"/>
      <c r="AB384" s="1797" t="n">
        <v>-697.6798275182</v>
      </c>
      <c r="AC384" s="1797" t="n"/>
      <c r="AD384" s="1797" t="n"/>
      <c r="AE384" s="1797" t="n"/>
      <c r="AF384" s="1745" t="n"/>
      <c r="AG384" s="1797">
        <f t="array" ref="AG384">-672.284</f>
        <v/>
      </c>
      <c r="AH384" s="1797" t="n"/>
      <c r="AI384" s="1797" t="n"/>
      <c r="AJ384" s="1797" t="n"/>
      <c r="AK384" s="1745" t="n"/>
      <c r="AL384" s="1797" t="n">
        <v>-561.6696932252059</v>
      </c>
      <c r="AM384" s="1797" t="n">
        <v>-661.0545957346239</v>
      </c>
      <c r="AN384" s="1797" t="n">
        <v>-713.784709694793</v>
      </c>
      <c r="AO384" s="1797" t="n">
        <v>-731.664772795618</v>
      </c>
      <c r="AP384" s="1745">
        <f t="array" ref="AP384">AQ384</f>
        <v/>
      </c>
      <c r="AQ384" s="1797" t="n">
        <v>-855.325711884194</v>
      </c>
      <c r="AR384" s="1797" t="n">
        <v>-812.263996211349</v>
      </c>
      <c r="AS384" s="1797" t="n">
        <v>-751.027542858973</v>
      </c>
      <c r="AT384" s="1797" t="n">
        <v>-1087.19475923815</v>
      </c>
      <c r="AU384" s="1745">
        <f t="array" ref="AU384">AV384</f>
        <v/>
      </c>
      <c r="AV384" s="1797" t="n">
        <v>-916.082031791256</v>
      </c>
      <c r="AW384" s="1975" t="n">
        <v>-644.9740987187359</v>
      </c>
      <c r="AX384" s="1854" t="n">
        <v>-765.503826551091</v>
      </c>
      <c r="AY384" s="1854" t="n">
        <v>-897.519028707049</v>
      </c>
      <c r="AZ384" s="1874">
        <f t="array" ref="AZ384">BA384</f>
        <v/>
      </c>
      <c r="BA384" s="1795" t="n">
        <v>-834.278421955182</v>
      </c>
      <c r="BB384" s="456" t="n"/>
      <c r="BC384" s="701" t="n"/>
      <c r="BD384" s="701" t="n"/>
      <c r="BE384" s="701" t="n"/>
      <c r="BF384" s="2124">
        <f t="array" ref="BF384">BA384</f>
        <v/>
      </c>
      <c r="BG384" s="699" t="n"/>
      <c r="BH384" s="699" t="n"/>
      <c r="BI384" s="699" t="n"/>
      <c r="BJ384" s="699" t="n"/>
      <c r="BK384" s="2125">
        <f t="array" ref="BK384">BF384</f>
        <v/>
      </c>
      <c r="BL384" s="699" t="n"/>
      <c r="BM384" s="699" t="n"/>
      <c r="BN384" s="699" t="n"/>
      <c r="BO384" s="699" t="n"/>
      <c r="BP384" s="2125">
        <f t="array" ref="BP384">BK384</f>
        <v/>
      </c>
      <c r="BQ384" s="699" t="n"/>
      <c r="BR384" s="699" t="n"/>
      <c r="BS384" s="699" t="n"/>
      <c r="BT384" s="699" t="n"/>
      <c r="BU384" s="2125">
        <f t="array" ref="BU384">BP384</f>
        <v/>
      </c>
      <c r="BV384" s="699" t="n"/>
      <c r="BW384" s="699" t="n"/>
      <c r="BX384" s="699" t="n"/>
      <c r="BY384" s="699" t="n"/>
      <c r="BZ384" s="2125">
        <f t="array" ref="BZ384">BU384</f>
        <v/>
      </c>
      <c r="CA384" s="699" t="n"/>
      <c r="CB384" s="456" t="n"/>
      <c r="CC384" s="701" t="n"/>
      <c r="CD384" s="701" t="n"/>
      <c r="CE384" s="701" t="n"/>
      <c r="CF384" s="701" t="n"/>
      <c r="CG384" s="701" t="n"/>
      <c r="CH384" s="701" t="n"/>
      <c r="CI384" s="701" t="n"/>
      <c r="CJ384" s="701" t="n"/>
      <c r="CK384" s="701" t="n"/>
      <c r="CL384" s="701" t="n"/>
      <c r="CM384" s="701" t="n"/>
      <c r="CN384" s="701" t="n"/>
      <c r="CO384" s="701" t="n"/>
      <c r="CP384" s="701" t="n"/>
      <c r="CQ384" s="701" t="n"/>
      <c r="CR384" s="701" t="n"/>
      <c r="CS384" s="701" t="n"/>
      <c r="CT384" s="701" t="n"/>
      <c r="CU384" s="701" t="n"/>
      <c r="CV384" s="701" t="n"/>
      <c r="CW384" s="30" t="n"/>
    </row>
    <row r="385" ht="12.75" customHeight="1" s="1676">
      <c r="A385" s="31" t="n"/>
      <c r="B385" s="522" t="inlineStr">
        <is>
          <t>Text_329</t>
        </is>
      </c>
      <c r="C385" s="699" t="n"/>
      <c r="D385" s="1797" t="n"/>
      <c r="E385" s="1797" t="n"/>
      <c r="F385" s="1797" t="n"/>
      <c r="G385" s="1797" t="n"/>
      <c r="H385" s="1797" t="n"/>
      <c r="I385" s="1797" t="n"/>
      <c r="J385" s="1797" t="n"/>
      <c r="K385" s="1797" t="n"/>
      <c r="L385" s="1797" t="n"/>
      <c r="M385" s="1797" t="n"/>
      <c r="N385" s="1797" t="n"/>
      <c r="O385" s="1797" t="n"/>
      <c r="P385" s="1797" t="n"/>
      <c r="Q385" s="1797" t="n"/>
      <c r="R385" s="1797" t="n"/>
      <c r="S385" s="1797" t="n"/>
      <c r="T385" s="1797" t="n"/>
      <c r="U385" s="1797" t="n"/>
      <c r="V385" s="1797" t="n"/>
      <c r="W385" s="1797" t="n">
        <v>281.868536576388</v>
      </c>
      <c r="X385" s="1797" t="n"/>
      <c r="Y385" s="1797" t="n"/>
      <c r="Z385" s="1797" t="n"/>
      <c r="AA385" s="1745" t="n"/>
      <c r="AB385" s="1797" t="n">
        <v>293.022268948969</v>
      </c>
      <c r="AC385" s="2008" t="n"/>
      <c r="AD385" s="1797" t="n"/>
      <c r="AE385" s="1797" t="n"/>
      <c r="AF385" s="1745" t="n"/>
      <c r="AG385" s="1797" t="n">
        <v>347.471840349566</v>
      </c>
      <c r="AH385" s="1797" t="n"/>
      <c r="AI385" s="1797" t="n"/>
      <c r="AJ385" s="1797" t="n"/>
      <c r="AK385" s="1745" t="n"/>
      <c r="AL385" s="1797" t="n">
        <v>461.035090213354</v>
      </c>
      <c r="AM385" s="1797" t="n">
        <v>466.968618609442</v>
      </c>
      <c r="AN385" s="1797" t="n">
        <v>374.90770323565</v>
      </c>
      <c r="AO385" s="1797" t="n">
        <v>448.972417238742</v>
      </c>
      <c r="AP385" s="1745">
        <f t="array" ref="AP385">AQ385</f>
        <v/>
      </c>
      <c r="AQ385" s="1797" t="n">
        <v>525.187754131107</v>
      </c>
      <c r="AR385" s="1797" t="n">
        <v>428.289564454779</v>
      </c>
      <c r="AS385" s="1797" t="n">
        <v>581.411183818005</v>
      </c>
      <c r="AT385" s="1797" t="n">
        <v>638.61561552299</v>
      </c>
      <c r="AU385" s="1745">
        <f t="array" ref="AU385">AV385</f>
        <v/>
      </c>
      <c r="AV385" s="1797" t="n">
        <v>752.771681581744</v>
      </c>
      <c r="AW385" s="1975" t="n">
        <v>510.482212244911</v>
      </c>
      <c r="AX385" s="1854" t="n">
        <v>605.617726396809</v>
      </c>
      <c r="AY385" s="1854" t="n">
        <v>728.665063566881</v>
      </c>
      <c r="AZ385" s="1874">
        <f t="array" ref="AZ385">BA385</f>
        <v/>
      </c>
      <c r="BA385" s="1795" t="n">
        <v>636.351948825212</v>
      </c>
      <c r="BB385" s="456" t="n"/>
      <c r="BC385" s="701" t="n"/>
      <c r="BD385" s="701" t="n"/>
      <c r="BE385" s="701" t="n"/>
      <c r="BF385" s="2124">
        <f t="array" ref="BF385">BA385</f>
        <v/>
      </c>
      <c r="BG385" s="699" t="n"/>
      <c r="BH385" s="699" t="n"/>
      <c r="BI385" s="699" t="n"/>
      <c r="BJ385" s="699" t="n"/>
      <c r="BK385" s="2125">
        <f t="array" ref="BK385">BF385</f>
        <v/>
      </c>
      <c r="BL385" s="699" t="n"/>
      <c r="BM385" s="699" t="n"/>
      <c r="BN385" s="699" t="n"/>
      <c r="BO385" s="699" t="n"/>
      <c r="BP385" s="2125">
        <f t="array" ref="BP385">BK385</f>
        <v/>
      </c>
      <c r="BQ385" s="699" t="n"/>
      <c r="BR385" s="699" t="n"/>
      <c r="BS385" s="699" t="n"/>
      <c r="BT385" s="699" t="n"/>
      <c r="BU385" s="2125">
        <f t="array" ref="BU385">BP385</f>
        <v/>
      </c>
      <c r="BV385" s="699" t="n"/>
      <c r="BW385" s="699" t="n"/>
      <c r="BX385" s="699" t="n"/>
      <c r="BY385" s="699" t="n"/>
      <c r="BZ385" s="2125">
        <f t="array" ref="BZ385">BU385</f>
        <v/>
      </c>
      <c r="CA385" s="699" t="n"/>
      <c r="CB385" s="456" t="n"/>
      <c r="CC385" s="701" t="n"/>
      <c r="CD385" s="701" t="n"/>
      <c r="CE385" s="701" t="n"/>
      <c r="CF385" s="701" t="n"/>
      <c r="CG385" s="701" t="n"/>
      <c r="CH385" s="701" t="n"/>
      <c r="CI385" s="701" t="n"/>
      <c r="CJ385" s="701" t="n"/>
      <c r="CK385" s="701" t="n"/>
      <c r="CL385" s="701" t="n"/>
      <c r="CM385" s="701" t="n"/>
      <c r="CN385" s="701" t="n"/>
      <c r="CO385" s="701" t="n"/>
      <c r="CP385" s="701" t="n"/>
      <c r="CQ385" s="701" t="n"/>
      <c r="CR385" s="701" t="n"/>
      <c r="CS385" s="701" t="n"/>
      <c r="CT385" s="701" t="n"/>
      <c r="CU385" s="701" t="n"/>
      <c r="CV385" s="701" t="n"/>
      <c r="CW385" s="30" t="n"/>
    </row>
    <row r="386" ht="12.75" customHeight="1" s="1676">
      <c r="A386" s="31" t="n"/>
      <c r="B386" s="738" t="inlineStr">
        <is>
          <t>Text_330</t>
        </is>
      </c>
      <c r="C386" s="805" t="n"/>
      <c r="D386" s="2008" t="n"/>
      <c r="E386" s="2008" t="n"/>
      <c r="F386" s="2008" t="n"/>
      <c r="G386" s="2008" t="n"/>
      <c r="H386" s="2008" t="n"/>
      <c r="I386" s="2008" t="n"/>
      <c r="J386" s="2008" t="n"/>
      <c r="K386" s="2008" t="n"/>
      <c r="L386" s="2008" t="n"/>
      <c r="M386" s="2008" t="n"/>
      <c r="N386" s="2008" t="n"/>
      <c r="O386" s="2008" t="n"/>
      <c r="P386" s="2008" t="n"/>
      <c r="Q386" s="2008" t="n"/>
      <c r="R386" s="2008" t="n"/>
      <c r="S386" s="2008" t="n"/>
      <c r="T386" s="2008" t="n"/>
      <c r="U386" s="2008" t="n"/>
      <c r="V386" s="2008" t="n"/>
      <c r="W386" s="2008" t="n">
        <v>0</v>
      </c>
      <c r="X386" s="2008" t="n"/>
      <c r="Y386" s="2008" t="n"/>
      <c r="Z386" s="2008" t="n">
        <v>40.2759591142551</v>
      </c>
      <c r="AA386" s="2084" t="n">
        <v>15.6301036768702</v>
      </c>
      <c r="AB386" s="2008" t="n">
        <v>-18.6879940869131</v>
      </c>
      <c r="AC386" s="1997" t="n">
        <v>18.5216336375954</v>
      </c>
      <c r="AD386" s="2008" t="n">
        <v>17.2540502810177</v>
      </c>
      <c r="AE386" s="2008" t="n">
        <v>20.83901773353</v>
      </c>
      <c r="AF386" s="2084" t="n">
        <v>17.6278054006176</v>
      </c>
      <c r="AG386" s="2008" t="n">
        <v>-16.8154821705774</v>
      </c>
      <c r="AH386" s="2008" t="n">
        <v>16.4607624497513</v>
      </c>
      <c r="AI386" s="2008" t="n">
        <v>14.8923979836119</v>
      </c>
      <c r="AJ386" s="2008" t="n">
        <v>-2.10381614480325</v>
      </c>
      <c r="AK386" s="2084" t="n">
        <v>-1.9616088609211</v>
      </c>
      <c r="AL386" s="2008" t="n">
        <v>1.97037490531812</v>
      </c>
      <c r="AM386" s="2008" t="n">
        <v>1.93292773687785</v>
      </c>
      <c r="AN386" s="2008" t="n">
        <v>1.71765077129667</v>
      </c>
      <c r="AO386" s="2008" t="n">
        <v>1.75190671082769</v>
      </c>
      <c r="AP386" s="2084">
        <f t="array" ref="AP386">AQ386</f>
        <v/>
      </c>
      <c r="AQ386" s="2008" t="n">
        <v>1.98537560131385</v>
      </c>
      <c r="AR386" s="2147" t="n">
        <v>0</v>
      </c>
      <c r="AS386" s="2147" t="n">
        <v>0</v>
      </c>
      <c r="AT386" s="2147" t="n">
        <v>0</v>
      </c>
      <c r="AU386" s="1786">
        <f t="array" ref="AU386">AV386</f>
        <v/>
      </c>
      <c r="AV386" s="2147" t="n">
        <v>0</v>
      </c>
      <c r="AW386" s="2148" t="n">
        <v>0</v>
      </c>
      <c r="AX386" s="2149" t="n">
        <v>0</v>
      </c>
      <c r="AY386" s="2149" t="n">
        <v>0</v>
      </c>
      <c r="AZ386" s="2150">
        <f t="array" ref="AZ386">BA386</f>
        <v/>
      </c>
      <c r="BA386" s="2151" t="n">
        <v>0</v>
      </c>
      <c r="BB386" s="501" t="n"/>
      <c r="BC386" s="179" t="n"/>
      <c r="BD386" s="179" t="n"/>
      <c r="BE386" s="179" t="n"/>
      <c r="BF386" s="2142">
        <f t="array" ref="BF386">BA386</f>
        <v/>
      </c>
      <c r="BG386" s="805" t="n"/>
      <c r="BH386" s="805" t="n"/>
      <c r="BI386" s="805" t="n"/>
      <c r="BJ386" s="805" t="n"/>
      <c r="BK386" s="2143">
        <f t="array" ref="BK386">BF386</f>
        <v/>
      </c>
      <c r="BL386" s="805" t="n"/>
      <c r="BM386" s="805" t="n"/>
      <c r="BN386" s="805" t="n"/>
      <c r="BO386" s="805" t="n"/>
      <c r="BP386" s="2143">
        <f t="array" ref="BP386">BK386</f>
        <v/>
      </c>
      <c r="BQ386" s="805" t="n"/>
      <c r="BR386" s="805" t="n"/>
      <c r="BS386" s="805" t="n"/>
      <c r="BT386" s="805" t="n"/>
      <c r="BU386" s="2143">
        <f t="array" ref="BU386">BP386</f>
        <v/>
      </c>
      <c r="BV386" s="805" t="n"/>
      <c r="BW386" s="805" t="n"/>
      <c r="BX386" s="805" t="n"/>
      <c r="BY386" s="805" t="n"/>
      <c r="BZ386" s="2143">
        <f t="array" ref="BZ386">BU386</f>
        <v/>
      </c>
      <c r="CA386" s="805" t="n"/>
      <c r="CB386" s="456" t="n"/>
      <c r="CC386" s="701" t="n"/>
      <c r="CD386" s="701" t="n"/>
      <c r="CE386" s="701" t="n"/>
      <c r="CF386" s="701" t="n"/>
      <c r="CG386" s="701" t="n"/>
      <c r="CH386" s="701" t="n"/>
      <c r="CI386" s="701" t="n"/>
      <c r="CJ386" s="701" t="n"/>
      <c r="CK386" s="701" t="n"/>
      <c r="CL386" s="701" t="n"/>
      <c r="CM386" s="701" t="n"/>
      <c r="CN386" s="701" t="n"/>
      <c r="CO386" s="701" t="n"/>
      <c r="CP386" s="701" t="n"/>
      <c r="CQ386" s="701" t="n"/>
      <c r="CR386" s="701" t="n"/>
      <c r="CS386" s="701" t="n"/>
      <c r="CT386" s="701" t="n"/>
      <c r="CU386" s="701" t="n"/>
      <c r="CV386" s="701" t="n"/>
      <c r="CW386" s="30" t="n"/>
    </row>
    <row r="387" ht="12.75" customHeight="1" s="1676">
      <c r="A387" s="13" t="n"/>
      <c r="B387" s="14" t="inlineStr">
        <is>
          <t>Text_331</t>
        </is>
      </c>
      <c r="C387" s="711" t="n"/>
      <c r="D387" s="1961" t="n"/>
      <c r="E387" s="1961" t="n"/>
      <c r="F387" s="1961" t="n"/>
      <c r="G387" s="1961" t="n"/>
      <c r="H387" s="1961" t="n"/>
      <c r="I387" s="1961" t="n">
        <v>294.000369382974</v>
      </c>
      <c r="J387" s="1961" t="n">
        <v>348.150715068472</v>
      </c>
      <c r="K387" s="1961" t="n">
        <v>412.336830636865</v>
      </c>
      <c r="L387" s="1961" t="n">
        <v>768.0053287408909</v>
      </c>
      <c r="M387" s="1961" t="n">
        <v>753.7374383233361</v>
      </c>
      <c r="N387" s="1961" t="n">
        <v>745.357968720783</v>
      </c>
      <c r="O387" s="1961" t="n">
        <v>781.802425215359</v>
      </c>
      <c r="P387" s="1961" t="n">
        <v>1302.88628082352</v>
      </c>
      <c r="Q387" s="1961" t="n">
        <v>1067.19160294368</v>
      </c>
      <c r="R387" s="1961" t="n">
        <v>1434.49334023849</v>
      </c>
      <c r="S387" s="1961" t="n">
        <v>1739.33028693045</v>
      </c>
      <c r="T387" s="1961" t="n">
        <v>1195.06346612466</v>
      </c>
      <c r="U387" s="1961" t="n">
        <v>1224.89326641655</v>
      </c>
      <c r="V387" s="1961" t="n">
        <v>1753.30929014256</v>
      </c>
      <c r="W387" s="1961" t="n">
        <v>1826.07485701833</v>
      </c>
      <c r="X387" s="1961" t="n">
        <v>1596.47837523225</v>
      </c>
      <c r="Y387" s="1961" t="n">
        <v>1896.08033221011</v>
      </c>
      <c r="Z387" s="1961" t="n">
        <v>2368.10825727662</v>
      </c>
      <c r="AA387" s="1807" t="n">
        <v>2682.82945600434</v>
      </c>
      <c r="AB387" s="1961" t="n">
        <v>2891.46505558279</v>
      </c>
      <c r="AC387" s="1961" t="n">
        <v>3068.31431866412</v>
      </c>
      <c r="AD387" s="1961" t="n">
        <v>2343.10948285591</v>
      </c>
      <c r="AE387" s="1961" t="n">
        <v>2604.22275831319</v>
      </c>
      <c r="AF387" s="1807" t="n">
        <v>2737.53327882887</v>
      </c>
      <c r="AG387" s="1961" t="n">
        <v>2555.13268050577</v>
      </c>
      <c r="AH387" s="1961" t="n">
        <v>2355.41294024813</v>
      </c>
      <c r="AI387" s="1961" t="n">
        <v>3381.39970771341</v>
      </c>
      <c r="AJ387" s="1961" t="n">
        <v>2698.19997312866</v>
      </c>
      <c r="AK387" s="1807" t="n">
        <v>3118.80676345453</v>
      </c>
      <c r="AL387" s="1961" t="n">
        <v>3093.90097866474</v>
      </c>
      <c r="AM387" s="1961" t="n">
        <v>4434.5314348114</v>
      </c>
      <c r="AN387" s="1961" t="n">
        <v>4328.20409401423</v>
      </c>
      <c r="AO387" s="1961" t="n">
        <v>4564.52747269189</v>
      </c>
      <c r="AP387" s="1807" t="n">
        <v>1279.48101917949</v>
      </c>
      <c r="AQ387" s="1961">
        <f t="array" ref="AQ387">AP387</f>
        <v/>
      </c>
      <c r="AR387" s="1961" t="n">
        <v>2207.07183922291</v>
      </c>
      <c r="AS387" s="1961" t="n">
        <v>2677.96937923152</v>
      </c>
      <c r="AT387" s="1961" t="n">
        <v>3039.94540442817</v>
      </c>
      <c r="AU387" s="1807">
        <f t="array" ref="AU387">AV387</f>
        <v/>
      </c>
      <c r="AV387" s="1961" t="n">
        <v>3394.02256524054</v>
      </c>
      <c r="AW387" s="1962" t="n">
        <v>2406.71415389472</v>
      </c>
      <c r="AX387" s="1963" t="n">
        <v>3255.57753674334</v>
      </c>
      <c r="AY387" s="1963" t="n">
        <v>2540.07833486346</v>
      </c>
      <c r="AZ387" s="1809">
        <f t="array" ref="AZ387">BA387</f>
        <v/>
      </c>
      <c r="BA387" s="2152" t="n">
        <v>3434.15680384907</v>
      </c>
      <c r="BB387" s="808" t="n"/>
      <c r="BC387" s="710" t="n"/>
      <c r="BD387" s="710" t="n"/>
      <c r="BE387" s="710" t="n"/>
      <c r="BF387" s="1810">
        <f t="array" ref="BF387">BF385+BF384+BF380+BF355+BF383+BF382+BF381+BF386</f>
        <v/>
      </c>
      <c r="BG387" s="711" t="n"/>
      <c r="BH387" s="711" t="n"/>
      <c r="BI387" s="711" t="n"/>
      <c r="BJ387" s="711" t="n"/>
      <c r="BK387" s="1807">
        <f t="array" ref="BK387">BK385+BK384+BK380+BK355+BK383+BK382+BK381+BK386</f>
        <v/>
      </c>
      <c r="BL387" s="711" t="n"/>
      <c r="BM387" s="711" t="n"/>
      <c r="BN387" s="711" t="n"/>
      <c r="BO387" s="711" t="n"/>
      <c r="BP387" s="1807">
        <f t="array" ref="BP387">BP385+BP384+BP380+BP355+BP383+BP382+BP381+BP386</f>
        <v/>
      </c>
      <c r="BQ387" s="711" t="n"/>
      <c r="BR387" s="711" t="n"/>
      <c r="BS387" s="711" t="n"/>
      <c r="BT387" s="711" t="n"/>
      <c r="BU387" s="1807">
        <f t="array" ref="BU387">BU385+BU384+BU380+BU355+BU383+BU382+BU381+BU386</f>
        <v/>
      </c>
      <c r="BV387" s="711" t="n"/>
      <c r="BW387" s="711" t="n"/>
      <c r="BX387" s="711" t="n"/>
      <c r="BY387" s="711" t="n"/>
      <c r="BZ387" s="1807">
        <f t="array" ref="BZ387">BZ385+BZ384+BZ380+BZ355+BZ383+BZ382+BZ381+BZ386</f>
        <v/>
      </c>
      <c r="CA387" s="711" t="n"/>
      <c r="CB387" s="456" t="n"/>
      <c r="CC387" s="701" t="n"/>
      <c r="CD387" s="701" t="n"/>
      <c r="CE387" s="701" t="n"/>
      <c r="CF387" s="701" t="n"/>
      <c r="CG387" s="701" t="n"/>
      <c r="CH387" s="701" t="n"/>
      <c r="CI387" s="701" t="n"/>
      <c r="CJ387" s="701" t="n"/>
      <c r="CK387" s="701" t="n"/>
      <c r="CL387" s="701" t="n"/>
      <c r="CM387" s="701" t="n"/>
      <c r="CN387" s="701" t="n"/>
      <c r="CO387" s="701" t="n"/>
      <c r="CP387" s="701" t="n"/>
      <c r="CQ387" s="701" t="n"/>
      <c r="CR387" s="701" t="n"/>
      <c r="CS387" s="701" t="n"/>
      <c r="CT387" s="701" t="n"/>
      <c r="CU387" s="701" t="n"/>
      <c r="CV387" s="701" t="n"/>
      <c r="CW387" s="30" t="n"/>
    </row>
    <row r="388" ht="12.75" customHeight="1" s="1676">
      <c r="A388" s="13" t="n"/>
      <c r="B388" s="14" t="inlineStr">
        <is>
          <t>Text_332</t>
        </is>
      </c>
      <c r="C388" s="711" t="n"/>
      <c r="D388" s="1961" t="n"/>
      <c r="E388" s="1961" t="n"/>
      <c r="F388" s="1961" t="n"/>
      <c r="G388" s="1961" t="n"/>
      <c r="H388" s="1961" t="n"/>
      <c r="I388" s="1961" t="n">
        <v>4183.00324393205</v>
      </c>
      <c r="J388" s="1961" t="n">
        <v>4219.10916389623</v>
      </c>
      <c r="K388" s="1961" t="n">
        <v>4500.83502611061</v>
      </c>
      <c r="L388" s="1961" t="n">
        <v>5203.19421220886</v>
      </c>
      <c r="M388" s="1961" t="n">
        <v>4633.02569569344</v>
      </c>
      <c r="N388" s="1961" t="n">
        <v>5461.1329045024</v>
      </c>
      <c r="O388" s="1961" t="n">
        <v>4899.90358664045</v>
      </c>
      <c r="P388" s="1961" t="n">
        <v>4405.13314224974</v>
      </c>
      <c r="Q388" s="1961" t="n">
        <v>6160.09641562993</v>
      </c>
      <c r="R388" s="1961" t="n">
        <v>5058.0841951348</v>
      </c>
      <c r="S388" s="1961" t="n">
        <v>5537.36471445515</v>
      </c>
      <c r="T388" s="1961" t="n">
        <v>5808.36591021661</v>
      </c>
      <c r="U388" s="1961" t="n">
        <v>5223.00749586056</v>
      </c>
      <c r="V388" s="1961" t="n">
        <v>4622.67477855279</v>
      </c>
      <c r="W388" s="1961" t="n">
        <v>5335.96299162309</v>
      </c>
      <c r="X388" s="1961" t="n">
        <v>6648.69327768194</v>
      </c>
      <c r="Y388" s="1961" t="n">
        <v>5923.07178985218</v>
      </c>
      <c r="Z388" s="1961" t="n">
        <v>9817.79807347623</v>
      </c>
      <c r="AA388" s="1807" t="n">
        <v>9485.182359023651</v>
      </c>
      <c r="AB388" s="1961" t="n">
        <v>7923.86234707612</v>
      </c>
      <c r="AC388" s="1961" t="n">
        <v>8927.907258804689</v>
      </c>
      <c r="AD388" s="1961" t="n">
        <v>10179.2695246062</v>
      </c>
      <c r="AE388" s="1961" t="n">
        <v>7435.45247104751</v>
      </c>
      <c r="AF388" s="1807" t="n">
        <v>8455.35305920059</v>
      </c>
      <c r="AG388" s="1961" t="n">
        <v>8449.660109519509</v>
      </c>
      <c r="AH388" s="1961" t="n">
        <v>9066.65995159914</v>
      </c>
      <c r="AI388" s="1961" t="n">
        <v>11700.5032724303</v>
      </c>
      <c r="AJ388" s="1961" t="n">
        <v>8219.761604840691</v>
      </c>
      <c r="AK388" s="1807" t="n">
        <v>10347.9560928826</v>
      </c>
      <c r="AL388" s="1961" t="n">
        <v>8953.809956067191</v>
      </c>
      <c r="AM388" s="1961" t="n">
        <v>13245.0311151397</v>
      </c>
      <c r="AN388" s="1961" t="n">
        <v>9873.55431525896</v>
      </c>
      <c r="AO388" s="1961" t="n">
        <v>11554.4099877573</v>
      </c>
      <c r="AP388" s="1807">
        <f t="array" ref="AP388">AQ388</f>
        <v/>
      </c>
      <c r="AQ388" s="1961" t="n">
        <v>13795.7512351361</v>
      </c>
      <c r="AR388" s="1961" t="n">
        <v>14197.4524513965</v>
      </c>
      <c r="AS388" s="1961" t="n">
        <v>13304.7282951344</v>
      </c>
      <c r="AT388" s="1961" t="n">
        <v>12843.5113727461</v>
      </c>
      <c r="AU388" s="1807">
        <f t="array" ref="AU388">AV388</f>
        <v/>
      </c>
      <c r="AV388" s="1961" t="n">
        <v>13687.8319257303</v>
      </c>
      <c r="AW388" s="1962" t="n">
        <v>12803.8854049391</v>
      </c>
      <c r="AX388" s="1963" t="n">
        <v>12597.3036946142</v>
      </c>
      <c r="AY388" s="1963" t="n">
        <v>14855.8169419444</v>
      </c>
      <c r="AZ388" s="1809">
        <f t="array" ref="AZ388">BA388</f>
        <v/>
      </c>
      <c r="BA388" s="2152" t="n">
        <v>14004.6261789989</v>
      </c>
      <c r="BB388" s="808" t="n"/>
      <c r="BC388" s="710" t="n"/>
      <c r="BD388" s="710" t="n"/>
      <c r="BE388" s="710" t="n"/>
      <c r="BF388" s="1810" t="n"/>
      <c r="BG388" s="711" t="n"/>
      <c r="BH388" s="711" t="n"/>
      <c r="BI388" s="711" t="n"/>
      <c r="BJ388" s="711" t="n"/>
      <c r="BK388" s="1807" t="n"/>
      <c r="BL388" s="711" t="n"/>
      <c r="BM388" s="711" t="n"/>
      <c r="BN388" s="711" t="n"/>
      <c r="BO388" s="711" t="n"/>
      <c r="BP388" s="1807" t="n"/>
      <c r="BQ388" s="711" t="n"/>
      <c r="BR388" s="711" t="n"/>
      <c r="BS388" s="711" t="n"/>
      <c r="BT388" s="711" t="n"/>
      <c r="BU388" s="1807" t="n"/>
      <c r="BV388" s="711" t="n"/>
      <c r="BW388" s="711" t="n"/>
      <c r="BX388" s="711" t="n"/>
      <c r="BY388" s="711" t="n"/>
      <c r="BZ388" s="1807" t="n"/>
      <c r="CA388" s="711" t="n"/>
      <c r="CB388" s="456" t="n"/>
      <c r="CC388" s="701" t="n"/>
      <c r="CD388" s="701" t="n"/>
      <c r="CE388" s="701" t="n"/>
      <c r="CF388" s="701" t="n"/>
      <c r="CG388" s="701" t="n"/>
      <c r="CH388" s="701" t="n"/>
      <c r="CI388" s="701" t="n"/>
      <c r="CJ388" s="701" t="n"/>
      <c r="CK388" s="701" t="n"/>
      <c r="CL388" s="701" t="n"/>
      <c r="CM388" s="701" t="n"/>
      <c r="CN388" s="701" t="n"/>
      <c r="CO388" s="701" t="n"/>
      <c r="CP388" s="701" t="n"/>
      <c r="CQ388" s="701" t="n"/>
      <c r="CR388" s="701" t="n"/>
      <c r="CS388" s="701" t="n"/>
      <c r="CT388" s="701" t="n"/>
      <c r="CU388" s="701" t="n"/>
      <c r="CV388" s="701" t="n"/>
      <c r="CW388" s="30" t="n"/>
    </row>
    <row r="389" hidden="1" ht="12.75" customHeight="1" s="1676">
      <c r="A389" s="31" t="n"/>
      <c r="B389" s="765" t="inlineStr">
        <is>
          <t>Text_333</t>
        </is>
      </c>
      <c r="C389" s="66" t="n"/>
      <c r="D389" s="66" t="n"/>
      <c r="E389" s="66" t="n"/>
      <c r="F389" s="66" t="n"/>
      <c r="G389" s="66" t="n"/>
      <c r="H389" s="1734" t="n"/>
      <c r="I389" s="66" t="n"/>
      <c r="J389" s="66" t="n"/>
      <c r="K389" s="66" t="n"/>
      <c r="L389" s="66" t="n"/>
      <c r="M389" s="1709">
        <f t="array" ref="M389">M387-M385-M384-M383-M379-M376-M368-M355-M386-M382-M381-M374-M377</f>
        <v/>
      </c>
      <c r="N389" s="66" t="n"/>
      <c r="O389" s="66" t="n"/>
      <c r="P389" s="66" t="n"/>
      <c r="Q389" s="66" t="n"/>
      <c r="R389" s="1709">
        <f t="array" ref="R389">R387-R385-R384-R383-R379-R376-R368-R355-R386-R382-R381-R374-R377</f>
        <v/>
      </c>
      <c r="S389" s="66" t="n"/>
      <c r="T389" s="66" t="n"/>
      <c r="U389" s="66" t="n"/>
      <c r="V389" s="66" t="n"/>
      <c r="W389" s="1709">
        <f t="array" ref="W389">W387-W385-W384-W383-W379-W376-W368-W355-W386-W382-W381-W374-W377</f>
        <v/>
      </c>
      <c r="X389" s="1734" t="n"/>
      <c r="Y389" s="1734" t="n"/>
      <c r="Z389" s="1734" t="n"/>
      <c r="AA389" s="1734" t="n"/>
      <c r="AB389" s="1709">
        <f t="array" ref="AB389">AB387-AB385-AB384-AB383-AB379-AB376-AB368-AB355-AB386-AB382-AB381-AB374-AB377</f>
        <v/>
      </c>
      <c r="AC389" s="2153">
        <f t="array" ref="AC389">AC387-AC385-AC384-AC383-AC379-AC376-AC368-AC355</f>
        <v/>
      </c>
      <c r="AD389" s="2153">
        <f t="array" ref="AD389">AD387-AD385-AD384-AD383-AD379-AD376-AD368-AD355</f>
        <v/>
      </c>
      <c r="AE389" s="2153">
        <f t="array" ref="AE389">AE387-AE385-AE384-AE383-AE379-AE376-AE368-AE355</f>
        <v/>
      </c>
      <c r="AF389" s="2153">
        <f t="array" ref="AF389">AF387-AF385-AF384-AF383-AF379-AF376-AF368-AF355</f>
        <v/>
      </c>
      <c r="AG389" s="1709">
        <f t="array" ref="AG389">AG387-AG385-AG384-AG383-AG379-AG376-AG368-AG355-AG386-AG382-AG381-AG374-AG377</f>
        <v/>
      </c>
      <c r="AH389" s="1734" t="n"/>
      <c r="AI389" s="1734" t="n"/>
      <c r="AJ389" s="1734" t="n"/>
      <c r="AK389" s="1734">
        <f t="array" ref="AK389">AK387-AK385-AK384-AK383-AK379-AK376-AK368-AK355</f>
        <v/>
      </c>
      <c r="AL389" s="1709">
        <f t="array" ref="AL389">AL387-AL385-AL384-AL383-AL379-AL376-AL368-AL355-AL386-AL382-AL381-AL374-AL377</f>
        <v/>
      </c>
      <c r="AM389" s="1709">
        <f t="array" ref="AM389">AM387-AM385-AM384-AM383-AM379-AM376-AM368-AM355-AM386-AM382-AM381-AM374-AM377</f>
        <v/>
      </c>
      <c r="AN389" s="1709">
        <f t="array" ref="AN389">AN387-AN385-AN384-AN383-AN379-AN376-AN368-AN355-AN386-AN382-AN381-AN377-AN367-AN366</f>
        <v/>
      </c>
      <c r="AO389" s="1709">
        <f t="array" ref="AO389">AO387-AO385-AO384-AO383-AO379-AO376-AO368-AO355-AO386-AO382-AO381-AO377-AO367-AO366</f>
        <v/>
      </c>
      <c r="AP389" s="1709">
        <f t="array" ref="AP389">AP387-AP385-AP384-AP383-AP379-AP376-AP368-AP355-AP386-AP382-AP381-AP374-AP377</f>
        <v/>
      </c>
      <c r="AQ389" s="1734">
        <f t="array" ref="AQ389">AQ387-AQ385-AQ384-AQ383-AQ379-AQ376-AQ368-AQ355-AQ386-AQ382-AQ381-AQ374-AQ377</f>
        <v/>
      </c>
      <c r="AR389" s="1734">
        <f t="array" ref="AR389">AR387-AR385-AR384-AR383-AR379-AR376-AR368-AR355-AR386-AR382-AR381-AR374-AR377</f>
        <v/>
      </c>
      <c r="AS389" s="1734">
        <f t="array" ref="AS389">AS387-AS385-AS384-AS383-AS379-AS376-AS368-AS355-AS386-AS382-AS381-AS374-AS377</f>
        <v/>
      </c>
      <c r="AT389" s="1734">
        <f t="array" ref="AT389">AT387-AT385-AT384-AT383-AT379-AT376-AT368-AT355-AT386-AT382-AT381-AT374-AT377</f>
        <v/>
      </c>
      <c r="AU389" s="1734">
        <f t="array" ref="AU389">AU387-AU385-AU384-AU383-AU379-AU376-AU368-AU355-AU386-AU382-AU381-AU374-AU377</f>
        <v/>
      </c>
      <c r="AV389" s="1709">
        <f t="array" ref="AV389">AV387-AV385-AV384-AV383-AV379-AV376-AV368-AV355-AV386-AV382-AV381-AV374-AV377</f>
        <v/>
      </c>
      <c r="AW389" s="2079">
        <f t="array" ref="AW389">AW387-AW385-AW384-AW383-AW379-AW376-AW368-AW355-AW386-AW382-AW381-AW374-AW377</f>
        <v/>
      </c>
      <c r="AX389" s="1964">
        <f t="array" ref="AX389">AX387-AX385-AX384-AX383-AX379-AX376-AX368-AX355-AX386-AX382-AX381-AX374-AX377</f>
        <v/>
      </c>
      <c r="AY389" s="1964">
        <f t="array" ref="AY389">AY387-AY385-AY384-AY383-AY379-AY376-AY368-AY355-AY386-AY382-AY381-AY374-AY377</f>
        <v/>
      </c>
      <c r="AZ389" s="1964">
        <f t="array" ref="AZ389">AZ387-AZ385-AZ384-AZ383-AZ379-AZ376-AZ368-AZ355-AZ386-AZ382-AZ381-AZ374-AZ377</f>
        <v/>
      </c>
      <c r="BA389" s="1733">
        <f t="array" ref="BA389">BA387-BA385-BA384-BA383-BA379-BA376-BA368-BA355-BA386-BA382-BA381-BA374-BA377</f>
        <v/>
      </c>
      <c r="BB389" s="72" t="n"/>
      <c r="BC389" s="69" t="n"/>
      <c r="BD389" s="69" t="n"/>
      <c r="BE389" s="69" t="n"/>
      <c r="BF389" s="73" t="n"/>
      <c r="BG389" s="66" t="n"/>
      <c r="BH389" s="66" t="n"/>
      <c r="BI389" s="66" t="n"/>
      <c r="BJ389" s="66" t="n"/>
      <c r="BK389" s="66" t="n"/>
      <c r="BL389" s="66" t="n"/>
      <c r="BM389" s="66" t="n"/>
      <c r="BN389" s="66" t="n"/>
      <c r="BO389" s="66" t="n"/>
      <c r="BP389" s="66" t="n"/>
      <c r="BQ389" s="66" t="n"/>
      <c r="BR389" s="66" t="n"/>
      <c r="BS389" s="66" t="n"/>
      <c r="BT389" s="66" t="n"/>
      <c r="BU389" s="66" t="n"/>
      <c r="BV389" s="66" t="n"/>
      <c r="BW389" s="66" t="n"/>
      <c r="BX389" s="66" t="n"/>
      <c r="BY389" s="66" t="n"/>
      <c r="BZ389" s="66" t="n"/>
      <c r="CA389" s="66" t="n"/>
      <c r="CB389" s="456" t="n"/>
      <c r="CC389" s="701" t="n"/>
      <c r="CD389" s="701" t="n"/>
      <c r="CE389" s="701" t="n"/>
      <c r="CF389" s="701" t="n"/>
      <c r="CG389" s="701" t="n"/>
      <c r="CH389" s="701" t="n"/>
      <c r="CI389" s="701" t="n"/>
      <c r="CJ389" s="701" t="n"/>
      <c r="CK389" s="701" t="n"/>
      <c r="CL389" s="701" t="n"/>
      <c r="CM389" s="701" t="n"/>
      <c r="CN389" s="701" t="n"/>
      <c r="CO389" s="701" t="n"/>
      <c r="CP389" s="701" t="n"/>
      <c r="CQ389" s="701" t="n"/>
      <c r="CR389" s="701" t="n"/>
      <c r="CS389" s="701" t="n"/>
      <c r="CT389" s="701" t="n"/>
      <c r="CU389" s="701" t="n"/>
      <c r="CV389" s="701" t="n"/>
      <c r="CW389" s="30" t="n"/>
    </row>
    <row r="390" ht="12.75" customHeight="1" s="1676">
      <c r="A390" s="74" t="n"/>
      <c r="B390" s="69" t="n"/>
      <c r="C390" s="69" t="n"/>
      <c r="D390" s="69" t="n"/>
      <c r="E390" s="69" t="n"/>
      <c r="F390" s="69" t="n"/>
      <c r="G390" s="69" t="n"/>
      <c r="H390" s="69" t="n"/>
      <c r="I390" s="69" t="n"/>
      <c r="J390" s="69" t="n"/>
      <c r="K390" s="69" t="n"/>
      <c r="L390" s="69" t="n"/>
      <c r="M390" s="69" t="n"/>
      <c r="N390" s="69" t="n"/>
      <c r="O390" s="69" t="n"/>
      <c r="P390" s="69" t="n"/>
      <c r="Q390" s="69" t="n"/>
      <c r="R390" s="69" t="n"/>
      <c r="S390" s="69" t="n"/>
      <c r="T390" s="69" t="n"/>
      <c r="U390" s="69" t="n"/>
      <c r="V390" s="69" t="n"/>
      <c r="W390" s="69" t="n"/>
      <c r="X390" s="69" t="n"/>
      <c r="Y390" s="69" t="n"/>
      <c r="Z390" s="69" t="n"/>
      <c r="AA390" s="69" t="n"/>
      <c r="AB390" s="69" t="n"/>
      <c r="AC390" s="69" t="n"/>
      <c r="AD390" s="69" t="n"/>
      <c r="AE390" s="69" t="n"/>
      <c r="AF390" s="69" t="n"/>
      <c r="AG390" s="69" t="n"/>
      <c r="AH390" s="69" t="n"/>
      <c r="AI390" s="69" t="n"/>
      <c r="AJ390" s="69" t="n"/>
      <c r="AK390" s="69" t="n"/>
      <c r="AL390" s="69" t="n"/>
      <c r="AM390" s="69" t="n"/>
      <c r="AN390" s="69" t="n"/>
      <c r="AO390" s="69" t="n"/>
      <c r="AP390" s="69" t="n"/>
      <c r="AQ390" s="69" t="n"/>
      <c r="AR390" s="69" t="n"/>
      <c r="AS390" s="69" t="n"/>
      <c r="AT390" s="69" t="n"/>
      <c r="AU390" s="69" t="n"/>
      <c r="AV390" s="69" t="n"/>
      <c r="AW390" s="69" t="n"/>
      <c r="AX390" s="69" t="n"/>
      <c r="AY390" s="69" t="n"/>
      <c r="AZ390" s="69" t="n"/>
      <c r="BA390" s="69" t="n"/>
      <c r="BB390" s="69" t="n"/>
      <c r="BC390" s="69" t="n"/>
      <c r="BD390" s="69" t="n"/>
      <c r="BE390" s="69" t="n"/>
      <c r="BF390" s="69" t="n"/>
      <c r="BG390" s="69" t="n"/>
      <c r="BH390" s="69" t="n"/>
      <c r="BI390" s="69" t="n"/>
      <c r="BJ390" s="69" t="n"/>
      <c r="BK390" s="69" t="n"/>
      <c r="BL390" s="69" t="n"/>
      <c r="BM390" s="69" t="n"/>
      <c r="BN390" s="69" t="n"/>
      <c r="BO390" s="69" t="n"/>
      <c r="BP390" s="69" t="n"/>
      <c r="BQ390" s="69" t="n"/>
      <c r="BR390" s="69" t="n"/>
      <c r="BS390" s="69" t="n"/>
      <c r="BT390" s="69" t="n"/>
      <c r="BU390" s="69" t="n"/>
      <c r="BV390" s="69" t="n"/>
      <c r="BW390" s="69" t="n"/>
      <c r="BX390" s="69" t="n"/>
      <c r="BY390" s="69" t="n"/>
      <c r="BZ390" s="69" t="n"/>
      <c r="CA390" s="69" t="n"/>
      <c r="CB390" s="701" t="n"/>
      <c r="CC390" s="701" t="n"/>
      <c r="CD390" s="701" t="n"/>
      <c r="CE390" s="701" t="n"/>
      <c r="CF390" s="701" t="n"/>
      <c r="CG390" s="701" t="n"/>
      <c r="CH390" s="701" t="n"/>
      <c r="CI390" s="701" t="n"/>
      <c r="CJ390" s="701" t="n"/>
      <c r="CK390" s="701" t="n"/>
      <c r="CL390" s="701" t="n"/>
      <c r="CM390" s="701" t="n"/>
      <c r="CN390" s="701" t="n"/>
      <c r="CO390" s="701" t="n"/>
      <c r="CP390" s="701" t="n"/>
      <c r="CQ390" s="701" t="n"/>
      <c r="CR390" s="701" t="n"/>
      <c r="CS390" s="701" t="n"/>
      <c r="CT390" s="701" t="n"/>
      <c r="CU390" s="701" t="n"/>
      <c r="CV390" s="701" t="n"/>
      <c r="CW390" s="30" t="n"/>
    </row>
    <row r="391" ht="12.75" customHeight="1" s="1676">
      <c r="A391" s="31" t="n"/>
      <c r="B391" s="99" t="inlineStr">
        <is>
          <t>Text_334</t>
        </is>
      </c>
      <c r="C391" s="33" t="n"/>
      <c r="D391" s="1710" t="n"/>
      <c r="E391" s="1710" t="n"/>
      <c r="F391" s="1710" t="n"/>
      <c r="G391" s="1710" t="n"/>
      <c r="H391" s="1710" t="n"/>
      <c r="I391" s="1710" t="n"/>
      <c r="J391" s="1710" t="n"/>
      <c r="K391" s="1710" t="n"/>
      <c r="L391" s="1710" t="n"/>
      <c r="M391" s="1710" t="n"/>
      <c r="N391" s="1710" t="n"/>
      <c r="O391" s="1710" t="n"/>
      <c r="P391" s="1710" t="n"/>
      <c r="Q391" s="1710" t="n"/>
      <c r="R391" s="1710" t="n"/>
      <c r="S391" s="1710" t="n"/>
      <c r="T391" s="1710" t="n"/>
      <c r="U391" s="1710" t="n"/>
      <c r="V391" s="1710" t="n"/>
      <c r="W391" s="1710" t="n"/>
      <c r="X391" s="1710" t="n"/>
      <c r="Y391" s="1710" t="n"/>
      <c r="Z391" s="1710" t="n"/>
      <c r="AA391" s="1710" t="n"/>
      <c r="AB391" s="1710" t="n"/>
      <c r="AC391" s="1710" t="n"/>
      <c r="AD391" s="1710" t="n"/>
      <c r="AE391" s="1710" t="n"/>
      <c r="AF391" s="1710" t="n"/>
      <c r="AG391" s="1710" t="n"/>
      <c r="AH391" s="1710" t="n"/>
      <c r="AI391" s="1710" t="n"/>
      <c r="AJ391" s="1710" t="n"/>
      <c r="AK391" s="1710" t="n"/>
      <c r="AL391" s="1710" t="n"/>
      <c r="AM391" s="1710" t="n"/>
      <c r="AN391" s="1710" t="n"/>
      <c r="AO391" s="1710" t="n"/>
      <c r="AP391" s="1710" t="n"/>
      <c r="AQ391" s="1710" t="n"/>
      <c r="AR391" s="1710" t="n"/>
      <c r="AS391" s="1710" t="n"/>
      <c r="AT391" s="1710" t="n"/>
      <c r="AU391" s="1710" t="n"/>
      <c r="AV391" s="1711" t="n"/>
      <c r="AW391" s="1712" t="n"/>
      <c r="AX391" s="1710" t="n"/>
      <c r="AY391" s="1710" t="n"/>
      <c r="AZ391" s="1710" t="n"/>
      <c r="BA391" s="1711" t="n"/>
      <c r="BB391" s="1712" t="n"/>
      <c r="BC391" s="1710" t="n"/>
      <c r="BD391" s="1710" t="n"/>
      <c r="BE391" s="1710" t="n"/>
      <c r="BF391" s="1710" t="n"/>
      <c r="BG391" s="1710" t="n"/>
      <c r="BH391" s="1710" t="n"/>
      <c r="BI391" s="1710" t="n"/>
      <c r="BJ391" s="1710" t="n"/>
      <c r="BK391" s="1710" t="n"/>
      <c r="BL391" s="1710" t="n"/>
      <c r="BM391" s="1710" t="n"/>
      <c r="BN391" s="1710" t="n"/>
      <c r="BO391" s="1710" t="n"/>
      <c r="BP391" s="1710" t="n"/>
      <c r="BQ391" s="1710" t="n"/>
      <c r="BR391" s="1710" t="n"/>
      <c r="BS391" s="1710" t="n"/>
      <c r="BT391" s="1710" t="n"/>
      <c r="BU391" s="1710" t="n"/>
      <c r="BV391" s="1710" t="n"/>
      <c r="BW391" s="1710" t="n"/>
      <c r="BX391" s="1710" t="n"/>
      <c r="BY391" s="1710" t="n"/>
      <c r="BZ391" s="1710" t="n"/>
      <c r="CA391" s="1710" t="n"/>
      <c r="CB391" s="456" t="n"/>
      <c r="CC391" s="701" t="n"/>
      <c r="CD391" s="701" t="n"/>
      <c r="CE391" s="701" t="n"/>
      <c r="CF391" s="701" t="n"/>
      <c r="CG391" s="701" t="n"/>
      <c r="CH391" s="701" t="n"/>
      <c r="CI391" s="701" t="n"/>
      <c r="CJ391" s="701" t="n"/>
      <c r="CK391" s="701" t="n"/>
      <c r="CL391" s="701" t="n"/>
      <c r="CM391" s="701" t="n"/>
      <c r="CN391" s="701" t="n"/>
      <c r="CO391" s="701" t="n"/>
      <c r="CP391" s="701" t="n"/>
      <c r="CQ391" s="701" t="n"/>
      <c r="CR391" s="701" t="n"/>
      <c r="CS391" s="701" t="n"/>
      <c r="CT391" s="701" t="n"/>
      <c r="CU391" s="701" t="n"/>
      <c r="CV391" s="701" t="n"/>
      <c r="CW391" s="30" t="n"/>
    </row>
    <row r="392" hidden="1" ht="12.75" customHeight="1" s="1676">
      <c r="A392" s="31" t="n"/>
      <c r="B392" s="270" t="inlineStr">
        <is>
          <t>Text_335</t>
        </is>
      </c>
      <c r="C392" s="699" t="n"/>
      <c r="D392" s="699" t="n"/>
      <c r="E392" s="699" t="n"/>
      <c r="F392" s="699" t="n"/>
      <c r="G392" s="699" t="n"/>
      <c r="H392" s="1939" t="n"/>
      <c r="I392" s="699" t="n"/>
      <c r="J392" s="699" t="n"/>
      <c r="K392" s="699" t="n"/>
      <c r="L392" s="699" t="n"/>
      <c r="M392" s="1939">
        <f t="array" ref="M392">M212/((M378+H378)/2)</f>
        <v/>
      </c>
      <c r="N392" s="699" t="n"/>
      <c r="O392" s="699" t="n"/>
      <c r="P392" s="699" t="n"/>
      <c r="Q392" s="699" t="n"/>
      <c r="R392" s="1939">
        <f t="array" ref="R392">R212/((R378+M378)/2)</f>
        <v/>
      </c>
      <c r="S392" s="699" t="n"/>
      <c r="T392" s="699" t="n"/>
      <c r="U392" s="699" t="n"/>
      <c r="V392" s="699" t="n"/>
      <c r="W392" s="1939">
        <f t="array" ref="W392">W212/((W378+R378)/2)</f>
        <v/>
      </c>
      <c r="X392" s="699" t="n"/>
      <c r="Y392" s="699" t="n"/>
      <c r="Z392" s="699" t="n"/>
      <c r="AA392" s="699" t="n"/>
      <c r="AB392" s="1939">
        <f t="array" ref="AB392">AB212/((AB378+W378)/2)</f>
        <v/>
      </c>
      <c r="AC392" s="699" t="n"/>
      <c r="AD392" s="699" t="n"/>
      <c r="AE392" s="699" t="n"/>
      <c r="AF392" s="699" t="n"/>
      <c r="AG392" s="1939">
        <f t="array" ref="AG392">AG212/((AG378+AB378)/2)</f>
        <v/>
      </c>
      <c r="AH392" s="699" t="n"/>
      <c r="AI392" s="699" t="n"/>
      <c r="AJ392" s="699" t="n"/>
      <c r="AK392" s="699" t="n"/>
      <c r="AL392" s="1939">
        <f t="array" ref="AL392">AL212/((AL378+AG378)/2)</f>
        <v/>
      </c>
      <c r="AM392" s="699" t="n"/>
      <c r="AN392" s="699" t="n"/>
      <c r="AO392" s="699" t="n"/>
      <c r="AP392" s="699" t="n"/>
      <c r="AQ392" s="1939">
        <f t="array" ref="AQ392">AQ212/((AQ378+AL378)/2)</f>
        <v/>
      </c>
      <c r="AR392" s="699" t="n"/>
      <c r="AS392" s="699" t="n"/>
      <c r="AT392" s="699" t="n"/>
      <c r="AU392" s="699" t="n"/>
      <c r="AV392" s="1939">
        <f t="array" ref="AV392">AV212/((AV378+AQ378)/2)</f>
        <v/>
      </c>
      <c r="AW392" s="456" t="n"/>
      <c r="AX392" s="701" t="n"/>
      <c r="AY392" s="701" t="n"/>
      <c r="AZ392" s="381" t="n"/>
      <c r="BA392" s="1939">
        <f t="array" ref="BA392">BA212/((BA378+AV378)/2)</f>
        <v/>
      </c>
      <c r="BB392" s="456" t="n"/>
      <c r="BC392" s="701" t="n"/>
      <c r="BD392" s="701" t="n"/>
      <c r="BE392" s="381" t="n"/>
      <c r="BF392" s="1939">
        <f t="array" ref="BF392">BF212/((BF378+BA378)/2)</f>
        <v/>
      </c>
      <c r="BG392" s="699" t="n"/>
      <c r="BH392" s="699" t="n"/>
      <c r="BI392" s="699" t="n"/>
      <c r="BJ392" s="699" t="n"/>
      <c r="BK392" s="1939">
        <f t="array" ref="BK392">BK212/((BK378+BF378)/2)</f>
        <v/>
      </c>
      <c r="BL392" s="699" t="n"/>
      <c r="BM392" s="699" t="n"/>
      <c r="BN392" s="699" t="n"/>
      <c r="BO392" s="699" t="n"/>
      <c r="BP392" s="1939">
        <f t="array" ref="BP392">BP212/((BP378+BK378)/2)</f>
        <v/>
      </c>
      <c r="BQ392" s="699" t="n"/>
      <c r="BR392" s="699" t="n"/>
      <c r="BS392" s="699" t="n"/>
      <c r="BT392" s="699" t="n"/>
      <c r="BU392" s="1939">
        <f t="array" ref="BU392">BU212/((BU378+BP378)/2)</f>
        <v/>
      </c>
      <c r="BV392" s="699" t="n"/>
      <c r="BW392" s="699" t="n"/>
      <c r="BX392" s="699" t="n"/>
      <c r="BY392" s="699" t="n"/>
      <c r="BZ392" s="1939">
        <f t="array" ref="BZ392">BZ212/((BZ378+BU378)/2)</f>
        <v/>
      </c>
      <c r="CA392" s="524" t="n"/>
      <c r="CB392" s="456" t="n"/>
      <c r="CC392" s="701" t="n"/>
      <c r="CD392" s="701" t="n"/>
      <c r="CE392" s="701" t="n"/>
      <c r="CF392" s="701" t="n"/>
      <c r="CG392" s="701" t="n"/>
      <c r="CH392" s="701" t="n"/>
      <c r="CI392" s="701" t="n"/>
      <c r="CJ392" s="701" t="n"/>
      <c r="CK392" s="701" t="n"/>
      <c r="CL392" s="701" t="n"/>
      <c r="CM392" s="701" t="n"/>
      <c r="CN392" s="701" t="n"/>
      <c r="CO392" s="701" t="n"/>
      <c r="CP392" s="701" t="n"/>
      <c r="CQ392" s="701" t="n"/>
      <c r="CR392" s="701" t="n"/>
      <c r="CS392" s="701" t="n"/>
      <c r="CT392" s="701" t="n"/>
      <c r="CU392" s="701" t="n"/>
      <c r="CV392" s="701" t="n"/>
      <c r="CW392" s="30" t="n"/>
    </row>
    <row r="393" ht="12.75" customHeight="1" s="1676">
      <c r="A393" s="31" t="n"/>
      <c r="B393" s="270" t="inlineStr">
        <is>
          <t>Text_336</t>
        </is>
      </c>
      <c r="C393" s="699" t="n"/>
      <c r="D393" s="699" t="n"/>
      <c r="E393" s="699" t="n"/>
      <c r="F393" s="699" t="n"/>
      <c r="G393" s="699" t="n"/>
      <c r="H393" s="165" t="n"/>
      <c r="I393" s="699" t="n"/>
      <c r="J393" s="699" t="n"/>
      <c r="K393" s="699" t="n"/>
      <c r="L393" s="699" t="n"/>
      <c r="M393" s="165">
        <f t="array" ref="M393">(M238*(1-M252))/((M378+H378)/2)</f>
        <v/>
      </c>
      <c r="N393" s="699" t="n"/>
      <c r="O393" s="699" t="n"/>
      <c r="P393" s="699" t="n"/>
      <c r="Q393" s="699" t="n"/>
      <c r="R393" s="165">
        <f t="array" ref="R393">(R238*(1-R252))/((R378+M378)/2)</f>
        <v/>
      </c>
      <c r="S393" s="699" t="n"/>
      <c r="T393" s="699" t="n"/>
      <c r="U393" s="699" t="n"/>
      <c r="V393" s="699" t="n"/>
      <c r="W393" s="165">
        <f t="array" ref="W393">(W238*(1-W252))/((W378+R378)/2)</f>
        <v/>
      </c>
      <c r="X393" s="699" t="n"/>
      <c r="Y393" s="699" t="n"/>
      <c r="Z393" s="699" t="n"/>
      <c r="AA393" s="699" t="n"/>
      <c r="AB393" s="165">
        <f t="array" ref="AB393">(AB238*(1-AB252))/((AB378+W378)/2)</f>
        <v/>
      </c>
      <c r="AC393" s="699" t="n"/>
      <c r="AD393" s="699" t="n"/>
      <c r="AE393" s="699" t="n"/>
      <c r="AF393" s="699" t="n"/>
      <c r="AG393" s="165">
        <f t="array" ref="AG393">(AG238*(1-AG252))/((AG378+AB378)/2)</f>
        <v/>
      </c>
      <c r="AH393" s="699" t="n"/>
      <c r="AI393" s="699" t="n"/>
      <c r="AJ393" s="699" t="n"/>
      <c r="AK393" s="699" t="n"/>
      <c r="AL393" s="165">
        <f t="array" ref="AL393">(AL238*(1-AL252))/((AL378+AG378)/2)</f>
        <v/>
      </c>
      <c r="AM393" s="699" t="n"/>
      <c r="AN393" s="699" t="n"/>
      <c r="AO393" s="699" t="n"/>
      <c r="AP393" s="699" t="n"/>
      <c r="AQ393" s="165">
        <f t="array" ref="AQ393">(AQ238*(1-AQ252))/((AQ378+AL378)/2)</f>
        <v/>
      </c>
      <c r="AR393" s="699" t="n"/>
      <c r="AS393" s="699" t="n"/>
      <c r="AT393" s="699" t="n"/>
      <c r="AU393" s="699" t="n"/>
      <c r="AV393" s="165">
        <f t="array" ref="AV393">(AV238*(1-AV252))/((AV378+AQ378)/2)</f>
        <v/>
      </c>
      <c r="AW393" s="456" t="n"/>
      <c r="AX393" s="701" t="n"/>
      <c r="AY393" s="701" t="n"/>
      <c r="AZ393" s="701" t="n"/>
      <c r="BA393" s="166">
        <f t="array" ref="BA393">(BA238*(1-BA252))/((BA378+AV378)/2)</f>
        <v/>
      </c>
      <c r="BB393" s="456" t="n"/>
      <c r="BC393" s="701" t="n"/>
      <c r="BD393" s="701" t="n"/>
      <c r="BE393" s="701" t="n"/>
      <c r="BF393" s="166">
        <f t="array" ref="BF393">(BF238*(1-BF252))/((BF378+BA378)/2)</f>
        <v/>
      </c>
      <c r="BG393" s="699" t="n"/>
      <c r="BH393" s="699" t="n"/>
      <c r="BI393" s="699" t="n"/>
      <c r="BJ393" s="699" t="n"/>
      <c r="BK393" s="165">
        <f t="array" ref="BK393">(BK238*(1-BK252))/((BK378+BF378)/2)</f>
        <v/>
      </c>
      <c r="BL393" s="699" t="n"/>
      <c r="BM393" s="699" t="n"/>
      <c r="BN393" s="699" t="n"/>
      <c r="BO393" s="699" t="n"/>
      <c r="BP393" s="165">
        <f t="array" ref="BP393">(BP238*(1-BP252))/((BP378+BK378)/2)</f>
        <v/>
      </c>
      <c r="BQ393" s="699" t="n"/>
      <c r="BR393" s="699" t="n"/>
      <c r="BS393" s="699" t="n"/>
      <c r="BT393" s="699" t="n"/>
      <c r="BU393" s="165">
        <f t="array" ref="BU393">(BU238*(1-BU252))/((BU378+BP378)/2)</f>
        <v/>
      </c>
      <c r="BV393" s="699" t="n"/>
      <c r="BW393" s="699" t="n"/>
      <c r="BX393" s="699" t="n"/>
      <c r="BY393" s="699" t="n"/>
      <c r="BZ393" s="165">
        <f t="array" ref="BZ393">(BZ238*(1-BZ252))/((BZ378+BU378)/2)</f>
        <v/>
      </c>
      <c r="CA393" s="577" t="n"/>
      <c r="CB393" s="98" t="n"/>
      <c r="CC393" s="701" t="n"/>
      <c r="CD393" s="701" t="n"/>
      <c r="CE393" s="701" t="n"/>
      <c r="CF393" s="701" t="n"/>
      <c r="CG393" s="701" t="n"/>
      <c r="CH393" s="701" t="n"/>
      <c r="CI393" s="701" t="n"/>
      <c r="CJ393" s="701" t="n"/>
      <c r="CK393" s="701" t="n"/>
      <c r="CL393" s="701" t="n"/>
      <c r="CM393" s="701" t="n"/>
      <c r="CN393" s="701" t="n"/>
      <c r="CO393" s="701" t="n"/>
      <c r="CP393" s="701" t="n"/>
      <c r="CQ393" s="701" t="n"/>
      <c r="CR393" s="701" t="n"/>
      <c r="CS393" s="701" t="n"/>
      <c r="CT393" s="701" t="n"/>
      <c r="CU393" s="701" t="n"/>
      <c r="CV393" s="701" t="n"/>
      <c r="CW393" s="30" t="n"/>
    </row>
    <row r="394" ht="12.75" customHeight="1" s="1676">
      <c r="A394" s="31" t="n"/>
      <c r="B394" s="270" t="inlineStr">
        <is>
          <t>Text_337</t>
        </is>
      </c>
      <c r="C394" s="699" t="n"/>
      <c r="D394" s="699" t="n"/>
      <c r="E394" s="699" t="n"/>
      <c r="F394" s="699" t="n"/>
      <c r="G394" s="699" t="n"/>
      <c r="H394" s="165" t="n"/>
      <c r="I394" s="699" t="n"/>
      <c r="J394" s="699" t="n"/>
      <c r="K394" s="699" t="n"/>
      <c r="L394" s="699" t="n"/>
      <c r="M394" s="165">
        <f t="array" ref="M394">(M238*(1-M252))/((M380+H380)/2)</f>
        <v/>
      </c>
      <c r="N394" s="699" t="n"/>
      <c r="O394" s="699" t="n"/>
      <c r="P394" s="699" t="n"/>
      <c r="Q394" s="699" t="n"/>
      <c r="R394" s="165">
        <f t="array" ref="R394">(R238*(1-R252))/((R380+M380)/2)</f>
        <v/>
      </c>
      <c r="S394" s="699" t="n"/>
      <c r="T394" s="699" t="n"/>
      <c r="U394" s="699" t="n"/>
      <c r="V394" s="699" t="n"/>
      <c r="W394" s="165">
        <f t="array" ref="W394">(W238*(1-W252))/((W380+R380)/2)</f>
        <v/>
      </c>
      <c r="X394" s="699" t="n"/>
      <c r="Y394" s="699" t="n"/>
      <c r="Z394" s="699" t="n"/>
      <c r="AA394" s="699" t="n"/>
      <c r="AB394" s="165">
        <f t="array" ref="AB394">(AB238*(1-AB252))/((AB380+W380)/2)</f>
        <v/>
      </c>
      <c r="AC394" s="699" t="n"/>
      <c r="AD394" s="699" t="n"/>
      <c r="AE394" s="699" t="n"/>
      <c r="AF394" s="699" t="n"/>
      <c r="AG394" s="165">
        <f t="array" ref="AG394">(AG238*(1-AG252))/((AG380+AB380)/2)</f>
        <v/>
      </c>
      <c r="AH394" s="699" t="n"/>
      <c r="AI394" s="699" t="n"/>
      <c r="AJ394" s="699" t="n"/>
      <c r="AK394" s="699" t="n"/>
      <c r="AL394" s="165">
        <f t="array" ref="AL394">(AL238*(1-AL252))/((AL380+AG380)/2)</f>
        <v/>
      </c>
      <c r="AM394" s="699" t="n"/>
      <c r="AN394" s="699" t="n"/>
      <c r="AO394" s="699" t="n"/>
      <c r="AP394" s="699" t="n"/>
      <c r="AQ394" s="165">
        <f t="array" ref="AQ394">(AQ238*(1-AQ252))/((AQ380+AL380)/2)</f>
        <v/>
      </c>
      <c r="AR394" s="699" t="n"/>
      <c r="AS394" s="699" t="n"/>
      <c r="AT394" s="699" t="n"/>
      <c r="AU394" s="699" t="n"/>
      <c r="AV394" s="165">
        <f t="array" ref="AV394">(AV238*(1-AV252))/((AV380+AQ380)/2)</f>
        <v/>
      </c>
      <c r="AW394" s="456" t="n"/>
      <c r="AX394" s="701" t="n"/>
      <c r="AY394" s="701" t="n"/>
      <c r="AZ394" s="701" t="n"/>
      <c r="BA394" s="166">
        <f t="array" ref="BA394">(BA238*(1-BA252))/((BA380+AV380)/2)</f>
        <v/>
      </c>
      <c r="BB394" s="456" t="n"/>
      <c r="BC394" s="701" t="n"/>
      <c r="BD394" s="701" t="n"/>
      <c r="BE394" s="701" t="n"/>
      <c r="BF394" s="166">
        <f t="array" ref="BF394">(BF238*(1-BF252))/((BF380+BA380)/2)</f>
        <v/>
      </c>
      <c r="BG394" s="699" t="n"/>
      <c r="BH394" s="699" t="n"/>
      <c r="BI394" s="699" t="n"/>
      <c r="BJ394" s="699" t="n"/>
      <c r="BK394" s="165">
        <f t="array" ref="BK394">(BK238*(1-BK252))/((BK380+BF380)/2)</f>
        <v/>
      </c>
      <c r="BL394" s="699" t="n"/>
      <c r="BM394" s="699" t="n"/>
      <c r="BN394" s="699" t="n"/>
      <c r="BO394" s="699" t="n"/>
      <c r="BP394" s="165">
        <f t="array" ref="BP394">(BP238*(1-BP252))/((BP380+BK380)/2)</f>
        <v/>
      </c>
      <c r="BQ394" s="699" t="n"/>
      <c r="BR394" s="699" t="n"/>
      <c r="BS394" s="699" t="n"/>
      <c r="BT394" s="699" t="n"/>
      <c r="BU394" s="165">
        <f t="array" ref="BU394">(BU238*(1-BU252))/((BU380+BP380)/2)</f>
        <v/>
      </c>
      <c r="BV394" s="699" t="n"/>
      <c r="BW394" s="699" t="n"/>
      <c r="BX394" s="699" t="n"/>
      <c r="BY394" s="699" t="n"/>
      <c r="BZ394" s="165">
        <f t="array" ref="BZ394">(BZ238*(1-BZ252))/((BZ380+BU380)/2)</f>
        <v/>
      </c>
      <c r="CA394" s="167" t="inlineStr">
        <is>
          <t>Text_338</t>
        </is>
      </c>
      <c r="CB394" s="98" t="n"/>
      <c r="CC394" s="701" t="n"/>
      <c r="CD394" s="701" t="n"/>
      <c r="CE394" s="701" t="n"/>
      <c r="CF394" s="701" t="n"/>
      <c r="CG394" s="701" t="n"/>
      <c r="CH394" s="701" t="n"/>
      <c r="CI394" s="701" t="n"/>
      <c r="CJ394" s="701" t="n"/>
      <c r="CK394" s="701" t="n"/>
      <c r="CL394" s="701" t="n"/>
      <c r="CM394" s="701" t="n"/>
      <c r="CN394" s="701" t="n"/>
      <c r="CO394" s="701" t="n"/>
      <c r="CP394" s="701" t="n"/>
      <c r="CQ394" s="701" t="n"/>
      <c r="CR394" s="701" t="n"/>
      <c r="CS394" s="701" t="n"/>
      <c r="CT394" s="701" t="n"/>
      <c r="CU394" s="701" t="n"/>
      <c r="CV394" s="701" t="n"/>
      <c r="CW394" s="30" t="n"/>
    </row>
    <row r="395" ht="12.75" customHeight="1" s="1676">
      <c r="A395" s="31" t="n"/>
      <c r="B395" s="270" t="inlineStr">
        <is>
          <t>Text_339</t>
        </is>
      </c>
      <c r="C395" s="699" t="n"/>
      <c r="D395" s="699" t="n"/>
      <c r="E395" s="699" t="n"/>
      <c r="F395" s="699" t="n"/>
      <c r="G395" s="699" t="n"/>
      <c r="H395" s="165" t="n"/>
      <c r="I395" s="699" t="n"/>
      <c r="J395" s="699" t="n"/>
      <c r="K395" s="699" t="n"/>
      <c r="L395" s="699" t="n"/>
      <c r="M395" s="165">
        <f t="array" ref="M395">M238/((M388+H388-H377-H379-M377-M379-M351-H351)/2)</f>
        <v/>
      </c>
      <c r="N395" s="699" t="n"/>
      <c r="O395" s="699" t="n"/>
      <c r="P395" s="699" t="n"/>
      <c r="Q395" s="699" t="n"/>
      <c r="R395" s="165">
        <f t="array" ref="R395">R238/((R388+M388-M377-M379-R377-R379-R351-M351)/2)</f>
        <v/>
      </c>
      <c r="S395" s="699" t="n"/>
      <c r="T395" s="699" t="n"/>
      <c r="U395" s="699" t="n"/>
      <c r="V395" s="699" t="n"/>
      <c r="W395" s="165">
        <f t="array" ref="W395">W238/((W388+R388-R377-R379-W377-W379-W351-R351)/2)</f>
        <v/>
      </c>
      <c r="X395" s="699" t="n"/>
      <c r="Y395" s="699" t="n"/>
      <c r="Z395" s="699" t="n"/>
      <c r="AA395" s="699" t="n"/>
      <c r="AB395" s="165">
        <f t="array" ref="AB395">AB238/((AB388+W388-W377-W379-AB377-AB379-AB351-W351)/2)</f>
        <v/>
      </c>
      <c r="AC395" s="699" t="n"/>
      <c r="AD395" s="699" t="n"/>
      <c r="AE395" s="699" t="n"/>
      <c r="AF395" s="699" t="n"/>
      <c r="AG395" s="165">
        <f t="array" ref="AG395">AG238/((AG388+AB388-AB377-AB379-AG377-AG379-AG351-AB351)/2)</f>
        <v/>
      </c>
      <c r="AH395" s="699" t="n"/>
      <c r="AI395" s="699" t="n"/>
      <c r="AJ395" s="699" t="n"/>
      <c r="AK395" s="699" t="n"/>
      <c r="AL395" s="165">
        <f t="array" ref="AL395">AL238/((AL388+AG388-AG377-AG379-AL377-AL379-AL351-AG351)/2)</f>
        <v/>
      </c>
      <c r="AM395" s="699" t="n"/>
      <c r="AN395" s="699" t="n"/>
      <c r="AO395" s="699" t="n"/>
      <c r="AP395" s="699" t="n"/>
      <c r="AQ395" s="165">
        <f t="array" ref="AQ395">AQ238/((AQ388+AL388-AL377-AL379-AQ377-AQ379-AQ351-AL351)/2)</f>
        <v/>
      </c>
      <c r="AR395" s="699" t="n"/>
      <c r="AS395" s="699" t="n"/>
      <c r="AT395" s="699" t="n"/>
      <c r="AU395" s="699" t="n"/>
      <c r="AV395" s="165">
        <f t="array" ref="AV395">AV238/((AV388+AQ388-AQ377-AQ379-AV377-AV379-AV351-AQ351)/2)</f>
        <v/>
      </c>
      <c r="AW395" s="456" t="n"/>
      <c r="AX395" s="701" t="n"/>
      <c r="AY395" s="701" t="n"/>
      <c r="AZ395" s="701" t="n"/>
      <c r="BA395" s="166">
        <f t="array" ref="BA395">BA238/((BA388+AV388-AV377-AV379-BA377-BA379-BA351-AV351)/2)</f>
        <v/>
      </c>
      <c r="BB395" s="456" t="n"/>
      <c r="BC395" s="701" t="n"/>
      <c r="BD395" s="701" t="n"/>
      <c r="BE395" s="701" t="n"/>
      <c r="BF395" s="166" t="n"/>
      <c r="BG395" s="699" t="n"/>
      <c r="BH395" s="699" t="n"/>
      <c r="BI395" s="699" t="n"/>
      <c r="BJ395" s="699" t="n"/>
      <c r="BK395" s="165" t="n"/>
      <c r="BL395" s="699" t="n"/>
      <c r="BM395" s="699" t="n"/>
      <c r="BN395" s="699" t="n"/>
      <c r="BO395" s="699" t="n"/>
      <c r="BP395" s="165" t="n"/>
      <c r="BQ395" s="699" t="n"/>
      <c r="BR395" s="699" t="n"/>
      <c r="BS395" s="699" t="n"/>
      <c r="BT395" s="699" t="n"/>
      <c r="BU395" s="165" t="n"/>
      <c r="BV395" s="699" t="n"/>
      <c r="BW395" s="699" t="n"/>
      <c r="BX395" s="699" t="n"/>
      <c r="BY395" s="699" t="n"/>
      <c r="BZ395" s="165" t="n"/>
      <c r="CA395" s="167" t="inlineStr">
        <is>
          <t>Text_338</t>
        </is>
      </c>
      <c r="CB395" s="98" t="n"/>
      <c r="CC395" s="701" t="n"/>
      <c r="CD395" s="701" t="n"/>
      <c r="CE395" s="701" t="n"/>
      <c r="CF395" s="701" t="n"/>
      <c r="CG395" s="701" t="n"/>
      <c r="CH395" s="701" t="n"/>
      <c r="CI395" s="701" t="n"/>
      <c r="CJ395" s="701" t="n"/>
      <c r="CK395" s="701" t="n"/>
      <c r="CL395" s="701" t="n"/>
      <c r="CM395" s="701" t="n"/>
      <c r="CN395" s="701" t="n"/>
      <c r="CO395" s="701" t="n"/>
      <c r="CP395" s="701" t="n"/>
      <c r="CQ395" s="701" t="n"/>
      <c r="CR395" s="701" t="n"/>
      <c r="CS395" s="701" t="n"/>
      <c r="CT395" s="701" t="n"/>
      <c r="CU395" s="701" t="n"/>
      <c r="CV395" s="701" t="n"/>
      <c r="CW395" s="30" t="n"/>
    </row>
    <row r="396" ht="12.75" customHeight="1" s="1676">
      <c r="A396" s="31" t="n"/>
      <c r="B396" s="270" t="inlineStr">
        <is>
          <t>Text_340</t>
        </is>
      </c>
      <c r="C396" s="699" t="n"/>
      <c r="D396" s="699" t="n"/>
      <c r="E396" s="699" t="n"/>
      <c r="F396" s="699" t="n"/>
      <c r="G396" s="699" t="n"/>
      <c r="H396" s="165" t="n"/>
      <c r="I396" s="699" t="n"/>
      <c r="J396" s="699" t="n"/>
      <c r="K396" s="699" t="n"/>
      <c r="L396" s="699" t="n"/>
      <c r="M396" s="165">
        <f t="array" ref="M396">(M238*(1-M252))/((M388+H388-H377-H379-M377-M379-M351-H351)/2)</f>
        <v/>
      </c>
      <c r="N396" s="699" t="n"/>
      <c r="O396" s="699" t="n"/>
      <c r="P396" s="699" t="n"/>
      <c r="Q396" s="699" t="n"/>
      <c r="R396" s="165">
        <f t="array" ref="R396">(R238*(1-R252))/((R388+M388-M377-M379-R377-R379-R351-M351)/2)</f>
        <v/>
      </c>
      <c r="S396" s="699" t="n"/>
      <c r="T396" s="699" t="n"/>
      <c r="U396" s="699" t="n"/>
      <c r="V396" s="699" t="n"/>
      <c r="W396" s="165">
        <f t="array" ref="W396">(W238*(1-W252))/((W388+R388-R377-R379-W377-W379-W351-R351)/2)</f>
        <v/>
      </c>
      <c r="X396" s="699" t="n"/>
      <c r="Y396" s="699" t="n"/>
      <c r="Z396" s="699" t="n"/>
      <c r="AA396" s="699" t="n"/>
      <c r="AB396" s="165">
        <f t="array" ref="AB396">(AB238*(1-AB252))/((AB388+W388-W377-W379-AB377-AB379-AB351-W351)/2)</f>
        <v/>
      </c>
      <c r="AC396" s="699" t="n"/>
      <c r="AD396" s="699" t="n"/>
      <c r="AE396" s="699" t="n"/>
      <c r="AF396" s="699" t="n"/>
      <c r="AG396" s="165">
        <f t="array" ref="AG396">(AG238*(1-AG252))/((AG388+AB388-AB377-AB379-AG377-AG379-AG351-AB351)/2)</f>
        <v/>
      </c>
      <c r="AH396" s="699" t="n"/>
      <c r="AI396" s="699" t="n"/>
      <c r="AJ396" s="699" t="n"/>
      <c r="AK396" s="699" t="n"/>
      <c r="AL396" s="165">
        <f t="array" ref="AL396">(AL238*(1-AL252))/((AL388+AG388-AG377-AG379-AL377-AL379-AL351-AG351)/2)</f>
        <v/>
      </c>
      <c r="AM396" s="699" t="n"/>
      <c r="AN396" s="699" t="n"/>
      <c r="AO396" s="699" t="n"/>
      <c r="AP396" s="699" t="n"/>
      <c r="AQ396" s="165">
        <f t="array" ref="AQ396">(AQ238*(1-AQ252))/((AQ388+AL388-AL377-AL379-AQ377-AQ379-AQ351-AL351)/2)</f>
        <v/>
      </c>
      <c r="AR396" s="699" t="n"/>
      <c r="AS396" s="699" t="n"/>
      <c r="AT396" s="699" t="n"/>
      <c r="AU396" s="699" t="n"/>
      <c r="AV396" s="165">
        <f t="array" ref="AV396">(AV238*(1-AV252))/((AV388+AQ388-AQ377-AQ379-AV377-AV379-AV351-AQ351)/2)</f>
        <v/>
      </c>
      <c r="AW396" s="456" t="n"/>
      <c r="AX396" s="701" t="n"/>
      <c r="AY396" s="701" t="n"/>
      <c r="AZ396" s="701" t="n"/>
      <c r="BA396" s="166">
        <f t="array" ref="BA396">(BA238*(1-BA252))/((BA388+AV388-AV377-AV379-BA377-BA379-BA351-AV351)/2)</f>
        <v/>
      </c>
      <c r="BB396" s="456" t="n"/>
      <c r="BC396" s="701" t="n"/>
      <c r="BD396" s="701" t="n"/>
      <c r="BE396" s="701" t="n"/>
      <c r="BF396" s="166" t="n"/>
      <c r="BG396" s="699" t="n"/>
      <c r="BH396" s="699" t="n"/>
      <c r="BI396" s="699" t="n"/>
      <c r="BJ396" s="699" t="n"/>
      <c r="BK396" s="165" t="n"/>
      <c r="BL396" s="699" t="n"/>
      <c r="BM396" s="699" t="n"/>
      <c r="BN396" s="699" t="n"/>
      <c r="BO396" s="699" t="n"/>
      <c r="BP396" s="165" t="n"/>
      <c r="BQ396" s="699" t="n"/>
      <c r="BR396" s="699" t="n"/>
      <c r="BS396" s="699" t="n"/>
      <c r="BT396" s="699" t="n"/>
      <c r="BU396" s="165" t="n"/>
      <c r="BV396" s="699" t="n"/>
      <c r="BW396" s="699" t="n"/>
      <c r="BX396" s="699" t="n"/>
      <c r="BY396" s="699" t="n"/>
      <c r="BZ396" s="165" t="n"/>
      <c r="CA396" s="167" t="inlineStr">
        <is>
          <t>Text_338</t>
        </is>
      </c>
      <c r="CB396" s="456" t="n"/>
      <c r="CC396" s="701" t="n"/>
      <c r="CD396" s="701" t="n"/>
      <c r="CE396" s="701" t="n"/>
      <c r="CF396" s="701" t="n"/>
      <c r="CG396" s="701" t="n"/>
      <c r="CH396" s="701" t="n"/>
      <c r="CI396" s="701" t="n"/>
      <c r="CJ396" s="701" t="n"/>
      <c r="CK396" s="701" t="n"/>
      <c r="CL396" s="701" t="n"/>
      <c r="CM396" s="701" t="n"/>
      <c r="CN396" s="701" t="n"/>
      <c r="CO396" s="701" t="n"/>
      <c r="CP396" s="701" t="n"/>
      <c r="CQ396" s="701" t="n"/>
      <c r="CR396" s="701" t="n"/>
      <c r="CS396" s="701" t="n"/>
      <c r="CT396" s="701" t="n"/>
      <c r="CU396" s="701" t="n"/>
      <c r="CV396" s="701" t="n"/>
      <c r="CW396" s="30" t="n"/>
    </row>
    <row r="397" ht="12.75" customHeight="1" s="1676">
      <c r="A397" s="31" t="n"/>
      <c r="B397" s="270" t="inlineStr">
        <is>
          <t>Text_341</t>
        </is>
      </c>
      <c r="C397" s="699" t="n"/>
      <c r="D397" s="699" t="n"/>
      <c r="E397" s="699" t="n"/>
      <c r="F397" s="699" t="n"/>
      <c r="G397" s="699" t="n"/>
      <c r="H397" s="165" t="n"/>
      <c r="I397" s="699" t="n"/>
      <c r="J397" s="699" t="n"/>
      <c r="K397" s="699" t="n"/>
      <c r="L397" s="699" t="n"/>
      <c r="M397" s="165">
        <f t="array" ref="M397">M256/((M387+H387)/2)</f>
        <v/>
      </c>
      <c r="N397" s="699" t="n"/>
      <c r="O397" s="699" t="n"/>
      <c r="P397" s="699" t="n"/>
      <c r="Q397" s="699" t="n"/>
      <c r="R397" s="165">
        <f t="array" ref="R397">R256/((R387+M387)/2)</f>
        <v/>
      </c>
      <c r="S397" s="699" t="n"/>
      <c r="T397" s="699" t="n"/>
      <c r="U397" s="699" t="n"/>
      <c r="V397" s="699" t="n"/>
      <c r="W397" s="165">
        <f t="array" ref="W397">W256/((W387+R387)/2)</f>
        <v/>
      </c>
      <c r="X397" s="699" t="n"/>
      <c r="Y397" s="699" t="n"/>
      <c r="Z397" s="699" t="n"/>
      <c r="AA397" s="699" t="n"/>
      <c r="AB397" s="165">
        <f t="array" ref="AB397">AB256/((AB387+W387)/2)</f>
        <v/>
      </c>
      <c r="AC397" s="699" t="n"/>
      <c r="AD397" s="699" t="n"/>
      <c r="AE397" s="699" t="n"/>
      <c r="AF397" s="699" t="n"/>
      <c r="AG397" s="165">
        <f t="array" ref="AG397">AG256/((AG387+AB387)/2)</f>
        <v/>
      </c>
      <c r="AH397" s="699" t="n"/>
      <c r="AI397" s="699" t="n"/>
      <c r="AJ397" s="699" t="n"/>
      <c r="AK397" s="699" t="n"/>
      <c r="AL397" s="165">
        <f t="array" ref="AL397">AL256/((AL387+AG387)/2)</f>
        <v/>
      </c>
      <c r="AM397" s="699" t="n"/>
      <c r="AN397" s="699" t="n"/>
      <c r="AO397" s="699" t="n"/>
      <c r="AP397" s="699" t="n"/>
      <c r="AQ397" s="165">
        <f t="array" ref="AQ397">AQ256/((AQ387+AL387)/2)</f>
        <v/>
      </c>
      <c r="AR397" s="699" t="n"/>
      <c r="AS397" s="699" t="n"/>
      <c r="AT397" s="699" t="n"/>
      <c r="AU397" s="699" t="n"/>
      <c r="AV397" s="165">
        <f t="array" ref="AV397">AV256/((AV387+AQ387)/2)</f>
        <v/>
      </c>
      <c r="AW397" s="456" t="n"/>
      <c r="AX397" s="701" t="n"/>
      <c r="AY397" s="701" t="n"/>
      <c r="AZ397" s="701" t="n"/>
      <c r="BA397" s="166">
        <f t="array" ref="BA397">BA256/((BA387+AV387)/2)</f>
        <v/>
      </c>
      <c r="BB397" s="456" t="n"/>
      <c r="BC397" s="701" t="n"/>
      <c r="BD397" s="701" t="n"/>
      <c r="BE397" s="701" t="n"/>
      <c r="BF397" s="166">
        <f t="array" ref="BF397">BF256/((BF387+BA387)/2)</f>
        <v/>
      </c>
      <c r="BG397" s="699" t="n"/>
      <c r="BH397" s="699" t="n"/>
      <c r="BI397" s="699" t="n"/>
      <c r="BJ397" s="699" t="n"/>
      <c r="BK397" s="165">
        <f t="array" ref="BK397">BK256/((BK387+BF387)/2)</f>
        <v/>
      </c>
      <c r="BL397" s="699" t="n"/>
      <c r="BM397" s="699" t="n"/>
      <c r="BN397" s="699" t="n"/>
      <c r="BO397" s="699" t="n"/>
      <c r="BP397" s="165">
        <f t="array" ref="BP397">BP256/((BP387+BK387)/2)</f>
        <v/>
      </c>
      <c r="BQ397" s="699" t="n"/>
      <c r="BR397" s="699" t="n"/>
      <c r="BS397" s="699" t="n"/>
      <c r="BT397" s="699" t="n"/>
      <c r="BU397" s="165">
        <f t="array" ref="BU397">BU256/((BU387+BP387)/2)</f>
        <v/>
      </c>
      <c r="BV397" s="699" t="n"/>
      <c r="BW397" s="699" t="n"/>
      <c r="BX397" s="699" t="n"/>
      <c r="BY397" s="699" t="n"/>
      <c r="BZ397" s="165">
        <f t="array" ref="BZ397">BZ256/((BZ387+BU387)/2)</f>
        <v/>
      </c>
      <c r="CA397" s="699" t="n"/>
      <c r="CB397" s="456" t="n"/>
      <c r="CC397" s="701" t="n"/>
      <c r="CD397" s="701" t="n"/>
      <c r="CE397" s="701" t="n"/>
      <c r="CF397" s="701" t="n"/>
      <c r="CG397" s="701" t="n"/>
      <c r="CH397" s="701" t="n"/>
      <c r="CI397" s="701" t="n"/>
      <c r="CJ397" s="701" t="n"/>
      <c r="CK397" s="701" t="n"/>
      <c r="CL397" s="701" t="n"/>
      <c r="CM397" s="701" t="n"/>
      <c r="CN397" s="701" t="n"/>
      <c r="CO397" s="701" t="n"/>
      <c r="CP397" s="701" t="n"/>
      <c r="CQ397" s="701" t="n"/>
      <c r="CR397" s="701" t="n"/>
      <c r="CS397" s="701" t="n"/>
      <c r="CT397" s="701" t="n"/>
      <c r="CU397" s="701" t="n"/>
      <c r="CV397" s="701" t="n"/>
      <c r="CW397" s="30" t="n"/>
    </row>
    <row r="398" ht="12.75" customHeight="1" s="1676">
      <c r="A398" s="31" t="n"/>
      <c r="B398" s="277" t="inlineStr">
        <is>
          <t>Text_342</t>
        </is>
      </c>
      <c r="C398" s="805" t="n"/>
      <c r="D398" s="805" t="n"/>
      <c r="E398" s="805" t="n"/>
      <c r="F398" s="805" t="n"/>
      <c r="G398" s="805" t="n"/>
      <c r="H398" s="562" t="n"/>
      <c r="I398" s="805" t="n"/>
      <c r="J398" s="805" t="n"/>
      <c r="K398" s="805" t="n"/>
      <c r="L398" s="805" t="n"/>
      <c r="M398" s="562">
        <f t="array" ref="M398">M256/((M388+H388)/2)</f>
        <v/>
      </c>
      <c r="N398" s="805" t="n"/>
      <c r="O398" s="805" t="n"/>
      <c r="P398" s="805" t="n"/>
      <c r="Q398" s="805" t="n"/>
      <c r="R398" s="562">
        <f t="array" ref="R398">R256/((R388+M388)/2)</f>
        <v/>
      </c>
      <c r="S398" s="805" t="n"/>
      <c r="T398" s="805" t="n"/>
      <c r="U398" s="805" t="n"/>
      <c r="V398" s="805" t="n"/>
      <c r="W398" s="562">
        <f t="array" ref="W398">W256/((W388+R388)/2)</f>
        <v/>
      </c>
      <c r="X398" s="805" t="n"/>
      <c r="Y398" s="805" t="n"/>
      <c r="Z398" s="805" t="n"/>
      <c r="AA398" s="805" t="n"/>
      <c r="AB398" s="562">
        <f t="array" ref="AB398">AB256/((AB388+W388)/2)</f>
        <v/>
      </c>
      <c r="AC398" s="805" t="n"/>
      <c r="AD398" s="805" t="n"/>
      <c r="AE398" s="805" t="n"/>
      <c r="AF398" s="805" t="n"/>
      <c r="AG398" s="562">
        <f t="array" ref="AG398">AG256/((AG388+AB388)/2)</f>
        <v/>
      </c>
      <c r="AH398" s="805" t="n"/>
      <c r="AI398" s="805" t="n"/>
      <c r="AJ398" s="805" t="n"/>
      <c r="AK398" s="805" t="n"/>
      <c r="AL398" s="562">
        <f t="array" ref="AL398">AL256/((AL388+AG388)/2)</f>
        <v/>
      </c>
      <c r="AM398" s="805" t="n"/>
      <c r="AN398" s="805" t="n"/>
      <c r="AO398" s="805" t="n"/>
      <c r="AP398" s="805" t="n"/>
      <c r="AQ398" s="562">
        <f t="array" ref="AQ398">AQ256/((AQ388+AL388)/2)</f>
        <v/>
      </c>
      <c r="AR398" s="805" t="n"/>
      <c r="AS398" s="805" t="n"/>
      <c r="AT398" s="805" t="n"/>
      <c r="AU398" s="805" t="n"/>
      <c r="AV398" s="562">
        <f t="array" ref="AV398">AV256/((AV388+AQ388)/2)</f>
        <v/>
      </c>
      <c r="AW398" s="501" t="n"/>
      <c r="AX398" s="179" t="n"/>
      <c r="AY398" s="179" t="n"/>
      <c r="AZ398" s="179" t="n"/>
      <c r="BA398" s="564">
        <f t="array" ref="BA398">BA256/((BA388+AV388)/2)</f>
        <v/>
      </c>
      <c r="BB398" s="501" t="n"/>
      <c r="BC398" s="179" t="n"/>
      <c r="BD398" s="179" t="n"/>
      <c r="BE398" s="179" t="n"/>
      <c r="BF398" s="564" t="n"/>
      <c r="BG398" s="805" t="n"/>
      <c r="BH398" s="805" t="n"/>
      <c r="BI398" s="805" t="n"/>
      <c r="BJ398" s="805" t="n"/>
      <c r="BK398" s="562" t="n"/>
      <c r="BL398" s="805" t="n"/>
      <c r="BM398" s="805" t="n"/>
      <c r="BN398" s="805" t="n"/>
      <c r="BO398" s="805" t="n"/>
      <c r="BP398" s="562" t="n"/>
      <c r="BQ398" s="805" t="n"/>
      <c r="BR398" s="805" t="n"/>
      <c r="BS398" s="805" t="n"/>
      <c r="BT398" s="805" t="n"/>
      <c r="BU398" s="562" t="n"/>
      <c r="BV398" s="805" t="n"/>
      <c r="BW398" s="805" t="n"/>
      <c r="BX398" s="805" t="n"/>
      <c r="BY398" s="805" t="n"/>
      <c r="BZ398" s="562" t="n"/>
      <c r="CA398" s="805" t="n"/>
      <c r="CB398" s="456" t="n"/>
      <c r="CC398" s="701" t="n"/>
      <c r="CD398" s="701" t="n"/>
      <c r="CE398" s="701" t="n"/>
      <c r="CF398" s="701" t="n"/>
      <c r="CG398" s="701" t="n"/>
      <c r="CH398" s="701" t="n"/>
      <c r="CI398" s="701" t="n"/>
      <c r="CJ398" s="701" t="n"/>
      <c r="CK398" s="701" t="n"/>
      <c r="CL398" s="701" t="n"/>
      <c r="CM398" s="701" t="n"/>
      <c r="CN398" s="701" t="n"/>
      <c r="CO398" s="701" t="n"/>
      <c r="CP398" s="701" t="n"/>
      <c r="CQ398" s="701" t="n"/>
      <c r="CR398" s="701" t="n"/>
      <c r="CS398" s="701" t="n"/>
      <c r="CT398" s="701" t="n"/>
      <c r="CU398" s="701" t="n"/>
      <c r="CV398" s="701" t="n"/>
      <c r="CW398" s="30" t="n"/>
    </row>
    <row r="399" ht="12.75" customHeight="1" s="1676">
      <c r="A399" s="74" t="n"/>
      <c r="B399" s="69" t="n"/>
      <c r="C399" s="69" t="n"/>
      <c r="D399" s="69" t="n"/>
      <c r="E399" s="69" t="n"/>
      <c r="F399" s="69" t="n"/>
      <c r="G399" s="69" t="n"/>
      <c r="H399" s="69" t="n"/>
      <c r="I399" s="69" t="n"/>
      <c r="J399" s="69" t="n"/>
      <c r="K399" s="69" t="n"/>
      <c r="L399" s="69" t="n"/>
      <c r="M399" s="69" t="n"/>
      <c r="N399" s="69" t="n"/>
      <c r="O399" s="69" t="n"/>
      <c r="P399" s="69" t="n"/>
      <c r="Q399" s="69" t="n"/>
      <c r="R399" s="69" t="n"/>
      <c r="S399" s="69" t="n"/>
      <c r="T399" s="69" t="n"/>
      <c r="U399" s="69" t="n"/>
      <c r="V399" s="69" t="n"/>
      <c r="W399" s="69" t="n"/>
      <c r="X399" s="69" t="n"/>
      <c r="Y399" s="69" t="n"/>
      <c r="Z399" s="69" t="n"/>
      <c r="AA399" s="69" t="n"/>
      <c r="AB399" s="69" t="n"/>
      <c r="AC399" s="69" t="n"/>
      <c r="AD399" s="69" t="n"/>
      <c r="AE399" s="69" t="n"/>
      <c r="AF399" s="69" t="n"/>
      <c r="AG399" s="69" t="n"/>
      <c r="AH399" s="69" t="n"/>
      <c r="AI399" s="69" t="n"/>
      <c r="AJ399" s="69" t="n"/>
      <c r="AK399" s="69" t="n"/>
      <c r="AL399" s="69" t="n"/>
      <c r="AM399" s="69" t="n"/>
      <c r="AN399" s="69" t="n"/>
      <c r="AO399" s="69" t="n"/>
      <c r="AP399" s="69" t="n"/>
      <c r="AQ399" s="73" t="n"/>
      <c r="AR399" s="66" t="n"/>
      <c r="AS399" s="66" t="n"/>
      <c r="AT399" s="66" t="n"/>
      <c r="AU399" s="66" t="n"/>
      <c r="AV399" s="72" t="n"/>
      <c r="AW399" s="69" t="n"/>
      <c r="AX399" s="69" t="n"/>
      <c r="AY399" s="69" t="n"/>
      <c r="AZ399" s="69" t="n"/>
      <c r="BA399" s="69" t="n"/>
      <c r="BB399" s="69" t="n"/>
      <c r="BC399" s="69" t="n"/>
      <c r="BD399" s="69" t="n"/>
      <c r="BE399" s="69" t="n"/>
      <c r="BF399" s="69" t="n"/>
      <c r="BG399" s="69" t="n"/>
      <c r="BH399" s="69" t="n"/>
      <c r="BI399" s="69" t="n"/>
      <c r="BJ399" s="69" t="n"/>
      <c r="BK399" s="69" t="n"/>
      <c r="BL399" s="69" t="n"/>
      <c r="BM399" s="69" t="n"/>
      <c r="BN399" s="69" t="n"/>
      <c r="BO399" s="69" t="n"/>
      <c r="BP399" s="69" t="n"/>
      <c r="BQ399" s="69" t="n"/>
      <c r="BR399" s="69" t="n"/>
      <c r="BS399" s="69" t="n"/>
      <c r="BT399" s="69" t="n"/>
      <c r="BU399" s="69" t="n"/>
      <c r="BV399" s="69" t="n"/>
      <c r="BW399" s="69" t="n"/>
      <c r="BX399" s="69" t="n"/>
      <c r="BY399" s="69" t="n"/>
      <c r="BZ399" s="69" t="n"/>
      <c r="CA399" s="69" t="n"/>
      <c r="CB399" s="701" t="n"/>
      <c r="CC399" s="701" t="n"/>
      <c r="CD399" s="701" t="n"/>
      <c r="CE399" s="701" t="n"/>
      <c r="CF399" s="701" t="n"/>
      <c r="CG399" s="701" t="n"/>
      <c r="CH399" s="701" t="n"/>
      <c r="CI399" s="701" t="n"/>
      <c r="CJ399" s="701" t="n"/>
      <c r="CK399" s="701" t="n"/>
      <c r="CL399" s="701" t="n"/>
      <c r="CM399" s="701" t="n"/>
      <c r="CN399" s="701" t="n"/>
      <c r="CO399" s="701" t="n"/>
      <c r="CP399" s="701" t="n"/>
      <c r="CQ399" s="701" t="n"/>
      <c r="CR399" s="701" t="n"/>
      <c r="CS399" s="701" t="n"/>
      <c r="CT399" s="701" t="n"/>
      <c r="CU399" s="701" t="n"/>
      <c r="CV399" s="701" t="n"/>
      <c r="CW399" s="30" t="n"/>
    </row>
    <row r="400" ht="12.75" customHeight="1" s="1676">
      <c r="A400" s="31" t="n"/>
      <c r="B400" s="76" t="inlineStr">
        <is>
          <t>Text_343</t>
        </is>
      </c>
      <c r="C400" s="66" t="n"/>
      <c r="D400" s="1692" t="n"/>
      <c r="E400" s="1692" t="n"/>
      <c r="F400" s="1692" t="n"/>
      <c r="G400" s="1692" t="n"/>
      <c r="H400" s="1692" t="n"/>
      <c r="I400" s="1692" t="n"/>
      <c r="J400" s="1692" t="n"/>
      <c r="K400" s="1692" t="n"/>
      <c r="L400" s="1692" t="n"/>
      <c r="M400" s="1692" t="n"/>
      <c r="N400" s="1692" t="n"/>
      <c r="O400" s="1692" t="n"/>
      <c r="P400" s="1692" t="n"/>
      <c r="Q400" s="1692" t="n"/>
      <c r="R400" s="1692" t="n"/>
      <c r="S400" s="1692" t="n"/>
      <c r="T400" s="1692" t="n"/>
      <c r="U400" s="1692" t="n"/>
      <c r="V400" s="1692" t="n"/>
      <c r="W400" s="1692" t="n"/>
      <c r="X400" s="1692" t="n"/>
      <c r="Y400" s="1692" t="n"/>
      <c r="Z400" s="1692" t="n"/>
      <c r="AA400" s="1692" t="n"/>
      <c r="AB400" s="1692" t="n"/>
      <c r="AC400" s="1692" t="n"/>
      <c r="AD400" s="1692" t="n"/>
      <c r="AE400" s="1692" t="n"/>
      <c r="AF400" s="1692" t="n"/>
      <c r="AG400" s="1692" t="n"/>
      <c r="AH400" s="1692" t="n"/>
      <c r="AI400" s="1692" t="n"/>
      <c r="AJ400" s="1692" t="n"/>
      <c r="AK400" s="1692" t="n"/>
      <c r="AL400" s="1692" t="n"/>
      <c r="AM400" s="1692" t="n"/>
      <c r="AN400" s="1692" t="n"/>
      <c r="AO400" s="1692" t="n"/>
      <c r="AP400" s="1692" t="n"/>
      <c r="AQ400" s="1692" t="n"/>
      <c r="AR400" s="1692" t="n"/>
      <c r="AS400" s="1692" t="n"/>
      <c r="AT400" s="1692" t="n"/>
      <c r="AU400" s="1692" t="n"/>
      <c r="AV400" s="1692" t="n"/>
      <c r="AW400" s="1692" t="n"/>
      <c r="AX400" s="1692" t="n"/>
      <c r="AY400" s="1692" t="n"/>
      <c r="AZ400" s="1692" t="n"/>
      <c r="BA400" s="1692" t="n"/>
      <c r="BB400" s="1692" t="n"/>
      <c r="BC400" s="1692" t="n"/>
      <c r="BD400" s="1692" t="n"/>
      <c r="BE400" s="1692" t="n"/>
      <c r="BF400" s="1692" t="n"/>
      <c r="BG400" s="1692" t="n"/>
      <c r="BH400" s="1692" t="n"/>
      <c r="BI400" s="1692" t="n"/>
      <c r="BJ400" s="1692" t="n"/>
      <c r="BK400" s="1692" t="n"/>
      <c r="BL400" s="1692" t="n"/>
      <c r="BM400" s="1692" t="n"/>
      <c r="BN400" s="1692" t="n"/>
      <c r="BO400" s="1692" t="n"/>
      <c r="BP400" s="1692" t="n"/>
      <c r="BQ400" s="1692" t="n"/>
      <c r="BR400" s="1692" t="n"/>
      <c r="BS400" s="1692" t="n"/>
      <c r="BT400" s="1692" t="n"/>
      <c r="BU400" s="1692" t="n"/>
      <c r="BV400" s="1692" t="n"/>
      <c r="BW400" s="1692" t="n"/>
      <c r="BX400" s="1692" t="n"/>
      <c r="BY400" s="1692" t="n"/>
      <c r="BZ400" s="1692" t="n"/>
      <c r="CA400" s="1692" t="n"/>
      <c r="CB400" s="456" t="n"/>
      <c r="CC400" s="701" t="n"/>
      <c r="CD400" s="701" t="n"/>
      <c r="CE400" s="701" t="n"/>
      <c r="CF400" s="701" t="n"/>
      <c r="CG400" s="701" t="n"/>
      <c r="CH400" s="701" t="n"/>
      <c r="CI400" s="701" t="n"/>
      <c r="CJ400" s="701" t="n"/>
      <c r="CK400" s="701" t="n"/>
      <c r="CL400" s="701" t="n"/>
      <c r="CM400" s="701" t="n"/>
      <c r="CN400" s="701" t="n"/>
      <c r="CO400" s="701" t="n"/>
      <c r="CP400" s="701" t="n"/>
      <c r="CQ400" s="701" t="n"/>
      <c r="CR400" s="701" t="n"/>
      <c r="CS400" s="701" t="n"/>
      <c r="CT400" s="701" t="n"/>
      <c r="CU400" s="701" t="n"/>
      <c r="CV400" s="701" t="n"/>
      <c r="CW400" s="30" t="n"/>
    </row>
    <row r="401" ht="12.75" customHeight="1" s="1676">
      <c r="A401" s="31" t="n"/>
      <c r="B401" s="250" t="inlineStr">
        <is>
          <t>Text_344</t>
        </is>
      </c>
      <c r="C401" s="66" t="n"/>
      <c r="D401" s="819" t="n"/>
      <c r="E401" s="819" t="n"/>
      <c r="F401" s="819" t="n"/>
      <c r="G401" s="819" t="n"/>
      <c r="H401" s="820" t="n"/>
      <c r="I401" s="819" t="n"/>
      <c r="J401" s="819" t="n"/>
      <c r="K401" s="819" t="n"/>
      <c r="L401" s="819" t="n"/>
      <c r="M401" s="820" t="n">
        <v>0</v>
      </c>
      <c r="N401" s="819" t="n"/>
      <c r="O401" s="819" t="n"/>
      <c r="P401" s="819" t="n"/>
      <c r="Q401" s="819" t="n"/>
      <c r="R401" s="820" t="n">
        <v>0</v>
      </c>
      <c r="S401" s="819" t="n"/>
      <c r="T401" s="819" t="n"/>
      <c r="U401" s="819" t="n"/>
      <c r="V401" s="819" t="n"/>
      <c r="W401" s="820" t="n">
        <v>0</v>
      </c>
      <c r="X401" s="819" t="n"/>
      <c r="Y401" s="819" t="n"/>
      <c r="Z401" s="819" t="n"/>
      <c r="AA401" s="819" t="n"/>
      <c r="AB401" s="820" t="n">
        <v>0</v>
      </c>
      <c r="AC401" s="819" t="n"/>
      <c r="AD401" s="819" t="n"/>
      <c r="AE401" s="819" t="n"/>
      <c r="AF401" s="819" t="n"/>
      <c r="AG401" s="820" t="n">
        <v>0</v>
      </c>
      <c r="AH401" s="819" t="n"/>
      <c r="AI401" s="819" t="n"/>
      <c r="AJ401" s="819" t="n"/>
      <c r="AK401" s="819" t="n"/>
      <c r="AL401" s="820" t="n">
        <v>0</v>
      </c>
      <c r="AM401" s="819" t="n"/>
      <c r="AN401" s="819" t="n"/>
      <c r="AO401" s="819" t="n"/>
      <c r="AP401" s="819" t="n"/>
      <c r="AQ401" s="820" t="n">
        <v>0</v>
      </c>
      <c r="AR401" s="819" t="n"/>
      <c r="AS401" s="819" t="n"/>
      <c r="AT401" s="819" t="n"/>
      <c r="AU401" s="819" t="n"/>
      <c r="AV401" s="820" t="n">
        <v>0</v>
      </c>
      <c r="AW401" s="821" t="n"/>
      <c r="AX401" s="822" t="n"/>
      <c r="AY401" s="822" t="n"/>
      <c r="AZ401" s="822" t="n"/>
      <c r="BA401" s="823" t="n">
        <v>0</v>
      </c>
      <c r="BB401" s="821" t="n"/>
      <c r="BC401" s="822" t="n"/>
      <c r="BD401" s="822" t="n"/>
      <c r="BE401" s="824" t="n"/>
      <c r="BF401" s="825">
        <f t="array" ref="BF401">$CA$4</f>
        <v/>
      </c>
      <c r="BG401" s="819" t="n"/>
      <c r="BH401" s="819" t="n"/>
      <c r="BI401" s="819" t="n"/>
      <c r="BJ401" s="819" t="n"/>
      <c r="BK401" s="825">
        <f t="array" ref="BK401">$CA$4</f>
        <v/>
      </c>
      <c r="BL401" s="819" t="n"/>
      <c r="BM401" s="819" t="n"/>
      <c r="BN401" s="819" t="n"/>
      <c r="BO401" s="819" t="n"/>
      <c r="BP401" s="825">
        <f t="array" ref="BP401">$CA$4</f>
        <v/>
      </c>
      <c r="BQ401" s="819" t="n"/>
      <c r="BR401" s="819" t="n"/>
      <c r="BS401" s="819" t="n"/>
      <c r="BT401" s="819" t="n"/>
      <c r="BU401" s="825">
        <f t="array" ref="BU401">$CA$4</f>
        <v/>
      </c>
      <c r="BV401" s="819" t="n"/>
      <c r="BW401" s="819" t="n"/>
      <c r="BX401" s="819" t="n"/>
      <c r="BY401" s="819" t="n"/>
      <c r="BZ401" s="825">
        <f t="array" ref="BZ401">$CA$4</f>
        <v/>
      </c>
      <c r="CA401" s="66" t="n"/>
      <c r="CB401" s="456" t="n"/>
      <c r="CC401" s="701" t="n"/>
      <c r="CD401" s="701" t="n"/>
      <c r="CE401" s="701" t="n"/>
      <c r="CF401" s="701" t="n"/>
      <c r="CG401" s="701" t="n"/>
      <c r="CH401" s="701" t="n"/>
      <c r="CI401" s="701" t="n"/>
      <c r="CJ401" s="701" t="n"/>
      <c r="CK401" s="701" t="n"/>
      <c r="CL401" s="701" t="n"/>
      <c r="CM401" s="701" t="n"/>
      <c r="CN401" s="701" t="n"/>
      <c r="CO401" s="701" t="n"/>
      <c r="CP401" s="701" t="n"/>
      <c r="CQ401" s="701" t="n"/>
      <c r="CR401" s="701" t="n"/>
      <c r="CS401" s="701" t="n"/>
      <c r="CT401" s="701" t="n"/>
      <c r="CU401" s="701" t="n"/>
      <c r="CV401" s="701" t="n"/>
      <c r="CW401" s="30" t="n"/>
    </row>
    <row r="402" ht="12.75" customHeight="1" s="1676">
      <c r="A402" s="31" t="n"/>
      <c r="B402" s="65" t="inlineStr">
        <is>
          <t>Text_345</t>
        </is>
      </c>
      <c r="C402" s="66" t="n"/>
      <c r="D402" s="1708" t="n"/>
      <c r="E402" s="1708" t="n"/>
      <c r="F402" s="1708" t="n"/>
      <c r="G402" s="1708" t="n"/>
      <c r="H402" s="1708" t="n"/>
      <c r="I402" s="1708" t="n"/>
      <c r="J402" s="1708" t="n"/>
      <c r="K402" s="1708" t="n"/>
      <c r="L402" s="1708" t="n"/>
      <c r="M402" s="1708">
        <f t="array" ref="M402">M401*M269</f>
        <v/>
      </c>
      <c r="N402" s="1708" t="n"/>
      <c r="O402" s="1708" t="n"/>
      <c r="P402" s="1708" t="n"/>
      <c r="Q402" s="1708" t="n"/>
      <c r="R402" s="1708">
        <f t="array" ref="R402">R401*R269</f>
        <v/>
      </c>
      <c r="S402" s="1708" t="n"/>
      <c r="T402" s="1708" t="n"/>
      <c r="U402" s="1708" t="n"/>
      <c r="V402" s="1708" t="n"/>
      <c r="W402" s="1708">
        <f t="array" ref="W402">W401*W269</f>
        <v/>
      </c>
      <c r="X402" s="1708" t="n"/>
      <c r="Y402" s="1708" t="n"/>
      <c r="Z402" s="1708" t="n"/>
      <c r="AA402" s="1708" t="n"/>
      <c r="AB402" s="1708">
        <f t="array" ref="AB402">AB401*AB269</f>
        <v/>
      </c>
      <c r="AC402" s="1708" t="n"/>
      <c r="AD402" s="1708" t="n"/>
      <c r="AE402" s="1708" t="n"/>
      <c r="AF402" s="1708" t="n"/>
      <c r="AG402" s="1708">
        <f t="array" ref="AG402">AG401*AG269</f>
        <v/>
      </c>
      <c r="AH402" s="1708" t="n"/>
      <c r="AI402" s="1708" t="n"/>
      <c r="AJ402" s="1708" t="n"/>
      <c r="AK402" s="1708" t="n"/>
      <c r="AL402" s="1708">
        <f t="array" ref="AL402">AL401*AL269</f>
        <v/>
      </c>
      <c r="AM402" s="1708" t="n"/>
      <c r="AN402" s="1708" t="n"/>
      <c r="AO402" s="1708" t="n"/>
      <c r="AP402" s="1708" t="n"/>
      <c r="AQ402" s="1708">
        <f t="array" ref="AQ402">AQ401*AQ269</f>
        <v/>
      </c>
      <c r="AR402" s="1708" t="n"/>
      <c r="AS402" s="1708" t="n"/>
      <c r="AT402" s="1708" t="n"/>
      <c r="AU402" s="1708" t="n"/>
      <c r="AV402" s="1708">
        <f t="array" ref="AV402">AV401*AV269</f>
        <v/>
      </c>
      <c r="AW402" s="2154" t="n"/>
      <c r="AX402" s="2155" t="n"/>
      <c r="AY402" s="2155" t="n"/>
      <c r="AZ402" s="2155" t="n"/>
      <c r="BA402" s="2156">
        <f t="array" ref="BA402">BA401*BA269</f>
        <v/>
      </c>
      <c r="BB402" s="2154" t="n"/>
      <c r="BC402" s="2155" t="n"/>
      <c r="BD402" s="2155" t="n"/>
      <c r="BE402" s="2155" t="n"/>
      <c r="BF402" s="2156">
        <f t="array" ref="BF402">BF401*BF269</f>
        <v/>
      </c>
      <c r="BG402" s="1708" t="n"/>
      <c r="BH402" s="1708" t="n"/>
      <c r="BI402" s="1708" t="n"/>
      <c r="BJ402" s="1708" t="n"/>
      <c r="BK402" s="1708">
        <f t="array" ref="BK402">BK401*BK269</f>
        <v/>
      </c>
      <c r="BL402" s="1708" t="n"/>
      <c r="BM402" s="1708" t="n"/>
      <c r="BN402" s="1708" t="n"/>
      <c r="BO402" s="1708" t="n"/>
      <c r="BP402" s="1708">
        <f t="array" ref="BP402">BP401*BP269</f>
        <v/>
      </c>
      <c r="BQ402" s="1708" t="n"/>
      <c r="BR402" s="1708" t="n"/>
      <c r="BS402" s="1708" t="n"/>
      <c r="BT402" s="1708" t="n"/>
      <c r="BU402" s="1708">
        <f t="array" ref="BU402">BU401*BU269</f>
        <v/>
      </c>
      <c r="BV402" s="1708" t="n"/>
      <c r="BW402" s="1708" t="n"/>
      <c r="BX402" s="1708" t="n"/>
      <c r="BY402" s="1708" t="n"/>
      <c r="BZ402" s="1708">
        <f t="array" ref="BZ402">BZ401*BZ269</f>
        <v/>
      </c>
      <c r="CA402" s="66" t="n"/>
      <c r="CB402" s="456" t="n"/>
      <c r="CC402" s="701" t="n"/>
      <c r="CD402" s="701" t="n"/>
      <c r="CE402" s="701" t="n"/>
      <c r="CF402" s="701" t="n"/>
      <c r="CG402" s="701" t="n"/>
      <c r="CH402" s="701" t="n"/>
      <c r="CI402" s="701" t="n"/>
      <c r="CJ402" s="701" t="n"/>
      <c r="CK402" s="701" t="n"/>
      <c r="CL402" s="701" t="n"/>
      <c r="CM402" s="701" t="n"/>
      <c r="CN402" s="701" t="n"/>
      <c r="CO402" s="701" t="n"/>
      <c r="CP402" s="701" t="n"/>
      <c r="CQ402" s="701" t="n"/>
      <c r="CR402" s="701" t="n"/>
      <c r="CS402" s="701" t="n"/>
      <c r="CT402" s="701" t="n"/>
      <c r="CU402" s="701" t="n"/>
      <c r="CV402" s="701" t="n"/>
      <c r="CW402" s="30" t="n"/>
    </row>
    <row r="403" hidden="1" ht="12.75" customHeight="1" s="1676">
      <c r="A403" s="31" t="n"/>
      <c r="B403" s="65" t="inlineStr">
        <is>
          <t>Text_346</t>
        </is>
      </c>
      <c r="C403" s="66" t="n"/>
      <c r="D403" s="1734" t="n"/>
      <c r="E403" s="1734" t="n"/>
      <c r="F403" s="1734" t="n"/>
      <c r="G403" s="1734" t="n"/>
      <c r="H403" s="1734" t="n"/>
      <c r="I403" s="1734" t="n"/>
      <c r="J403" s="1734" t="n"/>
      <c r="K403" s="1734" t="n"/>
      <c r="L403" s="1734" t="n"/>
      <c r="M403" s="1734">
        <f t="array" ref="M403">-M355</f>
        <v/>
      </c>
      <c r="N403" s="1734" t="n"/>
      <c r="O403" s="1734" t="n"/>
      <c r="P403" s="1734" t="n"/>
      <c r="Q403" s="1734" t="n"/>
      <c r="R403" s="1734">
        <f t="array" ref="R403">-R355</f>
        <v/>
      </c>
      <c r="S403" s="66" t="n"/>
      <c r="T403" s="66" t="n"/>
      <c r="U403" s="66" t="n"/>
      <c r="V403" s="66" t="n"/>
      <c r="W403" s="1734">
        <f t="array" ref="W403">-W355</f>
        <v/>
      </c>
      <c r="X403" s="66" t="n"/>
      <c r="Y403" s="66" t="n"/>
      <c r="Z403" s="66" t="n"/>
      <c r="AA403" s="66" t="n"/>
      <c r="AB403" s="1734">
        <f t="array" ref="AB403">-AB355</f>
        <v/>
      </c>
      <c r="AC403" s="1734" t="n"/>
      <c r="AD403" s="1734" t="n"/>
      <c r="AE403" s="1734" t="n"/>
      <c r="AF403" s="1734" t="n"/>
      <c r="AG403" s="1734">
        <f t="array" ref="AG403">-AG355</f>
        <v/>
      </c>
      <c r="AH403" s="1734" t="n"/>
      <c r="AI403" s="1734" t="n"/>
      <c r="AJ403" s="1734" t="n"/>
      <c r="AK403" s="1734" t="n"/>
      <c r="AL403" s="1734">
        <f t="array" ref="AL403">-AL355</f>
        <v/>
      </c>
      <c r="AM403" s="66" t="n"/>
      <c r="AN403" s="66" t="n"/>
      <c r="AO403" s="66" t="n"/>
      <c r="AP403" s="66" t="n"/>
      <c r="AQ403" s="1734">
        <f t="array" ref="AQ403">-AQ355</f>
        <v/>
      </c>
      <c r="AR403" s="66" t="n"/>
      <c r="AS403" s="66" t="n"/>
      <c r="AT403" s="66" t="n"/>
      <c r="AU403" s="66" t="n"/>
      <c r="AV403" s="1734">
        <f t="array" ref="AV403">-AV355</f>
        <v/>
      </c>
      <c r="AW403" s="72" t="n"/>
      <c r="AX403" s="69" t="n"/>
      <c r="AY403" s="69" t="n"/>
      <c r="AZ403" s="69" t="n"/>
      <c r="BA403" s="1733">
        <f t="array" ref="BA403">-BA355</f>
        <v/>
      </c>
      <c r="BB403" s="72" t="n"/>
      <c r="BC403" s="69" t="n"/>
      <c r="BD403" s="69" t="n"/>
      <c r="BE403" s="69" t="n"/>
      <c r="BF403" s="1733">
        <f t="array" ref="BF403">-BF355</f>
        <v/>
      </c>
      <c r="BG403" s="66" t="n"/>
      <c r="BH403" s="66" t="n"/>
      <c r="BI403" s="66" t="n"/>
      <c r="BJ403" s="66" t="n"/>
      <c r="BK403" s="1734">
        <f t="array" ref="BK403">-BK355</f>
        <v/>
      </c>
      <c r="BL403" s="66" t="n"/>
      <c r="BM403" s="66" t="n"/>
      <c r="BN403" s="66" t="n"/>
      <c r="BO403" s="66" t="n"/>
      <c r="BP403" s="1734">
        <f t="array" ref="BP403">-BP355</f>
        <v/>
      </c>
      <c r="BQ403" s="66" t="n"/>
      <c r="BR403" s="66" t="n"/>
      <c r="BS403" s="66" t="n"/>
      <c r="BT403" s="66" t="n"/>
      <c r="BU403" s="1734">
        <f t="array" ref="BU403">-BU355</f>
        <v/>
      </c>
      <c r="BV403" s="66" t="n"/>
      <c r="BW403" s="66" t="n"/>
      <c r="BX403" s="66" t="n"/>
      <c r="BY403" s="66" t="n"/>
      <c r="BZ403" s="1734">
        <f t="array" ref="BZ403">-BZ355</f>
        <v/>
      </c>
      <c r="CA403" s="66" t="n"/>
      <c r="CB403" s="672" t="n"/>
      <c r="CC403" s="701" t="n"/>
      <c r="CD403" s="701" t="n"/>
      <c r="CE403" s="701" t="n"/>
      <c r="CF403" s="701" t="n"/>
      <c r="CG403" s="701" t="n"/>
      <c r="CH403" s="701" t="n"/>
      <c r="CI403" s="701" t="n"/>
      <c r="CJ403" s="701" t="n"/>
      <c r="CK403" s="701" t="n"/>
      <c r="CL403" s="701" t="n"/>
      <c r="CM403" s="701" t="n"/>
      <c r="CN403" s="701" t="n"/>
      <c r="CO403" s="701" t="n"/>
      <c r="CP403" s="701" t="n"/>
      <c r="CQ403" s="701" t="n"/>
      <c r="CR403" s="701" t="n"/>
      <c r="CS403" s="701" t="n"/>
      <c r="CT403" s="701" t="n"/>
      <c r="CU403" s="701" t="n"/>
      <c r="CV403" s="701" t="n"/>
      <c r="CW403" s="30" t="n"/>
    </row>
    <row r="404" hidden="1" ht="12.75" customHeight="1" s="1676">
      <c r="A404" s="31" t="n"/>
      <c r="B404" s="65" t="inlineStr">
        <is>
          <t>Text_347</t>
        </is>
      </c>
      <c r="C404" s="66" t="n"/>
      <c r="D404" s="1708" t="n"/>
      <c r="E404" s="1708" t="n"/>
      <c r="F404" s="1708" t="n"/>
      <c r="G404" s="1708" t="n"/>
      <c r="H404" s="1708" t="n"/>
      <c r="I404" s="1708" t="n"/>
      <c r="J404" s="1708" t="n"/>
      <c r="K404" s="1708" t="n"/>
      <c r="L404" s="1708" t="n"/>
      <c r="M404" s="1734">
        <f t="array" ref="M404">M386</f>
        <v/>
      </c>
      <c r="N404" s="1708" t="n"/>
      <c r="O404" s="1708" t="n"/>
      <c r="P404" s="1708" t="n"/>
      <c r="Q404" s="1708" t="n"/>
      <c r="R404" s="1734">
        <f t="array" ref="R404">R386</f>
        <v/>
      </c>
      <c r="S404" s="1734" t="n"/>
      <c r="T404" s="1734" t="n"/>
      <c r="U404" s="1734" t="n"/>
      <c r="V404" s="1734" t="n"/>
      <c r="W404" s="1734">
        <f t="array" ref="W404">-W386</f>
        <v/>
      </c>
      <c r="X404" s="1708" t="n"/>
      <c r="Y404" s="1708" t="n"/>
      <c r="Z404" s="1708" t="n"/>
      <c r="AA404" s="1708" t="n"/>
      <c r="AB404" s="1734">
        <f t="array" ref="AB404">-AB386</f>
        <v/>
      </c>
      <c r="AC404" s="1734" t="n"/>
      <c r="AD404" s="1734" t="n"/>
      <c r="AE404" s="1734" t="n"/>
      <c r="AF404" s="1734" t="n"/>
      <c r="AG404" s="1734">
        <f t="array" ref="AG404">-AG386</f>
        <v/>
      </c>
      <c r="AH404" s="1734" t="n"/>
      <c r="AI404" s="1734" t="n"/>
      <c r="AJ404" s="1734" t="n"/>
      <c r="AK404" s="1734" t="n"/>
      <c r="AL404" s="1734">
        <f t="array" ref="AL404">-AL386</f>
        <v/>
      </c>
      <c r="AM404" s="1734" t="n"/>
      <c r="AN404" s="1734" t="n"/>
      <c r="AO404" s="1734" t="n"/>
      <c r="AP404" s="1734" t="n"/>
      <c r="AQ404" s="1734">
        <f t="array" ref="AQ404">-AQ386</f>
        <v/>
      </c>
      <c r="AR404" s="1708" t="n"/>
      <c r="AS404" s="1708" t="n"/>
      <c r="AT404" s="1708" t="n"/>
      <c r="AU404" s="1708" t="n"/>
      <c r="AV404" s="1734">
        <f t="array" ref="AV404">-AV386</f>
        <v/>
      </c>
      <c r="AW404" s="2079" t="n"/>
      <c r="AX404" s="1964" t="n"/>
      <c r="AY404" s="1964" t="n"/>
      <c r="AZ404" s="1964" t="n"/>
      <c r="BA404" s="1733">
        <f t="array" ref="BA404">-BA386</f>
        <v/>
      </c>
      <c r="BB404" s="2079" t="n"/>
      <c r="BC404" s="1964" t="n"/>
      <c r="BD404" s="1964" t="n"/>
      <c r="BE404" s="1964" t="n"/>
      <c r="BF404" s="1733">
        <f t="array" ref="BF404">-BF386</f>
        <v/>
      </c>
      <c r="BG404" s="1734" t="n"/>
      <c r="BH404" s="1734" t="n"/>
      <c r="BI404" s="1734" t="n"/>
      <c r="BJ404" s="1734" t="n"/>
      <c r="BK404" s="1734">
        <f t="array" ref="BK404">-BK386</f>
        <v/>
      </c>
      <c r="BL404" s="1734" t="n"/>
      <c r="BM404" s="1734" t="n"/>
      <c r="BN404" s="1734" t="n"/>
      <c r="BO404" s="1734" t="n"/>
      <c r="BP404" s="1734">
        <f t="array" ref="BP404">-BP386</f>
        <v/>
      </c>
      <c r="BQ404" s="1734" t="n"/>
      <c r="BR404" s="1734" t="n"/>
      <c r="BS404" s="1734" t="n"/>
      <c r="BT404" s="1734" t="n"/>
      <c r="BU404" s="1734">
        <f t="array" ref="BU404">-BU386</f>
        <v/>
      </c>
      <c r="BV404" s="1734" t="n"/>
      <c r="BW404" s="1734" t="n"/>
      <c r="BX404" s="1734" t="n"/>
      <c r="BY404" s="1734" t="n"/>
      <c r="BZ404" s="1734">
        <f t="array" ref="BZ404">-BZ386</f>
        <v/>
      </c>
      <c r="CA404" s="66" t="n"/>
      <c r="CB404" s="672" t="n"/>
      <c r="CC404" s="701" t="n"/>
      <c r="CD404" s="701" t="n"/>
      <c r="CE404" s="701" t="n"/>
      <c r="CF404" s="701" t="n"/>
      <c r="CG404" s="701" t="n"/>
      <c r="CH404" s="701" t="n"/>
      <c r="CI404" s="701" t="n"/>
      <c r="CJ404" s="701" t="n"/>
      <c r="CK404" s="701" t="n"/>
      <c r="CL404" s="701" t="n"/>
      <c r="CM404" s="701" t="n"/>
      <c r="CN404" s="701" t="n"/>
      <c r="CO404" s="701" t="n"/>
      <c r="CP404" s="701" t="n"/>
      <c r="CQ404" s="701" t="n"/>
      <c r="CR404" s="701" t="n"/>
      <c r="CS404" s="701" t="n"/>
      <c r="CT404" s="701" t="n"/>
      <c r="CU404" s="701" t="n"/>
      <c r="CV404" s="701" t="n"/>
      <c r="CW404" s="30" t="n"/>
    </row>
    <row r="405" hidden="1" ht="12.75" customHeight="1" s="1676">
      <c r="A405" s="31" t="n"/>
      <c r="B405" s="65" t="inlineStr">
        <is>
          <t>Text_348</t>
        </is>
      </c>
      <c r="C405" s="66" t="n"/>
      <c r="D405" s="1708" t="n"/>
      <c r="E405" s="1708" t="n"/>
      <c r="F405" s="1708" t="n"/>
      <c r="G405" s="1708" t="n"/>
      <c r="H405" s="1708" t="n"/>
      <c r="I405" s="1708" t="n"/>
      <c r="J405" s="1708" t="n"/>
      <c r="K405" s="1708" t="n"/>
      <c r="L405" s="1708" t="n"/>
      <c r="M405" s="1734">
        <f t="array" ref="M405">M382</f>
        <v/>
      </c>
      <c r="N405" s="1708" t="n"/>
      <c r="O405" s="1708" t="n"/>
      <c r="P405" s="1708" t="n"/>
      <c r="Q405" s="1708" t="n"/>
      <c r="R405" s="1734">
        <f t="array" ref="R405">R382</f>
        <v/>
      </c>
      <c r="S405" s="1734" t="n"/>
      <c r="T405" s="1734" t="n"/>
      <c r="U405" s="1734" t="n"/>
      <c r="V405" s="1734" t="n"/>
      <c r="W405" s="1734">
        <f t="array" ref="W405">-W382</f>
        <v/>
      </c>
      <c r="X405" s="1708" t="n"/>
      <c r="Y405" s="1708" t="n"/>
      <c r="Z405" s="1708" t="n"/>
      <c r="AA405" s="1708" t="n"/>
      <c r="AB405" s="1734">
        <f t="array" ref="AB405">-AB382</f>
        <v/>
      </c>
      <c r="AC405" s="1734" t="n"/>
      <c r="AD405" s="1734" t="n"/>
      <c r="AE405" s="1734" t="n"/>
      <c r="AF405" s="1734" t="n"/>
      <c r="AG405" s="1734">
        <f t="array" ref="AG405">-AG382</f>
        <v/>
      </c>
      <c r="AH405" s="1734" t="n"/>
      <c r="AI405" s="1734" t="n"/>
      <c r="AJ405" s="1734" t="n"/>
      <c r="AK405" s="1734" t="n"/>
      <c r="AL405" s="1734">
        <f t="array" ref="AL405">-AL382</f>
        <v/>
      </c>
      <c r="AM405" s="1734" t="n"/>
      <c r="AN405" s="1734" t="n"/>
      <c r="AO405" s="1734" t="n"/>
      <c r="AP405" s="1734" t="n"/>
      <c r="AQ405" s="1734">
        <f t="array" ref="AQ405">-AQ382</f>
        <v/>
      </c>
      <c r="AR405" s="1708" t="n"/>
      <c r="AS405" s="1708" t="n"/>
      <c r="AT405" s="1708" t="n"/>
      <c r="AU405" s="1708" t="n"/>
      <c r="AV405" s="1734">
        <f t="array" ref="AV405">-AV382</f>
        <v/>
      </c>
      <c r="AW405" s="2079" t="n"/>
      <c r="AX405" s="1964" t="n"/>
      <c r="AY405" s="1964" t="n"/>
      <c r="AZ405" s="1964" t="n"/>
      <c r="BA405" s="1733">
        <f t="array" ref="BA405">-BA382</f>
        <v/>
      </c>
      <c r="BB405" s="2079" t="n"/>
      <c r="BC405" s="1964" t="n"/>
      <c r="BD405" s="1964" t="n"/>
      <c r="BE405" s="1964" t="n"/>
      <c r="BF405" s="1733">
        <f t="array" ref="BF405">-BF382</f>
        <v/>
      </c>
      <c r="BG405" s="1734" t="n"/>
      <c r="BH405" s="1734" t="n"/>
      <c r="BI405" s="1734" t="n"/>
      <c r="BJ405" s="1734" t="n"/>
      <c r="BK405" s="1734">
        <f t="array" ref="BK405">-BK382</f>
        <v/>
      </c>
      <c r="BL405" s="1734" t="n"/>
      <c r="BM405" s="1734" t="n"/>
      <c r="BN405" s="1734" t="n"/>
      <c r="BO405" s="1734" t="n"/>
      <c r="BP405" s="1734">
        <f t="array" ref="BP405">-BP382</f>
        <v/>
      </c>
      <c r="BQ405" s="1734" t="n"/>
      <c r="BR405" s="1734" t="n"/>
      <c r="BS405" s="1734" t="n"/>
      <c r="BT405" s="1734" t="n"/>
      <c r="BU405" s="1734">
        <f t="array" ref="BU405">-BU382</f>
        <v/>
      </c>
      <c r="BV405" s="1734" t="n"/>
      <c r="BW405" s="1734" t="n"/>
      <c r="BX405" s="1734" t="n"/>
      <c r="BY405" s="1734" t="n"/>
      <c r="BZ405" s="1734">
        <f t="array" ref="BZ405">-BZ382</f>
        <v/>
      </c>
      <c r="CA405" s="66" t="n"/>
      <c r="CB405" s="672" t="n"/>
      <c r="CC405" s="701" t="n"/>
      <c r="CD405" s="701" t="n"/>
      <c r="CE405" s="701" t="n"/>
      <c r="CF405" s="701" t="n"/>
      <c r="CG405" s="701" t="n"/>
      <c r="CH405" s="701" t="n"/>
      <c r="CI405" s="701" t="n"/>
      <c r="CJ405" s="701" t="n"/>
      <c r="CK405" s="701" t="n"/>
      <c r="CL405" s="701" t="n"/>
      <c r="CM405" s="701" t="n"/>
      <c r="CN405" s="701" t="n"/>
      <c r="CO405" s="701" t="n"/>
      <c r="CP405" s="701" t="n"/>
      <c r="CQ405" s="701" t="n"/>
      <c r="CR405" s="701" t="n"/>
      <c r="CS405" s="701" t="n"/>
      <c r="CT405" s="701" t="n"/>
      <c r="CU405" s="701" t="n"/>
      <c r="CV405" s="701" t="n"/>
      <c r="CW405" s="30" t="n"/>
    </row>
    <row r="406" hidden="1" ht="12.75" customHeight="1" s="1676">
      <c r="A406" s="31" t="n"/>
      <c r="B406" s="65" t="inlineStr">
        <is>
          <t>Text_349</t>
        </is>
      </c>
      <c r="C406" s="66" t="n"/>
      <c r="D406" s="1708" t="n"/>
      <c r="E406" s="1708" t="n"/>
      <c r="F406" s="1708" t="n"/>
      <c r="G406" s="1708" t="n"/>
      <c r="H406" s="1708" t="n"/>
      <c r="I406" s="1708" t="n"/>
      <c r="J406" s="1708" t="n"/>
      <c r="K406" s="1708" t="n"/>
      <c r="L406" s="1708" t="n"/>
      <c r="M406" s="1734">
        <f t="array" ref="M406">M383</f>
        <v/>
      </c>
      <c r="N406" s="1708" t="n"/>
      <c r="O406" s="1708" t="n"/>
      <c r="P406" s="1708" t="n"/>
      <c r="Q406" s="1708" t="n"/>
      <c r="R406" s="1734">
        <f t="array" ref="R406">R383</f>
        <v/>
      </c>
      <c r="S406" s="1734" t="n"/>
      <c r="T406" s="1734" t="n"/>
      <c r="U406" s="1734" t="n"/>
      <c r="V406" s="1734" t="n"/>
      <c r="W406" s="1734">
        <f t="array" ref="W406">-W383</f>
        <v/>
      </c>
      <c r="X406" s="1708" t="n"/>
      <c r="Y406" s="1708" t="n"/>
      <c r="Z406" s="1708" t="n"/>
      <c r="AA406" s="1708" t="n"/>
      <c r="AB406" s="1734">
        <f t="array" ref="AB406">-AB383</f>
        <v/>
      </c>
      <c r="AC406" s="1734" t="n"/>
      <c r="AD406" s="1734" t="n"/>
      <c r="AE406" s="1734" t="n"/>
      <c r="AF406" s="1734" t="n"/>
      <c r="AG406" s="1734">
        <f t="array" ref="AG406">-AG383</f>
        <v/>
      </c>
      <c r="AH406" s="1734" t="n"/>
      <c r="AI406" s="1734" t="n"/>
      <c r="AJ406" s="1734" t="n"/>
      <c r="AK406" s="1734" t="n"/>
      <c r="AL406" s="1734">
        <f t="array" ref="AL406">-AL383</f>
        <v/>
      </c>
      <c r="AM406" s="1734" t="n"/>
      <c r="AN406" s="1734" t="n"/>
      <c r="AO406" s="1734" t="n"/>
      <c r="AP406" s="1734" t="n"/>
      <c r="AQ406" s="1734">
        <f t="array" ref="AQ406">-AQ383</f>
        <v/>
      </c>
      <c r="AR406" s="1708" t="n"/>
      <c r="AS406" s="1708" t="n"/>
      <c r="AT406" s="1708" t="n"/>
      <c r="AU406" s="1708" t="n"/>
      <c r="AV406" s="1734">
        <f t="array" ref="AV406">-AV383</f>
        <v/>
      </c>
      <c r="AW406" s="2079" t="n"/>
      <c r="AX406" s="1964" t="n"/>
      <c r="AY406" s="1964" t="n"/>
      <c r="AZ406" s="1964" t="n"/>
      <c r="BA406" s="1733">
        <f t="array" ref="BA406">-BA383</f>
        <v/>
      </c>
      <c r="BB406" s="2079" t="n"/>
      <c r="BC406" s="1964" t="n"/>
      <c r="BD406" s="1964" t="n"/>
      <c r="BE406" s="1964" t="n"/>
      <c r="BF406" s="1733">
        <f t="array" ref="BF406">-BF383</f>
        <v/>
      </c>
      <c r="BG406" s="1734" t="n"/>
      <c r="BH406" s="1734" t="n"/>
      <c r="BI406" s="1734" t="n"/>
      <c r="BJ406" s="1734" t="n"/>
      <c r="BK406" s="1734">
        <f t="array" ref="BK406">-BK383</f>
        <v/>
      </c>
      <c r="BL406" s="1734" t="n"/>
      <c r="BM406" s="1734" t="n"/>
      <c r="BN406" s="1734" t="n"/>
      <c r="BO406" s="1734" t="n"/>
      <c r="BP406" s="1734">
        <f t="array" ref="BP406">-BP383</f>
        <v/>
      </c>
      <c r="BQ406" s="1734" t="n"/>
      <c r="BR406" s="1734" t="n"/>
      <c r="BS406" s="1734" t="n"/>
      <c r="BT406" s="1734" t="n"/>
      <c r="BU406" s="1734">
        <f t="array" ref="BU406">-BU383</f>
        <v/>
      </c>
      <c r="BV406" s="1734" t="n"/>
      <c r="BW406" s="1734" t="n"/>
      <c r="BX406" s="1734" t="n"/>
      <c r="BY406" s="1734" t="n"/>
      <c r="BZ406" s="1734">
        <f t="array" ref="BZ406">-BZ383</f>
        <v/>
      </c>
      <c r="CA406" s="66" t="n"/>
      <c r="CB406" s="672" t="n"/>
      <c r="CC406" s="701" t="n"/>
      <c r="CD406" s="701" t="n"/>
      <c r="CE406" s="701" t="n"/>
      <c r="CF406" s="701" t="n"/>
      <c r="CG406" s="701" t="n"/>
      <c r="CH406" s="701" t="n"/>
      <c r="CI406" s="701" t="n"/>
      <c r="CJ406" s="701" t="n"/>
      <c r="CK406" s="701" t="n"/>
      <c r="CL406" s="701" t="n"/>
      <c r="CM406" s="701" t="n"/>
      <c r="CN406" s="701" t="n"/>
      <c r="CO406" s="701" t="n"/>
      <c r="CP406" s="701" t="n"/>
      <c r="CQ406" s="701" t="n"/>
      <c r="CR406" s="701" t="n"/>
      <c r="CS406" s="701" t="n"/>
      <c r="CT406" s="701" t="n"/>
      <c r="CU406" s="701" t="n"/>
      <c r="CV406" s="701" t="n"/>
      <c r="CW406" s="30" t="n"/>
    </row>
    <row r="407" hidden="1" ht="12.75" customHeight="1" s="1676">
      <c r="A407" s="31" t="n"/>
      <c r="B407" s="65" t="inlineStr">
        <is>
          <t>Text_350</t>
        </is>
      </c>
      <c r="C407" s="66" t="n"/>
      <c r="D407" s="1708" t="n"/>
      <c r="E407" s="1708" t="n"/>
      <c r="F407" s="1708" t="n"/>
      <c r="G407" s="1708" t="n"/>
      <c r="H407" s="1708" t="n"/>
      <c r="I407" s="1708" t="n"/>
      <c r="J407" s="1708" t="n"/>
      <c r="K407" s="1708" t="n"/>
      <c r="L407" s="1708" t="n"/>
      <c r="M407" s="1708">
        <f t="array" ref="M407">SUM(M404:Q406)</f>
        <v/>
      </c>
      <c r="N407" s="1708" t="n"/>
      <c r="O407" s="1708" t="n"/>
      <c r="P407" s="1708" t="n"/>
      <c r="Q407" s="1708" t="n"/>
      <c r="R407" s="1708">
        <f t="array" ref="R407">SUM(R404:V406)</f>
        <v/>
      </c>
      <c r="S407" s="1708" t="n"/>
      <c r="T407" s="1708" t="n"/>
      <c r="U407" s="1708" t="n"/>
      <c r="V407" s="1708" t="n"/>
      <c r="W407" s="1708">
        <f t="array" ref="W407">SUM(W404:AA406)</f>
        <v/>
      </c>
      <c r="X407" s="1708" t="n"/>
      <c r="Y407" s="1708" t="n"/>
      <c r="Z407" s="1708" t="n"/>
      <c r="AA407" s="1708" t="n"/>
      <c r="AB407" s="1734">
        <f t="array" ref="AB407">SUM(AB404:AF406)</f>
        <v/>
      </c>
      <c r="AC407" s="1734" t="n"/>
      <c r="AD407" s="1734" t="n"/>
      <c r="AE407" s="1734" t="n"/>
      <c r="AF407" s="1734" t="n"/>
      <c r="AG407" s="1734">
        <f t="array" ref="AG407">SUM(AG404:AK406)</f>
        <v/>
      </c>
      <c r="AH407" s="1734" t="n"/>
      <c r="AI407" s="1734" t="n"/>
      <c r="AJ407" s="1734" t="n"/>
      <c r="AK407" s="1734" t="n"/>
      <c r="AL407" s="1734">
        <f t="array" ref="AL407">SUM(AL404:AP406)</f>
        <v/>
      </c>
      <c r="AM407" s="1734" t="n"/>
      <c r="AN407" s="1734" t="n"/>
      <c r="AO407" s="1734" t="n"/>
      <c r="AP407" s="1734" t="n"/>
      <c r="AQ407" s="1734">
        <f t="array" ref="AQ407">SUM(AQ404:AQ406)</f>
        <v/>
      </c>
      <c r="AR407" s="1708" t="n"/>
      <c r="AS407" s="1708" t="n"/>
      <c r="AT407" s="1708" t="n"/>
      <c r="AU407" s="1708" t="n"/>
      <c r="AV407" s="1734">
        <f t="array" ref="AV407">SUM(AV404:CA406)</f>
        <v/>
      </c>
      <c r="AW407" s="2079" t="n"/>
      <c r="AX407" s="1964" t="n"/>
      <c r="AY407" s="1964" t="n"/>
      <c r="AZ407" s="1964" t="n"/>
      <c r="BA407" s="1733">
        <f t="array" ref="BA407">SUM(BA404:CF406)</f>
        <v/>
      </c>
      <c r="BB407" s="2079" t="n"/>
      <c r="BC407" s="1964" t="n"/>
      <c r="BD407" s="1964" t="n"/>
      <c r="BE407" s="1964" t="n"/>
      <c r="BF407" s="1733">
        <f t="array" ref="BF407">SUM(BF404:CI406)</f>
        <v/>
      </c>
      <c r="BG407" s="1734" t="n"/>
      <c r="BH407" s="1734" t="n"/>
      <c r="BI407" s="1734" t="n"/>
      <c r="BJ407" s="1734" t="n"/>
      <c r="BK407" s="1734">
        <f t="array" ref="BK407">SUM(BK404:CN406)</f>
        <v/>
      </c>
      <c r="BL407" s="1734" t="n"/>
      <c r="BM407" s="1734" t="n"/>
      <c r="BN407" s="1734" t="n"/>
      <c r="BO407" s="1734" t="n"/>
      <c r="BP407" s="1734">
        <f t="array" ref="BP407">SUM(BP404:CR406)</f>
        <v/>
      </c>
      <c r="BQ407" s="1734" t="n"/>
      <c r="BR407" s="1734" t="n"/>
      <c r="BS407" s="1734" t="n"/>
      <c r="BT407" s="1734" t="n"/>
      <c r="BU407" s="1734">
        <f t="array" ref="BU407">SUM(BU404:CR406)</f>
        <v/>
      </c>
      <c r="BV407" s="1734" t="n"/>
      <c r="BW407" s="1734" t="n"/>
      <c r="BX407" s="1734" t="n"/>
      <c r="BY407" s="1734" t="n"/>
      <c r="BZ407" s="1734">
        <f t="array" ref="BZ407">SUM(BZ404:CW406)</f>
        <v/>
      </c>
      <c r="CA407" s="66" t="n"/>
      <c r="CB407" s="672" t="n"/>
      <c r="CC407" s="701" t="n"/>
      <c r="CD407" s="701" t="n"/>
      <c r="CE407" s="701" t="n"/>
      <c r="CF407" s="701" t="n"/>
      <c r="CG407" s="701" t="n"/>
      <c r="CH407" s="701" t="n"/>
      <c r="CI407" s="701" t="n"/>
      <c r="CJ407" s="701" t="n"/>
      <c r="CK407" s="701" t="n"/>
      <c r="CL407" s="701" t="n"/>
      <c r="CM407" s="701" t="n"/>
      <c r="CN407" s="701" t="n"/>
      <c r="CO407" s="701" t="n"/>
      <c r="CP407" s="701" t="n"/>
      <c r="CQ407" s="701" t="n"/>
      <c r="CR407" s="701" t="n"/>
      <c r="CS407" s="701" t="n"/>
      <c r="CT407" s="701" t="n"/>
      <c r="CU407" s="701" t="n"/>
      <c r="CV407" s="701" t="n"/>
      <c r="CW407" s="30" t="n"/>
    </row>
    <row r="408" ht="12.75" customHeight="1" s="1676">
      <c r="A408" s="13" t="n"/>
      <c r="B408" s="250" t="inlineStr">
        <is>
          <t>Text_351</t>
        </is>
      </c>
      <c r="C408" s="711" t="n"/>
      <c r="D408" s="1806" t="n"/>
      <c r="E408" s="1806" t="n"/>
      <c r="F408" s="1806" t="n"/>
      <c r="G408" s="1806" t="n"/>
      <c r="H408" s="1806" t="n"/>
      <c r="I408" s="1806" t="n"/>
      <c r="J408" s="1806" t="n"/>
      <c r="K408" s="1806" t="n"/>
      <c r="L408" s="1806" t="n"/>
      <c r="M408" s="1806">
        <f t="array" ref="M408">M407+M403+M402</f>
        <v/>
      </c>
      <c r="N408" s="1806" t="n"/>
      <c r="O408" s="1806" t="n"/>
      <c r="P408" s="1806" t="n"/>
      <c r="Q408" s="1806" t="n"/>
      <c r="R408" s="1806">
        <f t="array" ref="R408">R407+R403+R402</f>
        <v/>
      </c>
      <c r="S408" s="1806" t="n"/>
      <c r="T408" s="1806" t="n"/>
      <c r="U408" s="1806" t="n"/>
      <c r="V408" s="1806" t="n"/>
      <c r="W408" s="1806">
        <f t="array" ref="W408">W407+W403+W402</f>
        <v/>
      </c>
      <c r="X408" s="1806" t="n"/>
      <c r="Y408" s="1806" t="n"/>
      <c r="Z408" s="1806" t="n"/>
      <c r="AA408" s="1806" t="n"/>
      <c r="AB408" s="1806">
        <f t="array" ref="AB408">AB407+AB403+AB402</f>
        <v/>
      </c>
      <c r="AC408" s="1806" t="n"/>
      <c r="AD408" s="1806" t="n"/>
      <c r="AE408" s="1806" t="n"/>
      <c r="AF408" s="1806" t="n"/>
      <c r="AG408" s="1806">
        <f t="array" ref="AG408">AG407+AG403+AG402</f>
        <v/>
      </c>
      <c r="AH408" s="1806" t="n"/>
      <c r="AI408" s="1806" t="n"/>
      <c r="AJ408" s="1806" t="n"/>
      <c r="AK408" s="1806" t="n"/>
      <c r="AL408" s="1806">
        <f t="array" ref="AL408">AL407+AL403+AL402</f>
        <v/>
      </c>
      <c r="AM408" s="1806" t="n"/>
      <c r="AN408" s="1806" t="n"/>
      <c r="AO408" s="1806" t="n"/>
      <c r="AP408" s="1806" t="n"/>
      <c r="AQ408" s="1806">
        <f t="array" ref="AQ408">AQ407+AQ403+AQ402</f>
        <v/>
      </c>
      <c r="AR408" s="1806" t="n"/>
      <c r="AS408" s="1806" t="n"/>
      <c r="AT408" s="1806" t="n"/>
      <c r="AU408" s="1806" t="n"/>
      <c r="AV408" s="1806">
        <f t="array" ref="AV408">AV407+AV403+AV402</f>
        <v/>
      </c>
      <c r="AW408" s="2157" t="n"/>
      <c r="AX408" s="2158" t="n"/>
      <c r="AY408" s="2158" t="n"/>
      <c r="AZ408" s="2158" t="n"/>
      <c r="BA408" s="2012">
        <f t="array" ref="BA408">BA407+BA403+BA402</f>
        <v/>
      </c>
      <c r="BB408" s="2157" t="n"/>
      <c r="BC408" s="2158" t="n"/>
      <c r="BD408" s="2158" t="n"/>
      <c r="BE408" s="2158" t="n"/>
      <c r="BF408" s="2012">
        <f t="array" ref="BF408">BF407+BF403+BF402</f>
        <v/>
      </c>
      <c r="BG408" s="1806" t="n"/>
      <c r="BH408" s="1806" t="n"/>
      <c r="BI408" s="1806" t="n"/>
      <c r="BJ408" s="1806" t="n"/>
      <c r="BK408" s="1806">
        <f t="array" ref="BK408">BK407+BK403+BK402</f>
        <v/>
      </c>
      <c r="BL408" s="1806" t="n"/>
      <c r="BM408" s="1806" t="n"/>
      <c r="BN408" s="1806" t="n"/>
      <c r="BO408" s="1806" t="n"/>
      <c r="BP408" s="1806">
        <f t="array" ref="BP408">BP407+BP403+BP402</f>
        <v/>
      </c>
      <c r="BQ408" s="1806" t="n"/>
      <c r="BR408" s="1806" t="n"/>
      <c r="BS408" s="1806" t="n"/>
      <c r="BT408" s="1806" t="n"/>
      <c r="BU408" s="1806">
        <f t="array" ref="BU408">BU407+BU403+BU402</f>
        <v/>
      </c>
      <c r="BV408" s="1806" t="n"/>
      <c r="BW408" s="1806" t="n"/>
      <c r="BX408" s="1806" t="n"/>
      <c r="BY408" s="1806" t="n"/>
      <c r="BZ408" s="1806">
        <f t="array" ref="BZ408">BZ407+BZ403+BZ402</f>
        <v/>
      </c>
      <c r="CA408" s="711" t="n"/>
      <c r="CB408" s="456" t="n"/>
      <c r="CC408" s="701" t="n"/>
      <c r="CD408" s="701" t="n"/>
      <c r="CE408" s="701" t="n"/>
      <c r="CF408" s="701" t="n"/>
      <c r="CG408" s="701" t="n"/>
      <c r="CH408" s="701" t="n"/>
      <c r="CI408" s="701" t="n"/>
      <c r="CJ408" s="701" t="n"/>
      <c r="CK408" s="701" t="n"/>
      <c r="CL408" s="701" t="n"/>
      <c r="CM408" s="701" t="n"/>
      <c r="CN408" s="701" t="n"/>
      <c r="CO408" s="701" t="n"/>
      <c r="CP408" s="701" t="n"/>
      <c r="CQ408" s="701" t="n"/>
      <c r="CR408" s="701" t="n"/>
      <c r="CS408" s="701" t="n"/>
      <c r="CT408" s="701" t="n"/>
      <c r="CU408" s="701" t="n"/>
      <c r="CV408" s="701" t="n"/>
      <c r="CW408" s="30" t="n"/>
    </row>
    <row r="409" ht="12.75" customHeight="1" s="1676">
      <c r="A409" s="13" t="n"/>
      <c r="B409" s="831" t="inlineStr">
        <is>
          <t>Text_352</t>
        </is>
      </c>
      <c r="C409" s="714" t="n"/>
      <c r="D409" s="714" t="n"/>
      <c r="E409" s="714" t="n"/>
      <c r="F409" s="714" t="n"/>
      <c r="G409" s="714" t="n"/>
      <c r="H409" s="2159" t="n"/>
      <c r="I409" s="714" t="n"/>
      <c r="J409" s="714" t="n"/>
      <c r="K409" s="714" t="n"/>
      <c r="L409" s="714" t="n"/>
      <c r="M409" s="2159">
        <f t="array" ref="M409">M401/M274</f>
        <v/>
      </c>
      <c r="N409" s="714" t="n"/>
      <c r="O409" s="714" t="n"/>
      <c r="P409" s="714" t="n"/>
      <c r="Q409" s="714" t="n"/>
      <c r="R409" s="2159">
        <f t="array" ref="R409">R401/R274</f>
        <v/>
      </c>
      <c r="S409" s="714" t="n"/>
      <c r="T409" s="714" t="n"/>
      <c r="U409" s="714" t="n"/>
      <c r="V409" s="714" t="n"/>
      <c r="W409" s="2159">
        <f t="array" ref="W409">W401/W274</f>
        <v/>
      </c>
      <c r="X409" s="714" t="n"/>
      <c r="Y409" s="714" t="n"/>
      <c r="Z409" s="714" t="n"/>
      <c r="AA409" s="714" t="n"/>
      <c r="AB409" s="2159">
        <f t="array" ref="AB409">AB401/AB274</f>
        <v/>
      </c>
      <c r="AC409" s="714" t="n"/>
      <c r="AD409" s="714" t="n"/>
      <c r="AE409" s="714" t="n"/>
      <c r="AF409" s="714" t="n"/>
      <c r="AG409" s="2159">
        <f t="array" ref="AG409">AG401/AG274</f>
        <v/>
      </c>
      <c r="AH409" s="714" t="n"/>
      <c r="AI409" s="714" t="n"/>
      <c r="AJ409" s="714" t="n"/>
      <c r="AK409" s="714" t="n"/>
      <c r="AL409" s="2159">
        <f t="array" ref="AL409">AL401/AL274</f>
        <v/>
      </c>
      <c r="AM409" s="714" t="n"/>
      <c r="AN409" s="714" t="n"/>
      <c r="AO409" s="714" t="n"/>
      <c r="AP409" s="714" t="n"/>
      <c r="AQ409" s="2159">
        <f t="array" ref="AQ409">AQ401/AQ274</f>
        <v/>
      </c>
      <c r="AR409" s="2159" t="n"/>
      <c r="AS409" s="2159" t="n"/>
      <c r="AT409" s="2159" t="n"/>
      <c r="AU409" s="2159" t="n"/>
      <c r="AV409" s="2159">
        <f t="array" ref="AV409">AV401/AV274</f>
        <v/>
      </c>
      <c r="AW409" s="2160" t="n"/>
      <c r="AX409" s="2161" t="n"/>
      <c r="AY409" s="2161" t="n"/>
      <c r="AZ409" s="2161" t="n"/>
      <c r="BA409" s="2162">
        <f t="array" ref="BA409">BA401/BA274</f>
        <v/>
      </c>
      <c r="BB409" s="2160" t="n"/>
      <c r="BC409" s="2161" t="n"/>
      <c r="BD409" s="2161" t="n"/>
      <c r="BE409" s="2161" t="n"/>
      <c r="BF409" s="2162">
        <f t="array" ref="BF409">BF401/BF274</f>
        <v/>
      </c>
      <c r="BG409" s="2159" t="n"/>
      <c r="BH409" s="2159" t="n"/>
      <c r="BI409" s="2159" t="n"/>
      <c r="BJ409" s="2159" t="n"/>
      <c r="BK409" s="2159">
        <f t="array" ref="BK409">BK401/BK274</f>
        <v/>
      </c>
      <c r="BL409" s="2159">
        <f t="array" ref="BL409">BL401/BL274</f>
        <v/>
      </c>
      <c r="BM409" s="2159">
        <f t="array" ref="BM409">BM401/BM274</f>
        <v/>
      </c>
      <c r="BN409" s="2159">
        <f t="array" ref="BN409">BN401/BN274</f>
        <v/>
      </c>
      <c r="BO409" s="2159">
        <f t="array" ref="BO409">BO401/BO274</f>
        <v/>
      </c>
      <c r="BP409" s="2159">
        <f t="array" ref="BP409">BP401/BP274</f>
        <v/>
      </c>
      <c r="BQ409" s="2159">
        <f t="array" ref="BQ409">BQ401/BQ274</f>
        <v/>
      </c>
      <c r="BR409" s="2159">
        <f t="array" ref="BR409">BR401/BR274</f>
        <v/>
      </c>
      <c r="BS409" s="2159">
        <f t="array" ref="BS409">BS401/BS274</f>
        <v/>
      </c>
      <c r="BT409" s="2159">
        <f t="array" ref="BT409">BT401/BT274</f>
        <v/>
      </c>
      <c r="BU409" s="2159">
        <f t="array" ref="BU409">BU401/BU274</f>
        <v/>
      </c>
      <c r="BV409" s="2159">
        <f t="array" ref="BV409">BV401/BV274</f>
        <v/>
      </c>
      <c r="BW409" s="2159">
        <f t="array" ref="BW409">BW401/BW274</f>
        <v/>
      </c>
      <c r="BX409" s="2159">
        <f t="array" ref="BX409">BX401/BX274</f>
        <v/>
      </c>
      <c r="BY409" s="2159">
        <f t="array" ref="BY409">BY401/BY274</f>
        <v/>
      </c>
      <c r="BZ409" s="2159">
        <f t="array" ref="BZ409">BZ401/BZ274</f>
        <v/>
      </c>
      <c r="CA409" s="2163" t="n"/>
      <c r="CB409" s="456" t="n"/>
      <c r="CC409" s="701" t="n"/>
      <c r="CD409" s="701" t="n"/>
      <c r="CE409" s="701" t="n"/>
      <c r="CF409" s="701" t="n"/>
      <c r="CG409" s="701" t="n"/>
      <c r="CH409" s="701" t="n"/>
      <c r="CI409" s="701" t="n"/>
      <c r="CJ409" s="701" t="n"/>
      <c r="CK409" s="701" t="n"/>
      <c r="CL409" s="701" t="n"/>
      <c r="CM409" s="701" t="n"/>
      <c r="CN409" s="701" t="n"/>
      <c r="CO409" s="701" t="n"/>
      <c r="CP409" s="701" t="n"/>
      <c r="CQ409" s="701" t="n"/>
      <c r="CR409" s="701" t="n"/>
      <c r="CS409" s="701" t="n"/>
      <c r="CT409" s="701" t="n"/>
      <c r="CU409" s="701" t="n"/>
      <c r="CV409" s="701" t="n"/>
      <c r="CW409" s="30" t="n"/>
    </row>
    <row r="410" ht="12.75" customHeight="1" s="1676">
      <c r="A410" s="13" t="n"/>
      <c r="B410" s="837" t="inlineStr">
        <is>
          <t>Text_353</t>
        </is>
      </c>
      <c r="C410" s="526" t="n"/>
      <c r="D410" s="838" t="n"/>
      <c r="E410" s="838" t="n"/>
      <c r="F410" s="838" t="n"/>
      <c r="G410" s="838" t="n"/>
      <c r="H410" s="2164" t="n"/>
      <c r="I410" s="838" t="n"/>
      <c r="J410" s="838" t="n"/>
      <c r="K410" s="838" t="n"/>
      <c r="L410" s="838" t="n"/>
      <c r="M410" s="2164">
        <f t="array" ref="M410">M402/M323</f>
        <v/>
      </c>
      <c r="N410" s="838" t="n"/>
      <c r="O410" s="838" t="n"/>
      <c r="P410" s="838" t="n"/>
      <c r="Q410" s="838" t="n"/>
      <c r="R410" s="2164">
        <f t="array" ref="R410">R402/R323</f>
        <v/>
      </c>
      <c r="S410" s="838" t="n"/>
      <c r="T410" s="838" t="n"/>
      <c r="U410" s="838" t="n"/>
      <c r="V410" s="838" t="n"/>
      <c r="W410" s="2164">
        <f t="array" ref="W410">W402/W323</f>
        <v/>
      </c>
      <c r="X410" s="838" t="n"/>
      <c r="Y410" s="838" t="n"/>
      <c r="Z410" s="838" t="n"/>
      <c r="AA410" s="838" t="n"/>
      <c r="AB410" s="2164">
        <f t="array" ref="AB410">AB402/AB323</f>
        <v/>
      </c>
      <c r="AC410" s="838" t="n"/>
      <c r="AD410" s="838" t="n"/>
      <c r="AE410" s="838" t="n"/>
      <c r="AF410" s="838" t="n"/>
      <c r="AG410" s="2164">
        <f t="array" ref="AG410">AG402/AG323</f>
        <v/>
      </c>
      <c r="AH410" s="838" t="n"/>
      <c r="AI410" s="838" t="n"/>
      <c r="AJ410" s="838" t="n"/>
      <c r="AK410" s="838" t="n"/>
      <c r="AL410" s="2164">
        <f t="array" ref="AL410">AL402/AL323</f>
        <v/>
      </c>
      <c r="AM410" s="838" t="n"/>
      <c r="AN410" s="838" t="n"/>
      <c r="AO410" s="838" t="n"/>
      <c r="AP410" s="838" t="n"/>
      <c r="AQ410" s="2164">
        <f t="array" ref="AQ410">AQ402/AQ323</f>
        <v/>
      </c>
      <c r="AR410" s="2165" t="n"/>
      <c r="AS410" s="2165" t="n"/>
      <c r="AT410" s="2165" t="n"/>
      <c r="AU410" s="2165" t="n"/>
      <c r="AV410" s="2164">
        <f t="array" ref="AV410">AV402/AV323</f>
        <v/>
      </c>
      <c r="AW410" s="2166" t="n"/>
      <c r="AX410" s="2167" t="n"/>
      <c r="AY410" s="2167" t="n"/>
      <c r="AZ410" s="2167" t="n"/>
      <c r="BA410" s="2168">
        <f t="array" ref="BA410">BA402/BA323</f>
        <v/>
      </c>
      <c r="BB410" s="2166" t="n"/>
      <c r="BC410" s="2167" t="n"/>
      <c r="BD410" s="2167" t="n"/>
      <c r="BE410" s="2167" t="n"/>
      <c r="BF410" s="2168">
        <f t="array" ref="BF410">BF402/BF323</f>
        <v/>
      </c>
      <c r="BG410" s="2165" t="n"/>
      <c r="BH410" s="2165" t="n"/>
      <c r="BI410" s="2165" t="n"/>
      <c r="BJ410" s="2165" t="n"/>
      <c r="BK410" s="2164">
        <f t="array" ref="BK410">BK402/BK323</f>
        <v/>
      </c>
      <c r="BL410" s="526" t="n"/>
      <c r="BM410" s="526" t="n"/>
      <c r="BN410" s="526" t="n"/>
      <c r="BO410" s="526" t="n"/>
      <c r="BP410" s="2164">
        <f t="array" ref="BP410">BP402/BP323</f>
        <v/>
      </c>
      <c r="BQ410" s="526" t="n"/>
      <c r="BR410" s="526" t="n"/>
      <c r="BS410" s="526" t="n"/>
      <c r="BT410" s="526" t="n"/>
      <c r="BU410" s="2164">
        <f t="array" ref="BU410">BU402/BU323</f>
        <v/>
      </c>
      <c r="BV410" s="526" t="n"/>
      <c r="BW410" s="526" t="n"/>
      <c r="BX410" s="526" t="n"/>
      <c r="BY410" s="526" t="n"/>
      <c r="BZ410" s="2164">
        <f t="array" ref="BZ410">BZ402/BZ323</f>
        <v/>
      </c>
      <c r="CA410" s="526" t="n"/>
      <c r="CB410" s="456" t="n"/>
      <c r="CC410" s="701" t="n"/>
      <c r="CD410" s="701" t="n"/>
      <c r="CE410" s="701" t="n"/>
      <c r="CF410" s="701" t="n"/>
      <c r="CG410" s="701" t="n"/>
      <c r="CH410" s="701" t="n"/>
      <c r="CI410" s="701" t="n"/>
      <c r="CJ410" s="701" t="n"/>
      <c r="CK410" s="701" t="n"/>
      <c r="CL410" s="701" t="n"/>
      <c r="CM410" s="701" t="n"/>
      <c r="CN410" s="701" t="n"/>
      <c r="CO410" s="701" t="n"/>
      <c r="CP410" s="701" t="n"/>
      <c r="CQ410" s="701" t="n"/>
      <c r="CR410" s="701" t="n"/>
      <c r="CS410" s="701" t="n"/>
      <c r="CT410" s="701" t="n"/>
      <c r="CU410" s="701" t="n"/>
      <c r="CV410" s="701" t="n"/>
      <c r="CW410" s="30" t="n"/>
    </row>
    <row r="411" ht="12.75" customHeight="1" s="1676">
      <c r="A411" s="31" t="n"/>
      <c r="B411" s="270" t="inlineStr">
        <is>
          <t>Text_354</t>
        </is>
      </c>
      <c r="C411" s="699" t="n"/>
      <c r="D411" s="1751" t="n"/>
      <c r="E411" s="1751" t="n"/>
      <c r="F411" s="1751" t="n"/>
      <c r="G411" s="1751" t="n"/>
      <c r="H411" s="1751" t="n"/>
      <c r="I411" s="1751" t="n"/>
      <c r="J411" s="1751" t="n"/>
      <c r="K411" s="1751" t="n"/>
      <c r="L411" s="1751" t="n"/>
      <c r="M411" s="1751">
        <f t="array" ref="M411">M323/M402</f>
        <v/>
      </c>
      <c r="N411" s="1751" t="n"/>
      <c r="O411" s="1751" t="n"/>
      <c r="P411" s="1751" t="n"/>
      <c r="Q411" s="1751" t="n"/>
      <c r="R411" s="1751">
        <f t="array" ref="R411">R323/R402</f>
        <v/>
      </c>
      <c r="S411" s="1751" t="n"/>
      <c r="T411" s="1751" t="n"/>
      <c r="U411" s="1751" t="n"/>
      <c r="V411" s="1751" t="n"/>
      <c r="W411" s="1751">
        <f t="array" ref="W411">W323/W402</f>
        <v/>
      </c>
      <c r="X411" s="1751" t="n"/>
      <c r="Y411" s="1751" t="n"/>
      <c r="Z411" s="1751" t="n"/>
      <c r="AA411" s="1751" t="n"/>
      <c r="AB411" s="1751">
        <f t="array" ref="AB411">AB323/AB402</f>
        <v/>
      </c>
      <c r="AC411" s="1751" t="n"/>
      <c r="AD411" s="1751" t="n"/>
      <c r="AE411" s="1751" t="n"/>
      <c r="AF411" s="1751" t="n"/>
      <c r="AG411" s="1751">
        <f t="array" ref="AG411">AG323/AG402</f>
        <v/>
      </c>
      <c r="AH411" s="1751" t="n"/>
      <c r="AI411" s="1751" t="n"/>
      <c r="AJ411" s="1751" t="n"/>
      <c r="AK411" s="1751" t="n"/>
      <c r="AL411" s="1751">
        <f t="array" ref="AL411">AL323/AL402</f>
        <v/>
      </c>
      <c r="AM411" s="699" t="n"/>
      <c r="AN411" s="699" t="n"/>
      <c r="AO411" s="699" t="n"/>
      <c r="AP411" s="699" t="n"/>
      <c r="AQ411" s="1751">
        <f t="array" ref="AQ411">AQ323/AQ402</f>
        <v/>
      </c>
      <c r="AR411" s="699" t="n"/>
      <c r="AS411" s="699" t="n"/>
      <c r="AT411" s="699" t="n"/>
      <c r="AU411" s="699" t="n"/>
      <c r="AV411" s="1751">
        <f t="array" ref="AV411">AV323/AV402</f>
        <v/>
      </c>
      <c r="AW411" s="456" t="n"/>
      <c r="AX411" s="701" t="n"/>
      <c r="AY411" s="701" t="n"/>
      <c r="AZ411" s="701" t="n"/>
      <c r="BA411" s="1784">
        <f t="array" ref="BA411">BA323/BA402</f>
        <v/>
      </c>
      <c r="BB411" s="456" t="n"/>
      <c r="BC411" s="701" t="n"/>
      <c r="BD411" s="701" t="n"/>
      <c r="BE411" s="701" t="n"/>
      <c r="BF411" s="1784">
        <f t="array" ref="BF411">BF323/BF402</f>
        <v/>
      </c>
      <c r="BG411" s="699" t="n"/>
      <c r="BH411" s="699" t="n"/>
      <c r="BI411" s="699" t="n"/>
      <c r="BJ411" s="699" t="n"/>
      <c r="BK411" s="1751">
        <f t="array" ref="BK411">BK323/BK402</f>
        <v/>
      </c>
      <c r="BL411" s="699" t="n"/>
      <c r="BM411" s="699" t="n"/>
      <c r="BN411" s="699" t="n"/>
      <c r="BO411" s="699" t="n"/>
      <c r="BP411" s="1751">
        <f t="array" ref="BP411">BP323/BP402</f>
        <v/>
      </c>
      <c r="BQ411" s="699" t="n"/>
      <c r="BR411" s="699" t="n"/>
      <c r="BS411" s="699" t="n"/>
      <c r="BT411" s="699" t="n"/>
      <c r="BU411" s="1751">
        <f t="array" ref="BU411">BU323/BU402</f>
        <v/>
      </c>
      <c r="BV411" s="699" t="n"/>
      <c r="BW411" s="699" t="n"/>
      <c r="BX411" s="699" t="n"/>
      <c r="BY411" s="699" t="n"/>
      <c r="BZ411" s="1751">
        <f t="array" ref="BZ411">BZ323/BZ402</f>
        <v/>
      </c>
      <c r="CA411" s="2169" t="n"/>
      <c r="CB411" s="456" t="n"/>
      <c r="CC411" s="701" t="n"/>
      <c r="CD411" s="701" t="n"/>
      <c r="CE411" s="701" t="n"/>
      <c r="CF411" s="701" t="n"/>
      <c r="CG411" s="701" t="n"/>
      <c r="CH411" s="701" t="n"/>
      <c r="CI411" s="701" t="n"/>
      <c r="CJ411" s="701" t="n"/>
      <c r="CK411" s="701" t="n"/>
      <c r="CL411" s="701" t="n"/>
      <c r="CM411" s="701" t="n"/>
      <c r="CN411" s="701" t="n"/>
      <c r="CO411" s="701" t="n"/>
      <c r="CP411" s="701" t="n"/>
      <c r="CQ411" s="701" t="n"/>
      <c r="CR411" s="701" t="n"/>
      <c r="CS411" s="701" t="n"/>
      <c r="CT411" s="701" t="n"/>
      <c r="CU411" s="701" t="n"/>
      <c r="CV411" s="701" t="n"/>
      <c r="CW411" s="30" t="n"/>
    </row>
    <row r="412" ht="12.75" customHeight="1" s="1676">
      <c r="A412" s="13" t="n"/>
      <c r="B412" s="837" t="inlineStr">
        <is>
          <t>Text_355</t>
        </is>
      </c>
      <c r="C412" s="526" t="n"/>
      <c r="D412" s="838" t="n"/>
      <c r="E412" s="838" t="n"/>
      <c r="F412" s="838" t="n"/>
      <c r="G412" s="838" t="n"/>
      <c r="H412" s="2165" t="n"/>
      <c r="I412" s="838" t="n"/>
      <c r="J412" s="838" t="n"/>
      <c r="K412" s="838" t="n"/>
      <c r="L412" s="838" t="n"/>
      <c r="M412" s="2165">
        <f t="array" ref="M412">M278/M401</f>
        <v/>
      </c>
      <c r="N412" s="838" t="n"/>
      <c r="O412" s="838" t="n"/>
      <c r="P412" s="838" t="n"/>
      <c r="Q412" s="838" t="n"/>
      <c r="R412" s="2165">
        <f t="array" ref="R412">R278/R401</f>
        <v/>
      </c>
      <c r="S412" s="838" t="n"/>
      <c r="T412" s="838" t="n"/>
      <c r="U412" s="838" t="n"/>
      <c r="V412" s="838" t="n"/>
      <c r="W412" s="2165">
        <f t="array" ref="W412">W278/W401</f>
        <v/>
      </c>
      <c r="X412" s="838" t="n"/>
      <c r="Y412" s="838" t="n"/>
      <c r="Z412" s="838" t="n"/>
      <c r="AA412" s="838" t="n"/>
      <c r="AB412" s="2165">
        <f t="array" ref="AB412">AB278/AB401</f>
        <v/>
      </c>
      <c r="AC412" s="838" t="n"/>
      <c r="AD412" s="838" t="n"/>
      <c r="AE412" s="838" t="n"/>
      <c r="AF412" s="838" t="n"/>
      <c r="AG412" s="2165">
        <f t="array" ref="AG412">AG278/AG401</f>
        <v/>
      </c>
      <c r="AH412" s="838" t="n"/>
      <c r="AI412" s="838" t="n"/>
      <c r="AJ412" s="838" t="n"/>
      <c r="AK412" s="838" t="n"/>
      <c r="AL412" s="2165">
        <f t="array" ref="AL412">AL278/AL401</f>
        <v/>
      </c>
      <c r="AM412" s="2165" t="n"/>
      <c r="AN412" s="2165" t="n"/>
      <c r="AO412" s="2165" t="n"/>
      <c r="AP412" s="2165" t="n"/>
      <c r="AQ412" s="2165">
        <f t="array" ref="AQ412">AQ278/AQ401</f>
        <v/>
      </c>
      <c r="AR412" s="2165" t="n"/>
      <c r="AS412" s="2165" t="n"/>
      <c r="AT412" s="2165" t="n"/>
      <c r="AU412" s="2165" t="n"/>
      <c r="AV412" s="2165">
        <f t="array" ref="AV412">AV278/AV401</f>
        <v/>
      </c>
      <c r="AW412" s="2166" t="n"/>
      <c r="AX412" s="2167" t="n"/>
      <c r="AY412" s="2167" t="n"/>
      <c r="AZ412" s="2167" t="n"/>
      <c r="BA412" s="2170">
        <f t="array" ref="BA412">BA278/BA401</f>
        <v/>
      </c>
      <c r="BB412" s="2166" t="n"/>
      <c r="BC412" s="2167" t="n"/>
      <c r="BD412" s="2167" t="n"/>
      <c r="BE412" s="2167" t="n"/>
      <c r="BF412" s="2170">
        <f t="array" ref="BF412">BF278/BF401</f>
        <v/>
      </c>
      <c r="BG412" s="2165" t="n"/>
      <c r="BH412" s="2165" t="n"/>
      <c r="BI412" s="2165" t="n"/>
      <c r="BJ412" s="2165" t="n"/>
      <c r="BK412" s="2165">
        <f t="array" ref="BK412">BK278/BK401</f>
        <v/>
      </c>
      <c r="BL412" s="2165">
        <f t="array" ref="BL412">BL278/$CA$4</f>
        <v/>
      </c>
      <c r="BM412" s="2165">
        <f t="array" ref="BM412">BM278/$CA$4</f>
        <v/>
      </c>
      <c r="BN412" s="2165">
        <f t="array" ref="BN412">BN278/$CA$4</f>
        <v/>
      </c>
      <c r="BO412" s="2165">
        <f t="array" ref="BO412">BO278/$CA$4</f>
        <v/>
      </c>
      <c r="BP412" s="2165">
        <f t="array" ref="BP412">BP278/BP401</f>
        <v/>
      </c>
      <c r="BQ412" s="2165">
        <f t="array" ref="BQ412">BQ278/$CA$4</f>
        <v/>
      </c>
      <c r="BR412" s="2165">
        <f t="array" ref="BR412">BR278/$CA$4</f>
        <v/>
      </c>
      <c r="BS412" s="2165">
        <f t="array" ref="BS412">BS278/$CA$4</f>
        <v/>
      </c>
      <c r="BT412" s="2165">
        <f t="array" ref="BT412">BT278/$CA$4</f>
        <v/>
      </c>
      <c r="BU412" s="2165">
        <f t="array" ref="BU412">BU278/BU401</f>
        <v/>
      </c>
      <c r="BV412" s="2165">
        <f t="array" ref="BV412">BV278/$CA$4</f>
        <v/>
      </c>
      <c r="BW412" s="2165">
        <f t="array" ref="BW412">BW278/$CA$4</f>
        <v/>
      </c>
      <c r="BX412" s="2165">
        <f t="array" ref="BX412">BX278/$CA$4</f>
        <v/>
      </c>
      <c r="BY412" s="2165">
        <f t="array" ref="BY412">BY278/$CA$4</f>
        <v/>
      </c>
      <c r="BZ412" s="2165">
        <f t="array" ref="BZ412">BZ278/BZ401</f>
        <v/>
      </c>
      <c r="CA412" s="2171" t="n"/>
      <c r="CB412" s="456" t="n"/>
      <c r="CC412" s="701" t="n"/>
      <c r="CD412" s="701" t="n"/>
      <c r="CE412" s="701" t="n"/>
      <c r="CF412" s="701" t="n"/>
      <c r="CG412" s="701" t="n"/>
      <c r="CH412" s="701" t="n"/>
      <c r="CI412" s="701" t="n"/>
      <c r="CJ412" s="701" t="n"/>
      <c r="CK412" s="701" t="n"/>
      <c r="CL412" s="701" t="n"/>
      <c r="CM412" s="701" t="n"/>
      <c r="CN412" s="701" t="n"/>
      <c r="CO412" s="701" t="n"/>
      <c r="CP412" s="701" t="n"/>
      <c r="CQ412" s="701" t="n"/>
      <c r="CR412" s="701" t="n"/>
      <c r="CS412" s="701" t="n"/>
      <c r="CT412" s="701" t="n"/>
      <c r="CU412" s="701" t="n"/>
      <c r="CV412" s="701" t="n"/>
      <c r="CW412" s="30" t="n"/>
    </row>
    <row r="413" ht="12.75" customHeight="1" s="1676">
      <c r="A413" s="31" t="n"/>
      <c r="B413" s="270" t="inlineStr">
        <is>
          <t>Text_356</t>
        </is>
      </c>
      <c r="C413" s="699" t="n"/>
      <c r="D413" s="699" t="n"/>
      <c r="E413" s="699" t="n"/>
      <c r="F413" s="699" t="n"/>
      <c r="G413" s="699" t="n"/>
      <c r="H413" s="1939" t="n"/>
      <c r="I413" s="699" t="n"/>
      <c r="J413" s="699" t="n"/>
      <c r="K413" s="699" t="n"/>
      <c r="L413" s="699" t="n"/>
      <c r="M413" s="1939">
        <f t="array" ref="M413">M408/M212</f>
        <v/>
      </c>
      <c r="N413" s="699" t="n"/>
      <c r="O413" s="699" t="n"/>
      <c r="P413" s="699" t="n"/>
      <c r="Q413" s="699" t="n"/>
      <c r="R413" s="1939">
        <f t="array" ref="R413">R408/R212</f>
        <v/>
      </c>
      <c r="S413" s="699" t="n"/>
      <c r="T413" s="699" t="n"/>
      <c r="U413" s="699" t="n"/>
      <c r="V413" s="699" t="n"/>
      <c r="W413" s="1939">
        <f t="array" ref="W413">W408/W212</f>
        <v/>
      </c>
      <c r="X413" s="699" t="n"/>
      <c r="Y413" s="699" t="n"/>
      <c r="Z413" s="699" t="n"/>
      <c r="AA413" s="699" t="n"/>
      <c r="AB413" s="1939">
        <f t="array" ref="AB413">AB408/AB212</f>
        <v/>
      </c>
      <c r="AC413" s="699" t="n"/>
      <c r="AD413" s="699" t="n"/>
      <c r="AE413" s="699" t="n"/>
      <c r="AF413" s="699" t="n"/>
      <c r="AG413" s="1939">
        <f t="array" ref="AG413">AG408/AG212</f>
        <v/>
      </c>
      <c r="AH413" s="699" t="n"/>
      <c r="AI413" s="699" t="n"/>
      <c r="AJ413" s="699" t="n"/>
      <c r="AK413" s="699" t="n"/>
      <c r="AL413" s="1939">
        <f t="array" ref="AL413">AL408/AL212</f>
        <v/>
      </c>
      <c r="AM413" s="699" t="n"/>
      <c r="AN413" s="699" t="n"/>
      <c r="AO413" s="699" t="n"/>
      <c r="AP413" s="699" t="n"/>
      <c r="AQ413" s="1939">
        <f t="array" ref="AQ413">AQ408/AQ212</f>
        <v/>
      </c>
      <c r="AR413" s="699" t="n"/>
      <c r="AS413" s="699" t="n"/>
      <c r="AT413" s="699" t="n"/>
      <c r="AU413" s="699" t="n"/>
      <c r="AV413" s="1939">
        <f t="array" ref="AV413">AV408/AV212</f>
        <v/>
      </c>
      <c r="AW413" s="456" t="n"/>
      <c r="AX413" s="701" t="n"/>
      <c r="AY413" s="701" t="n"/>
      <c r="AZ413" s="701" t="n"/>
      <c r="BA413" s="1943">
        <f t="array" ref="BA413">BA408/BA212</f>
        <v/>
      </c>
      <c r="BB413" s="456" t="n"/>
      <c r="BC413" s="701" t="n"/>
      <c r="BD413" s="701" t="n"/>
      <c r="BE413" s="701" t="n"/>
      <c r="BF413" s="1943">
        <f t="array" ref="BF413">BF408/BF212</f>
        <v/>
      </c>
      <c r="BG413" s="699" t="n"/>
      <c r="BH413" s="699" t="n"/>
      <c r="BI413" s="699" t="n"/>
      <c r="BJ413" s="699" t="n"/>
      <c r="BK413" s="1939">
        <f t="array" ref="BK413">BK408/BK212</f>
        <v/>
      </c>
      <c r="BL413" s="699" t="n"/>
      <c r="BM413" s="699" t="n"/>
      <c r="BN413" s="699" t="n"/>
      <c r="BO413" s="699" t="n"/>
      <c r="BP413" s="1939">
        <f t="array" ref="BP413">BP408/BP212</f>
        <v/>
      </c>
      <c r="BQ413" s="699" t="n"/>
      <c r="BR413" s="699" t="n"/>
      <c r="BS413" s="699" t="n"/>
      <c r="BT413" s="699" t="n"/>
      <c r="BU413" s="1939">
        <f t="array" ref="BU413">BU408/BU212</f>
        <v/>
      </c>
      <c r="BV413" s="699" t="n"/>
      <c r="BW413" s="699" t="n"/>
      <c r="BX413" s="699" t="n"/>
      <c r="BY413" s="699" t="n"/>
      <c r="BZ413" s="1939">
        <f t="array" ref="BZ413">BZ408/BZ212</f>
        <v/>
      </c>
      <c r="CA413" s="2172" t="n"/>
      <c r="CB413" s="456" t="n"/>
      <c r="CC413" s="701" t="n"/>
      <c r="CD413" s="701" t="n"/>
      <c r="CE413" s="701" t="n"/>
      <c r="CF413" s="701" t="n"/>
      <c r="CG413" s="701" t="n"/>
      <c r="CH413" s="701" t="n"/>
      <c r="CI413" s="701" t="n"/>
      <c r="CJ413" s="701" t="n"/>
      <c r="CK413" s="701" t="n"/>
      <c r="CL413" s="701" t="n"/>
      <c r="CM413" s="701" t="n"/>
      <c r="CN413" s="701" t="n"/>
      <c r="CO413" s="701" t="n"/>
      <c r="CP413" s="701" t="n"/>
      <c r="CQ413" s="701" t="n"/>
      <c r="CR413" s="701" t="n"/>
      <c r="CS413" s="701" t="n"/>
      <c r="CT413" s="701" t="n"/>
      <c r="CU413" s="701" t="n"/>
      <c r="CV413" s="701" t="n"/>
      <c r="CW413" s="30" t="n"/>
    </row>
    <row r="414" ht="12.75" customHeight="1" s="1676">
      <c r="A414" s="31" t="n"/>
      <c r="B414" s="837" t="inlineStr">
        <is>
          <t>Text_357</t>
        </is>
      </c>
      <c r="C414" s="699" t="n"/>
      <c r="D414" s="848" t="n"/>
      <c r="E414" s="848" t="n"/>
      <c r="F414" s="848" t="n"/>
      <c r="G414" s="848" t="n"/>
      <c r="H414" s="2164" t="n"/>
      <c r="I414" s="848" t="n"/>
      <c r="J414" s="848" t="n"/>
      <c r="K414" s="848" t="n"/>
      <c r="L414" s="848" t="n"/>
      <c r="M414" s="2164">
        <f t="array" ref="M414">M408/M230</f>
        <v/>
      </c>
      <c r="N414" s="848" t="n"/>
      <c r="O414" s="848" t="n"/>
      <c r="P414" s="848" t="n"/>
      <c r="Q414" s="848" t="n"/>
      <c r="R414" s="2164">
        <f t="array" ref="R414">R408/R230</f>
        <v/>
      </c>
      <c r="S414" s="848" t="n"/>
      <c r="T414" s="848" t="n"/>
      <c r="U414" s="848" t="n"/>
      <c r="V414" s="848" t="n"/>
      <c r="W414" s="2164">
        <f t="array" ref="W414">W408/W230</f>
        <v/>
      </c>
      <c r="X414" s="848" t="n"/>
      <c r="Y414" s="848" t="n"/>
      <c r="Z414" s="848" t="n"/>
      <c r="AA414" s="848" t="n"/>
      <c r="AB414" s="2164">
        <f t="array" ref="AB414">AB408/AB230</f>
        <v/>
      </c>
      <c r="AC414" s="848" t="n"/>
      <c r="AD414" s="848" t="n"/>
      <c r="AE414" s="848" t="n"/>
      <c r="AF414" s="848" t="n"/>
      <c r="AG414" s="2164">
        <f t="array" ref="AG414">AG408/AG230</f>
        <v/>
      </c>
      <c r="AH414" s="848" t="n"/>
      <c r="AI414" s="848" t="n"/>
      <c r="AJ414" s="848" t="n"/>
      <c r="AK414" s="848" t="n"/>
      <c r="AL414" s="2164">
        <f t="array" ref="AL414">AL408/AL230</f>
        <v/>
      </c>
      <c r="AM414" s="848" t="n"/>
      <c r="AN414" s="848" t="n"/>
      <c r="AO414" s="848" t="n"/>
      <c r="AP414" s="848" t="n"/>
      <c r="AQ414" s="2164">
        <f t="array" ref="AQ414">AQ408/AQ230</f>
        <v/>
      </c>
      <c r="AR414" s="848" t="n"/>
      <c r="AS414" s="848" t="n"/>
      <c r="AT414" s="848" t="n"/>
      <c r="AU414" s="848" t="n"/>
      <c r="AV414" s="2164">
        <f t="array" ref="AV414">AV408/AV230</f>
        <v/>
      </c>
      <c r="AW414" s="849" t="n"/>
      <c r="AX414" s="850" t="n"/>
      <c r="AY414" s="850" t="n"/>
      <c r="AZ414" s="850" t="n"/>
      <c r="BA414" s="2168">
        <f t="array" ref="BA414">BA408/BA230</f>
        <v/>
      </c>
      <c r="BB414" s="849" t="n"/>
      <c r="BC414" s="850" t="n"/>
      <c r="BD414" s="850" t="n"/>
      <c r="BE414" s="850" t="n"/>
      <c r="BF414" s="2168">
        <f t="array" ref="BF414">BF408/BF230</f>
        <v/>
      </c>
      <c r="BG414" s="848" t="n"/>
      <c r="BH414" s="848" t="n"/>
      <c r="BI414" s="848" t="n"/>
      <c r="BJ414" s="848" t="n"/>
      <c r="BK414" s="2164">
        <f t="array" ref="BK414">BK408/BK230</f>
        <v/>
      </c>
      <c r="BL414" s="848" t="n"/>
      <c r="BM414" s="848" t="n"/>
      <c r="BN414" s="848" t="n"/>
      <c r="BO414" s="848" t="n"/>
      <c r="BP414" s="2164">
        <f t="array" ref="BP414">BP408/BP230</f>
        <v/>
      </c>
      <c r="BQ414" s="848" t="n"/>
      <c r="BR414" s="848" t="n"/>
      <c r="BS414" s="848" t="n"/>
      <c r="BT414" s="848" t="n"/>
      <c r="BU414" s="2164">
        <f t="array" ref="BU414">BU408/BU230</f>
        <v/>
      </c>
      <c r="BV414" s="848" t="n"/>
      <c r="BW414" s="848" t="n"/>
      <c r="BX414" s="848" t="n"/>
      <c r="BY414" s="848" t="n"/>
      <c r="BZ414" s="2164">
        <f t="array" ref="BZ414">BZ408/BZ230</f>
        <v/>
      </c>
      <c r="CA414" s="2173" t="n"/>
      <c r="CB414" s="456" t="n"/>
      <c r="CC414" s="701" t="n"/>
      <c r="CD414" s="701" t="n"/>
      <c r="CE414" s="701" t="n"/>
      <c r="CF414" s="701" t="n"/>
      <c r="CG414" s="701" t="n"/>
      <c r="CH414" s="701" t="n"/>
      <c r="CI414" s="701" t="n"/>
      <c r="CJ414" s="701" t="n"/>
      <c r="CK414" s="701" t="n"/>
      <c r="CL414" s="701" t="n"/>
      <c r="CM414" s="701" t="n"/>
      <c r="CN414" s="701" t="n"/>
      <c r="CO414" s="701" t="n"/>
      <c r="CP414" s="701" t="n"/>
      <c r="CQ414" s="701" t="n"/>
      <c r="CR414" s="701" t="n"/>
      <c r="CS414" s="701" t="n"/>
      <c r="CT414" s="701" t="n"/>
      <c r="CU414" s="701" t="n"/>
      <c r="CV414" s="701" t="n"/>
      <c r="CW414" s="30" t="n"/>
    </row>
    <row r="415" ht="12.75" customHeight="1" s="1676">
      <c r="A415" s="31" t="n"/>
      <c r="B415" s="270" t="inlineStr">
        <is>
          <t>Text_358</t>
        </is>
      </c>
      <c r="C415" s="699" t="n"/>
      <c r="D415" s="699" t="n"/>
      <c r="E415" s="699" t="n"/>
      <c r="F415" s="699" t="n"/>
      <c r="G415" s="699" t="n"/>
      <c r="H415" s="1939" t="n"/>
      <c r="I415" s="699" t="n"/>
      <c r="J415" s="699" t="n"/>
      <c r="K415" s="699" t="n"/>
      <c r="L415" s="699" t="n"/>
      <c r="M415" s="1939">
        <f t="array" ref="M415">M408/M238</f>
        <v/>
      </c>
      <c r="N415" s="699" t="n"/>
      <c r="O415" s="699" t="n"/>
      <c r="P415" s="699" t="n"/>
      <c r="Q415" s="699" t="n"/>
      <c r="R415" s="1939">
        <f t="array" ref="R415">R408/R238</f>
        <v/>
      </c>
      <c r="S415" s="699" t="n"/>
      <c r="T415" s="699" t="n"/>
      <c r="U415" s="699" t="n"/>
      <c r="V415" s="699" t="n"/>
      <c r="W415" s="1939">
        <f t="array" ref="W415">W408/W238</f>
        <v/>
      </c>
      <c r="X415" s="699" t="n"/>
      <c r="Y415" s="699" t="n"/>
      <c r="Z415" s="699" t="n"/>
      <c r="AA415" s="699" t="n"/>
      <c r="AB415" s="1939">
        <f t="array" ref="AB415">AB408/AB238</f>
        <v/>
      </c>
      <c r="AC415" s="699" t="n"/>
      <c r="AD415" s="699" t="n"/>
      <c r="AE415" s="699" t="n"/>
      <c r="AF415" s="699" t="n"/>
      <c r="AG415" s="1939">
        <f t="array" ref="AG415">AG408/AG238</f>
        <v/>
      </c>
      <c r="AH415" s="699" t="n"/>
      <c r="AI415" s="699" t="n"/>
      <c r="AJ415" s="699" t="n"/>
      <c r="AK415" s="699" t="n"/>
      <c r="AL415" s="1939">
        <f t="array" ref="AL415">AL408/AL238</f>
        <v/>
      </c>
      <c r="AM415" s="699" t="n"/>
      <c r="AN415" s="699" t="n"/>
      <c r="AO415" s="699" t="n"/>
      <c r="AP415" s="699" t="n"/>
      <c r="AQ415" s="1939">
        <f t="array" ref="AQ415">AQ408/AQ238</f>
        <v/>
      </c>
      <c r="AR415" s="699" t="n"/>
      <c r="AS415" s="699" t="n"/>
      <c r="AT415" s="699" t="n"/>
      <c r="AU415" s="699" t="n"/>
      <c r="AV415" s="1939">
        <f t="array" ref="AV415">AV408/AV238</f>
        <v/>
      </c>
      <c r="AW415" s="456" t="n"/>
      <c r="AX415" s="701" t="n"/>
      <c r="AY415" s="701" t="n"/>
      <c r="AZ415" s="701" t="n"/>
      <c r="BA415" s="1943">
        <f t="array" ref="BA415">BA408/BA238</f>
        <v/>
      </c>
      <c r="BB415" s="456" t="n"/>
      <c r="BC415" s="701" t="n"/>
      <c r="BD415" s="701" t="n"/>
      <c r="BE415" s="701" t="n"/>
      <c r="BF415" s="1943">
        <f t="array" ref="BF415">BF408/BF238</f>
        <v/>
      </c>
      <c r="BG415" s="699" t="n"/>
      <c r="BH415" s="699" t="n"/>
      <c r="BI415" s="699" t="n"/>
      <c r="BJ415" s="699" t="n"/>
      <c r="BK415" s="1939">
        <f t="array" ref="BK415">BK408/BK238</f>
        <v/>
      </c>
      <c r="BL415" s="699" t="n"/>
      <c r="BM415" s="699" t="n"/>
      <c r="BN415" s="699" t="n"/>
      <c r="BO415" s="699" t="n"/>
      <c r="BP415" s="1939">
        <f t="array" ref="BP415">BP408/BP238</f>
        <v/>
      </c>
      <c r="BQ415" s="699" t="n"/>
      <c r="BR415" s="699" t="n"/>
      <c r="BS415" s="699" t="n"/>
      <c r="BT415" s="699" t="n"/>
      <c r="BU415" s="1939">
        <f t="array" ref="BU415">BU408/BU238</f>
        <v/>
      </c>
      <c r="BV415" s="699" t="n"/>
      <c r="BW415" s="699" t="n"/>
      <c r="BX415" s="699" t="n"/>
      <c r="BY415" s="699" t="n"/>
      <c r="BZ415" s="1939">
        <f t="array" ref="BZ415">BZ408/BZ238</f>
        <v/>
      </c>
      <c r="CA415" s="2174" t="n"/>
      <c r="CB415" s="456" t="n"/>
      <c r="CC415" s="701" t="n"/>
      <c r="CD415" s="701" t="n"/>
      <c r="CE415" s="701" t="n"/>
      <c r="CF415" s="701" t="n"/>
      <c r="CG415" s="701" t="n"/>
      <c r="CH415" s="701" t="n"/>
      <c r="CI415" s="701" t="n"/>
      <c r="CJ415" s="701" t="n"/>
      <c r="CK415" s="701" t="n"/>
      <c r="CL415" s="701" t="n"/>
      <c r="CM415" s="701" t="n"/>
      <c r="CN415" s="701" t="n"/>
      <c r="CO415" s="701" t="n"/>
      <c r="CP415" s="701" t="n"/>
      <c r="CQ415" s="701" t="n"/>
      <c r="CR415" s="701" t="n"/>
      <c r="CS415" s="701" t="n"/>
      <c r="CT415" s="701" t="n"/>
      <c r="CU415" s="701" t="n"/>
      <c r="CV415" s="701" t="n"/>
      <c r="CW415" s="30" t="n"/>
    </row>
    <row r="416" ht="12.75" customHeight="1" s="1676">
      <c r="A416" s="31" t="n"/>
      <c r="B416" s="837" t="inlineStr">
        <is>
          <t>Text_359</t>
        </is>
      </c>
      <c r="C416" s="699" t="n"/>
      <c r="D416" s="848" t="n"/>
      <c r="E416" s="848" t="n"/>
      <c r="F416" s="848" t="n"/>
      <c r="G416" s="848" t="n"/>
      <c r="H416" s="2164" t="n"/>
      <c r="I416" s="848" t="n"/>
      <c r="J416" s="848" t="n"/>
      <c r="K416" s="848" t="n"/>
      <c r="L416" s="848" t="n"/>
      <c r="M416" s="2164">
        <f t="array" ref="M416">M415/(1-M252)</f>
        <v/>
      </c>
      <c r="N416" s="848" t="n"/>
      <c r="O416" s="848" t="n"/>
      <c r="P416" s="848" t="n"/>
      <c r="Q416" s="848" t="n"/>
      <c r="R416" s="2164">
        <f t="array" ref="R416">R415/(1-R252)</f>
        <v/>
      </c>
      <c r="S416" s="848" t="n"/>
      <c r="T416" s="848" t="n"/>
      <c r="U416" s="848" t="n"/>
      <c r="V416" s="848" t="n"/>
      <c r="W416" s="2164">
        <f t="array" ref="W416">W415/(1-W252)</f>
        <v/>
      </c>
      <c r="X416" s="848" t="n"/>
      <c r="Y416" s="848" t="n"/>
      <c r="Z416" s="848" t="n"/>
      <c r="AA416" s="848" t="n"/>
      <c r="AB416" s="2164">
        <f t="array" ref="AB416">AB415/(1-AB252)</f>
        <v/>
      </c>
      <c r="AC416" s="848" t="n"/>
      <c r="AD416" s="848" t="n"/>
      <c r="AE416" s="848" t="n"/>
      <c r="AF416" s="848" t="n"/>
      <c r="AG416" s="2164">
        <f t="array" ref="AG416">AG415/(1-AG252)</f>
        <v/>
      </c>
      <c r="AH416" s="848" t="n"/>
      <c r="AI416" s="848" t="n"/>
      <c r="AJ416" s="848" t="n"/>
      <c r="AK416" s="848" t="n"/>
      <c r="AL416" s="2164">
        <f t="array" ref="AL416">AL415/(1-AL252)</f>
        <v/>
      </c>
      <c r="AM416" s="848" t="n"/>
      <c r="AN416" s="848" t="n"/>
      <c r="AO416" s="848" t="n"/>
      <c r="AP416" s="848" t="n"/>
      <c r="AQ416" s="2164">
        <f t="array" ref="AQ416">AQ415/(1-AQ252)</f>
        <v/>
      </c>
      <c r="AR416" s="848" t="n"/>
      <c r="AS416" s="848" t="n"/>
      <c r="AT416" s="848" t="n"/>
      <c r="AU416" s="848" t="n"/>
      <c r="AV416" s="2164">
        <f t="array" ref="AV416">AV415/(1-AV252)</f>
        <v/>
      </c>
      <c r="AW416" s="849" t="n"/>
      <c r="AX416" s="850" t="n"/>
      <c r="AY416" s="850" t="n"/>
      <c r="AZ416" s="850" t="n"/>
      <c r="BA416" s="2168">
        <f t="array" ref="BA416">BA415/(1-BA252)</f>
        <v/>
      </c>
      <c r="BB416" s="849" t="n"/>
      <c r="BC416" s="850" t="n"/>
      <c r="BD416" s="850" t="n"/>
      <c r="BE416" s="850" t="n"/>
      <c r="BF416" s="2168">
        <f t="array" ref="BF416">BF415/(1-BF252)</f>
        <v/>
      </c>
      <c r="BG416" s="848" t="n"/>
      <c r="BH416" s="848" t="n"/>
      <c r="BI416" s="848" t="n"/>
      <c r="BJ416" s="848" t="n"/>
      <c r="BK416" s="2164">
        <f t="array" ref="BK416">BK415/(1-BK252)</f>
        <v/>
      </c>
      <c r="BL416" s="848" t="n"/>
      <c r="BM416" s="848" t="n"/>
      <c r="BN416" s="848" t="n"/>
      <c r="BO416" s="848" t="n"/>
      <c r="BP416" s="2164">
        <f t="array" ref="BP416">BP415/(1-BP252)</f>
        <v/>
      </c>
      <c r="BQ416" s="848" t="n"/>
      <c r="BR416" s="848" t="n"/>
      <c r="BS416" s="848" t="n"/>
      <c r="BT416" s="848" t="n"/>
      <c r="BU416" s="2164">
        <f t="array" ref="BU416">BU415/(1-BU252)</f>
        <v/>
      </c>
      <c r="BV416" s="848" t="n"/>
      <c r="BW416" s="848" t="n"/>
      <c r="BX416" s="848" t="n"/>
      <c r="BY416" s="848" t="n"/>
      <c r="BZ416" s="2164">
        <f t="array" ref="BZ416">BZ415/(1-BZ252)</f>
        <v/>
      </c>
      <c r="CA416" s="2171" t="n"/>
      <c r="CB416" s="456" t="n"/>
      <c r="CC416" s="701" t="n"/>
      <c r="CD416" s="701" t="n"/>
      <c r="CE416" s="701" t="n"/>
      <c r="CF416" s="701" t="n"/>
      <c r="CG416" s="701" t="n"/>
      <c r="CH416" s="701" t="n"/>
      <c r="CI416" s="701" t="n"/>
      <c r="CJ416" s="701" t="n"/>
      <c r="CK416" s="701" t="n"/>
      <c r="CL416" s="701" t="n"/>
      <c r="CM416" s="701" t="n"/>
      <c r="CN416" s="701" t="n"/>
      <c r="CO416" s="701" t="n"/>
      <c r="CP416" s="701" t="n"/>
      <c r="CQ416" s="701" t="n"/>
      <c r="CR416" s="701" t="n"/>
      <c r="CS416" s="701" t="n"/>
      <c r="CT416" s="701" t="n"/>
      <c r="CU416" s="701" t="n"/>
      <c r="CV416" s="701" t="n"/>
      <c r="CW416" s="30" t="n"/>
    </row>
    <row r="417" ht="12.75" customHeight="1" s="1676">
      <c r="A417" s="13" t="n"/>
      <c r="B417" s="277" t="inlineStr">
        <is>
          <t>Text_360</t>
        </is>
      </c>
      <c r="C417" s="853" t="n"/>
      <c r="D417" s="853" t="n"/>
      <c r="E417" s="853" t="n"/>
      <c r="F417" s="853" t="n"/>
      <c r="G417" s="853" t="n"/>
      <c r="H417" s="2095" t="n"/>
      <c r="I417" s="853" t="n"/>
      <c r="J417" s="853" t="n"/>
      <c r="K417" s="853" t="n"/>
      <c r="L417" s="853" t="n"/>
      <c r="M417" s="2095">
        <f t="array" ref="M417">M408/M323</f>
        <v/>
      </c>
      <c r="N417" s="853" t="n"/>
      <c r="O417" s="853" t="n"/>
      <c r="P417" s="853" t="n"/>
      <c r="Q417" s="853" t="n"/>
      <c r="R417" s="2095">
        <f t="array" ref="R417">R408/R323</f>
        <v/>
      </c>
      <c r="S417" s="853" t="n"/>
      <c r="T417" s="853" t="n"/>
      <c r="U417" s="853" t="n"/>
      <c r="V417" s="853" t="n"/>
      <c r="W417" s="2095">
        <f t="array" ref="W417">W408/W323</f>
        <v/>
      </c>
      <c r="X417" s="853" t="n"/>
      <c r="Y417" s="853" t="n"/>
      <c r="Z417" s="853" t="n"/>
      <c r="AA417" s="853" t="n"/>
      <c r="AB417" s="2095">
        <f t="array" ref="AB417">AB408/AB323</f>
        <v/>
      </c>
      <c r="AC417" s="853" t="n"/>
      <c r="AD417" s="853" t="n"/>
      <c r="AE417" s="853" t="n"/>
      <c r="AF417" s="853" t="n"/>
      <c r="AG417" s="2095">
        <f t="array" ref="AG417">AG408/AG323</f>
        <v/>
      </c>
      <c r="AH417" s="853" t="n"/>
      <c r="AI417" s="853" t="n"/>
      <c r="AJ417" s="853" t="n"/>
      <c r="AK417" s="853" t="n"/>
      <c r="AL417" s="2095">
        <f t="array" ref="AL417">AL408/AL323</f>
        <v/>
      </c>
      <c r="AM417" s="853" t="n"/>
      <c r="AN417" s="853" t="n"/>
      <c r="AO417" s="853" t="n"/>
      <c r="AP417" s="853" t="n"/>
      <c r="AQ417" s="2095">
        <f t="array" ref="AQ417">AQ408/AQ323</f>
        <v/>
      </c>
      <c r="AR417" s="853" t="n"/>
      <c r="AS417" s="853" t="n"/>
      <c r="AT417" s="853" t="n"/>
      <c r="AU417" s="853" t="n"/>
      <c r="AV417" s="2095">
        <f t="array" ref="AV417">AV408/AV323</f>
        <v/>
      </c>
      <c r="AW417" s="854" t="n"/>
      <c r="AX417" s="855" t="n"/>
      <c r="AY417" s="855" t="n"/>
      <c r="AZ417" s="855" t="n"/>
      <c r="BA417" s="2098">
        <f t="array" ref="BA417">BA408/BA323</f>
        <v/>
      </c>
      <c r="BB417" s="854" t="n"/>
      <c r="BC417" s="855" t="n"/>
      <c r="BD417" s="855" t="n"/>
      <c r="BE417" s="855" t="n"/>
      <c r="BF417" s="2098">
        <f t="array" ref="BF417">BF408/BF323</f>
        <v/>
      </c>
      <c r="BG417" s="853" t="n"/>
      <c r="BH417" s="853" t="n"/>
      <c r="BI417" s="853" t="n"/>
      <c r="BJ417" s="853" t="n"/>
      <c r="BK417" s="2095">
        <f t="array" ref="BK417">BK408/BK323</f>
        <v/>
      </c>
      <c r="BL417" s="853" t="n"/>
      <c r="BM417" s="853" t="n"/>
      <c r="BN417" s="853" t="n"/>
      <c r="BO417" s="853" t="n"/>
      <c r="BP417" s="2095">
        <f t="array" ref="BP417">BP408/BP323</f>
        <v/>
      </c>
      <c r="BQ417" s="853" t="n"/>
      <c r="BR417" s="853" t="n"/>
      <c r="BS417" s="853" t="n"/>
      <c r="BT417" s="853" t="n"/>
      <c r="BU417" s="2095">
        <f t="array" ref="BU417">BU408/BU323</f>
        <v/>
      </c>
      <c r="BV417" s="853" t="n"/>
      <c r="BW417" s="853" t="n"/>
      <c r="BX417" s="853" t="n"/>
      <c r="BY417" s="853" t="n"/>
      <c r="BZ417" s="2095">
        <f t="array" ref="BZ417">BZ408/BZ323</f>
        <v/>
      </c>
      <c r="CA417" s="805" t="n"/>
      <c r="CB417" s="456" t="n"/>
      <c r="CC417" s="701" t="n"/>
      <c r="CD417" s="701" t="n"/>
      <c r="CE417" s="701" t="n"/>
      <c r="CF417" s="701" t="n"/>
      <c r="CG417" s="701" t="n"/>
      <c r="CH417" s="701" t="n"/>
      <c r="CI417" s="701" t="n"/>
      <c r="CJ417" s="701" t="n"/>
      <c r="CK417" s="701" t="n"/>
      <c r="CL417" s="701" t="n"/>
      <c r="CM417" s="701" t="n"/>
      <c r="CN417" s="701" t="n"/>
      <c r="CO417" s="701" t="n"/>
      <c r="CP417" s="701" t="n"/>
      <c r="CQ417" s="701" t="n"/>
      <c r="CR417" s="701" t="n"/>
      <c r="CS417" s="701" t="n"/>
      <c r="CT417" s="701" t="n"/>
      <c r="CU417" s="701" t="n"/>
      <c r="CV417" s="701" t="n"/>
      <c r="CW417" s="30" t="n"/>
    </row>
    <row r="418" ht="14.45" customHeight="1" s="1676">
      <c r="A418" s="74" t="n"/>
      <c r="B418" s="266" t="n"/>
      <c r="C418" s="266" t="n"/>
      <c r="D418" s="266" t="n"/>
      <c r="E418" s="266" t="n"/>
      <c r="F418" s="266" t="n"/>
      <c r="G418" s="266" t="n"/>
      <c r="H418" s="266" t="n"/>
      <c r="I418" s="266" t="n"/>
      <c r="J418" s="266" t="n"/>
      <c r="K418" s="266" t="n"/>
      <c r="L418" s="266" t="n"/>
      <c r="M418" s="266" t="n"/>
      <c r="N418" s="266" t="n"/>
      <c r="O418" s="266" t="n"/>
      <c r="P418" s="266" t="n"/>
      <c r="Q418" s="266" t="n"/>
      <c r="R418" s="266" t="n"/>
      <c r="S418" s="266" t="n"/>
      <c r="T418" s="266" t="n"/>
      <c r="U418" s="266" t="n"/>
      <c r="V418" s="266" t="n"/>
      <c r="W418" s="266" t="n"/>
      <c r="X418" s="266" t="n"/>
      <c r="Y418" s="266" t="n"/>
      <c r="Z418" s="266" t="n"/>
      <c r="AA418" s="266" t="n"/>
      <c r="AB418" s="266" t="n"/>
      <c r="AC418" s="266" t="n"/>
      <c r="AD418" s="266" t="n"/>
      <c r="AE418" s="266" t="n"/>
      <c r="AF418" s="266" t="n"/>
      <c r="AG418" s="266" t="n"/>
      <c r="AH418" s="266" t="n"/>
      <c r="AI418" s="266" t="n"/>
      <c r="AJ418" s="266" t="n"/>
      <c r="AK418" s="266" t="n"/>
      <c r="AL418" s="266" t="n"/>
      <c r="AM418" s="266" t="n"/>
      <c r="AN418" s="266" t="n"/>
      <c r="AO418" s="266" t="n"/>
      <c r="AP418" s="266" t="n"/>
      <c r="AQ418" s="266" t="n"/>
      <c r="AR418" s="266" t="n"/>
      <c r="AS418" s="266" t="n"/>
      <c r="AT418" s="266" t="n"/>
      <c r="AU418" s="266" t="n"/>
      <c r="AV418" s="266" t="n"/>
      <c r="AW418" s="266" t="n"/>
      <c r="AX418" s="266" t="n"/>
      <c r="AY418" s="266" t="n"/>
      <c r="AZ418" s="266" t="n"/>
      <c r="BA418" s="266" t="n"/>
      <c r="BB418" s="266" t="n"/>
      <c r="BC418" s="266" t="n"/>
      <c r="BD418" s="266" t="n"/>
      <c r="BE418" s="266" t="n"/>
      <c r="BF418" s="266" t="n"/>
      <c r="BG418" s="266" t="n"/>
      <c r="BH418" s="266" t="n"/>
      <c r="BI418" s="266" t="n"/>
      <c r="BJ418" s="266" t="n"/>
      <c r="BK418" s="266" t="n"/>
      <c r="BL418" s="266" t="n"/>
      <c r="BM418" s="266" t="n"/>
      <c r="BN418" s="266" t="n"/>
      <c r="BO418" s="266" t="n"/>
      <c r="BP418" s="266" t="n"/>
      <c r="BQ418" s="266" t="n"/>
      <c r="BR418" s="266" t="n"/>
      <c r="BS418" s="266" t="n"/>
      <c r="BT418" s="266" t="n"/>
      <c r="BU418" s="266" t="n"/>
      <c r="BV418" s="266" t="n"/>
      <c r="BW418" s="266" t="n"/>
      <c r="BX418" s="266" t="n"/>
      <c r="BY418" s="266" t="n"/>
      <c r="BZ418" s="266" t="n"/>
      <c r="CA418" s="266" t="n"/>
      <c r="CB418" s="701" t="n"/>
      <c r="CC418" s="701" t="n"/>
      <c r="CD418" s="701" t="n"/>
      <c r="CE418" s="701" t="n"/>
      <c r="CF418" s="701" t="n"/>
      <c r="CG418" s="701" t="n"/>
      <c r="CH418" s="701" t="n"/>
      <c r="CI418" s="701" t="n"/>
      <c r="CJ418" s="701" t="n"/>
      <c r="CK418" s="701" t="n"/>
      <c r="CL418" s="701" t="n"/>
      <c r="CM418" s="701" t="n"/>
      <c r="CN418" s="701" t="n"/>
      <c r="CO418" s="701" t="n"/>
      <c r="CP418" s="701" t="n"/>
      <c r="CQ418" s="701" t="n"/>
      <c r="CR418" s="701" t="n"/>
      <c r="CS418" s="701" t="n"/>
      <c r="CT418" s="701" t="n"/>
      <c r="CU418" s="701" t="n"/>
      <c r="CV418" s="701" t="n"/>
      <c r="CW418" s="30" t="n"/>
    </row>
    <row r="419" ht="14.45" customHeight="1" s="1676">
      <c r="A419" s="856" t="n"/>
      <c r="B419" s="857" t="n"/>
      <c r="C419" s="857" t="n"/>
      <c r="D419" s="857" t="n"/>
      <c r="E419" s="857" t="n"/>
      <c r="F419" s="857" t="n"/>
      <c r="G419" s="857" t="n"/>
      <c r="H419" s="857" t="n"/>
      <c r="I419" s="857" t="n"/>
      <c r="J419" s="857" t="n"/>
      <c r="K419" s="857" t="n"/>
      <c r="L419" s="857" t="n"/>
      <c r="M419" s="857" t="n"/>
      <c r="N419" s="857" t="n"/>
      <c r="O419" s="857" t="n"/>
      <c r="P419" s="857" t="n"/>
      <c r="Q419" s="857" t="n"/>
      <c r="R419" s="857" t="n"/>
      <c r="S419" s="857" t="n"/>
      <c r="T419" s="857" t="n"/>
      <c r="U419" s="857" t="n"/>
      <c r="V419" s="857" t="n"/>
      <c r="W419" s="857" t="n"/>
      <c r="X419" s="857" t="n"/>
      <c r="Y419" s="857" t="n"/>
      <c r="Z419" s="857" t="n"/>
      <c r="AA419" s="857" t="n"/>
      <c r="AB419" s="857" t="n"/>
      <c r="AC419" s="857" t="n"/>
      <c r="AD419" s="857" t="n"/>
      <c r="AE419" s="857" t="n"/>
      <c r="AF419" s="857" t="n"/>
      <c r="AG419" s="857" t="n"/>
      <c r="AH419" s="857" t="n"/>
      <c r="AI419" s="857" t="n"/>
      <c r="AJ419" s="857" t="n"/>
      <c r="AK419" s="857" t="n"/>
      <c r="AL419" s="857" t="n"/>
      <c r="AM419" s="857" t="n"/>
      <c r="AN419" s="857" t="n"/>
      <c r="AO419" s="857" t="n"/>
      <c r="AP419" s="857" t="n"/>
      <c r="AQ419" s="857" t="n"/>
      <c r="AR419" s="857" t="n"/>
      <c r="AS419" s="857" t="n"/>
      <c r="AT419" s="857" t="n"/>
      <c r="AU419" s="857" t="n"/>
      <c r="AV419" s="857" t="n"/>
      <c r="AW419" s="857" t="n"/>
      <c r="AX419" s="857" t="n"/>
      <c r="AY419" s="857" t="n"/>
      <c r="AZ419" s="857" t="n"/>
      <c r="BA419" s="857" t="n"/>
      <c r="BB419" s="857" t="n"/>
      <c r="BC419" s="857" t="n"/>
      <c r="BD419" s="857" t="n"/>
      <c r="BE419" s="857" t="n"/>
      <c r="BF419" s="2175" t="n"/>
      <c r="BG419" s="857" t="n"/>
      <c r="BH419" s="857" t="n"/>
      <c r="BI419" s="857" t="n"/>
      <c r="BJ419" s="857" t="n"/>
      <c r="BK419" s="2175" t="n"/>
      <c r="BL419" s="857" t="n"/>
      <c r="BM419" s="857" t="n"/>
      <c r="BN419" s="857" t="n"/>
      <c r="BO419" s="857" t="n"/>
      <c r="BP419" s="2175" t="n"/>
      <c r="BQ419" s="857" t="n"/>
      <c r="BR419" s="857" t="n"/>
      <c r="BS419" s="857" t="n"/>
      <c r="BT419" s="857" t="n"/>
      <c r="BU419" s="2175" t="n"/>
      <c r="BV419" s="857" t="n"/>
      <c r="BW419" s="857" t="n"/>
      <c r="BX419" s="857" t="n"/>
      <c r="BY419" s="857" t="n"/>
      <c r="BZ419" s="2175" t="n"/>
      <c r="CA419" s="857" t="n"/>
      <c r="CB419" s="857" t="n"/>
      <c r="CC419" s="857" t="n"/>
      <c r="CD419" s="857" t="n"/>
      <c r="CE419" s="857" t="n"/>
      <c r="CF419" s="857" t="n"/>
      <c r="CG419" s="857" t="n"/>
      <c r="CH419" s="857" t="n"/>
      <c r="CI419" s="857" t="n"/>
      <c r="CJ419" s="857" t="n"/>
      <c r="CK419" s="857" t="n"/>
      <c r="CL419" s="857" t="n"/>
      <c r="CM419" s="857" t="n"/>
      <c r="CN419" s="857" t="n"/>
      <c r="CO419" s="857" t="n"/>
      <c r="CP419" s="857" t="n"/>
      <c r="CQ419" s="857" t="n"/>
      <c r="CR419" s="857" t="n"/>
      <c r="CS419" s="857" t="n"/>
      <c r="CT419" s="857" t="n"/>
      <c r="CU419" s="857" t="n"/>
      <c r="CV419" s="857" t="n"/>
      <c r="CW419" s="859" t="n"/>
    </row>
  </sheetData>
  <mergeCells count="23">
    <mergeCell ref="CB2:CB5"/>
    <mergeCell ref="CA59:CA60"/>
    <mergeCell ref="CB50:CB55"/>
    <mergeCell ref="CA142:CA143"/>
    <mergeCell ref="CA198:CA200"/>
    <mergeCell ref="CA50:CA55"/>
    <mergeCell ref="CA186:CA192"/>
    <mergeCell ref="CA180:CA185"/>
    <mergeCell ref="B3:B5"/>
    <mergeCell ref="CB56:CB61"/>
    <mergeCell ref="CA94:CA95"/>
    <mergeCell ref="CA32:CA33"/>
    <mergeCell ref="CA124:CA125"/>
    <mergeCell ref="CA139:CA140"/>
    <mergeCell ref="CA170:CA173"/>
    <mergeCell ref="CB69:CB72"/>
    <mergeCell ref="CA105:CA110"/>
    <mergeCell ref="CA111:CA116"/>
    <mergeCell ref="CA154:CA159"/>
    <mergeCell ref="CA132:CA134"/>
    <mergeCell ref="CA69:CA71"/>
    <mergeCell ref="CA160:CA163"/>
    <mergeCell ref="CA22:CA30"/>
  </mergeCells>
  <conditionalFormatting sqref="I22:BZ22 I23:L23 I25:BC25 I26:L26 I28:BC28 I29:L29 I31:BC31 I32:L32 I34:BC34 I35:L35 I37:BC37 I38:L38 I40:BC40 I41:L41 I43:AZ43 I44:V44 I45:Q45 I46:V46 I47:BA47 I50:BC50 I51:L51 I53:BC53 I54:L54 I56:BC56 I57:L57 I59:BC59 I60:L60 I62:BC62 I63:L63 I65:BZ65 I66:AL66 I67:L67 I69:BZ69 I70:AL70 I71:L71 I74:BA74 I111:BZ111 I113:Q113 I114:Q114 I115:BZ115 I117:L117 I118:L118 I119:L120 I121:L121 I154:BZ154 I155:AL155 I156:L156 I160:BZ160 I161:AL161 I162:L162 I170:BZ170 I171:AL171 I172:L172 I175:L175 I178:L178 I180:BZ180 I181:AL181 I182:L182 I186:BZ186 I187:AL187 I188:L188 I193:L194 I196:BZ196 I197:L197 I202:BC202 I203:L204 I205:L206 I210:AL210 I213:AL213 I214:L214 I251:Q251 I255:L255 I285:Q285 I290:L290 M194:AV194 M204:BC204 N117:Q117 S45:V45 S113:V113 S114:V114 S117:V117 S119:BY119 S251:V251 S285:V285 X44:AA44 X45:AA45 X46:AA46 X113:AA113 X114:AA114 X117:AA117 X251:AA251 X285:AA285 AC44:AF44 AC45:AF45 AC46:AF46 AC113:AF113 AC114:AF114 AC117:AF117 AC251:AF251 AC285:AF285 AH44:AK44 AH45:AK45 AH46:AK46 AH113:AK113 AH114:AK114 AH117:AK117 AH251:AK251 AH255:AK255 AH283:AK284 AH285:AK285 AH290:AK290 AM44:AP44 AM45:AP45 AM46:AP46 AM113:AP113 AM114:AP114 AM117:AP117 AM255:AZ255 AM285:AW285 AQ66 AQ70 AQ155 AQ161 AQ164 AQ167 AQ171 AQ174 AQ177 AQ181 AQ187 AQ210 AQ213 AR44:AU44 AR45:AU45 AR46:AU46 AR113:AU113 AR114:AU114 AR117:AU117 AU174:AY174 AU177:BC177 AV66 AV70 AV155 AV161 AV164 AV167 AV171 AV181 AV187 AV210 AV213 AW44:AZ44 AW45:AZ45 AW46:AZ46 AW113:AZ113 AW114:AZ114 AW117:AZ117 AW293:BC293 AX194:AZ194 AZ285:BB285 BA66 BA70 BA155 BA161 BA164 BA167 BA171 BA174 BA181 BA187 BA210 BA213 BB43:BE43 BB113:BE113 BB114:BE114 BB117:BE117 BB255:BC255 BB288:BC288 BC194 BF25 BF28 BF31 BF47 BF50 BF53 BF56 BF59 BF62 BF74 BF155 BF164 BF167 BF174 BF177 BF202 BF204 BF285 BF293 BG43:BJ43 BG113:BJ113 BG114:BJ114 BG117:BJ117 BG120:BI120 BK25 BK28 BK31 BK47 BK50 BK53 BK56 BK59 BK62 BK74 BK155 BK164 BK167 BK174 BK177 BK202 BK204 BK285 BK293 BL43:BO43 BL113:BO113 BL114:BO114 BL117:BO117 BL118:BM118 BL120:BO120 BL121:BM121 BO118 BO121 BP25 BP28 BP31 BP47 BP50 BP53 BP56 BP59 BP62 BP74 BP155 BP164 BP167 BP174 BP177 BP202 BP204 BP285 BP293 BQ43:BT43 BQ113:BT113 BQ114:BT114 BQ117:BT117 BQ118:BT118 BQ120:BY120 BQ121:BT121 BU25 BU28 BU31 BU47 BU50 BU53 BU56 BU59 BU62 BU74 BU155 BU164 BU167 BU174 BU177 BU202 BU204 BU285 BU293 BV43:BY43 BV113:BY113 BV114:BY114 BV117:BY117 BV118:BY118 BV121:BY121 BZ25 BZ28 BZ31 BZ47 BZ50 BZ53 BZ56 BZ59 BZ62 BZ74 BZ155 BZ164 BZ167 BZ174 BZ177 BZ202 BZ204 BZ285 BZ293 CC65 CC66">
    <cfRule type="cellIs" priority="1" operator="lessThan" dxfId="0" stopIfTrue="1">
      <formula>0</formula>
    </cfRule>
  </conditionalFormatting>
  <dataValidations count="1">
    <dataValidation sqref="CA2" showDropDown="0" showInputMessage="1" showErrorMessage="1" allowBlank="1" type="list">
      <formula1>"Base,Bull,Bear"</formula1>
    </dataValidation>
  </dataValidations>
  <pageMargins left="0.23622" right="0.23622" top="0.748031" bottom="0.748031" header="0.314961" footer="0.314961"/>
  <pageSetup orientation="landscape" scale="39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J57"/>
  <sheetViews>
    <sheetView showGridLines="0" defaultGridColor="1" workbookViewId="0">
      <selection activeCell="A1" sqref="A1"/>
    </sheetView>
  </sheetViews>
  <sheetFormatPr baseColWidth="8" defaultColWidth="9.16667" defaultRowHeight="12.75" customHeight="1" outlineLevelRow="0"/>
  <cols>
    <col width="3" customWidth="1" style="1623" min="1" max="1"/>
    <col width="21.5" customWidth="1" style="1623" min="2" max="2"/>
    <col width="8.351559999999999" customWidth="1" style="1623" min="3" max="3"/>
    <col width="2" customWidth="1" style="1623" min="4" max="4"/>
    <col width="16.8516" customWidth="1" style="1623" min="5" max="5"/>
    <col width="8.351559999999999" customWidth="1" style="1623" min="6" max="6"/>
    <col width="2" customWidth="1" style="1623" min="7" max="7"/>
    <col width="18" customWidth="1" style="1623" min="8" max="8"/>
    <col width="8.351559999999999" customWidth="1" style="1623" min="9" max="9"/>
    <col width="2" customWidth="1" style="1623" min="10" max="10"/>
    <col width="16.8516" customWidth="1" style="1623" min="11" max="11"/>
    <col width="8.351559999999999" customWidth="1" style="1623" min="12" max="12"/>
    <col width="2" customWidth="1" style="1623" min="13" max="13"/>
    <col width="16.8516" customWidth="1" style="1623" min="14" max="14"/>
    <col width="8.351559999999999" customWidth="1" style="1623" min="15" max="15"/>
    <col width="2" customWidth="1" style="1623" min="16" max="16"/>
    <col width="16.5" customWidth="1" style="1623" min="17" max="17"/>
    <col width="8.5" customWidth="1" style="1623" min="18" max="18"/>
    <col width="2.17188" customWidth="1" style="1623" min="19" max="19"/>
    <col width="16.5" customWidth="1" style="1623" min="20" max="20"/>
    <col width="8.5" customWidth="1" style="1623" min="21" max="21"/>
    <col width="2.5" customWidth="1" style="1623" min="22" max="22"/>
    <col width="16.5" customWidth="1" style="1623" min="23" max="23"/>
    <col width="8.5" customWidth="1" style="1623" min="24" max="24"/>
    <col width="2.5" customWidth="1" style="1623" min="25" max="25"/>
    <col width="16.5" customWidth="1" style="1623" min="26" max="26"/>
    <col width="8.5" customWidth="1" style="1623" min="27" max="27"/>
    <col width="3.85156" customWidth="1" style="1623" min="28" max="28"/>
    <col width="1.85156" customWidth="1" style="1623" min="29" max="29"/>
    <col width="14.6719" customWidth="1" style="1623" min="30" max="30"/>
    <col width="10.5" customWidth="1" style="1623" min="31" max="31"/>
    <col width="1.85156" customWidth="1" style="1623" min="32" max="32"/>
    <col width="9.17188" customWidth="1" style="1623" min="33" max="36"/>
    <col width="9.17188" customWidth="1" style="1623" min="37" max="16384"/>
  </cols>
  <sheetData>
    <row r="1" ht="13.55" customHeight="1" s="1676">
      <c r="A1" s="7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2" t="n"/>
    </row>
    <row r="2" ht="15" customHeight="1" s="1676">
      <c r="A2" s="74" t="n"/>
      <c r="B2" s="861" t="inlineStr">
        <is>
          <t>Text_362</t>
        </is>
      </c>
      <c r="C2" s="701" t="n"/>
      <c r="D2" s="701" t="n"/>
      <c r="E2" s="2176">
        <f t="array" ref="E2">IF(L10="FCF",(($E$6*O16)+((365-$E$6)*R16))/365,(($E$6*O14)+((365-$E$6)*R14))/365)</f>
        <v/>
      </c>
      <c r="F2" s="701" t="n"/>
      <c r="G2" s="701" t="n"/>
      <c r="H2" s="701" t="n"/>
      <c r="I2" s="701" t="n"/>
      <c r="J2" s="701" t="n"/>
      <c r="K2" s="701" t="n"/>
      <c r="L2" s="701" t="n"/>
      <c r="M2" s="701" t="n"/>
      <c r="N2" s="701" t="n"/>
      <c r="O2" s="701" t="n"/>
      <c r="P2" s="701" t="n"/>
      <c r="Q2" s="701" t="n"/>
      <c r="R2" s="701" t="n"/>
      <c r="S2" s="701" t="n"/>
      <c r="T2" s="701" t="n"/>
      <c r="U2" s="701" t="n"/>
      <c r="V2" s="701" t="n"/>
      <c r="W2" s="701" t="n"/>
      <c r="X2" s="701" t="n"/>
      <c r="Y2" s="701" t="n"/>
      <c r="Z2" s="701" t="n"/>
      <c r="AA2" s="701" t="n"/>
      <c r="AB2" s="701" t="n"/>
      <c r="AC2" s="701" t="n"/>
      <c r="AD2" s="701" t="n"/>
      <c r="AE2" s="701" t="n"/>
      <c r="AF2" s="701" t="n"/>
      <c r="AG2" s="701" t="n"/>
      <c r="AH2" s="701" t="n"/>
      <c r="AI2" s="701" t="n"/>
      <c r="AJ2" s="30" t="n"/>
    </row>
    <row r="3" ht="15" customHeight="1" s="1676">
      <c r="A3" s="74" t="n"/>
      <c r="B3" s="861" t="inlineStr">
        <is>
          <t>Text_363</t>
        </is>
      </c>
      <c r="C3" s="701" t="n"/>
      <c r="D3" s="701" t="n"/>
      <c r="E3" s="2177">
        <f t="array" ref="E3">IF(L10="FCF",(($E$6*R16)+((365-$E$6)*U16))/365,(($E$6*R14)+((365-$E$6)*U14))/365)</f>
        <v/>
      </c>
      <c r="F3" s="701" t="n"/>
      <c r="G3" s="701" t="n"/>
      <c r="H3" s="701" t="n"/>
      <c r="I3" s="701" t="n"/>
      <c r="J3" s="701" t="n"/>
      <c r="K3" s="701" t="n"/>
      <c r="L3" s="701" t="n"/>
      <c r="M3" s="701" t="n"/>
      <c r="N3" s="701" t="n"/>
      <c r="O3" s="701" t="n"/>
      <c r="P3" s="701" t="n"/>
      <c r="Q3" s="701" t="n"/>
      <c r="R3" s="701" t="n"/>
      <c r="S3" s="701" t="n"/>
      <c r="T3" s="701" t="n"/>
      <c r="U3" s="701" t="n"/>
      <c r="V3" s="701" t="n"/>
      <c r="W3" s="701" t="n"/>
      <c r="X3" s="701" t="n"/>
      <c r="Y3" s="701" t="n"/>
      <c r="Z3" s="701" t="n"/>
      <c r="AA3" s="701" t="n"/>
      <c r="AB3" s="701" t="n"/>
      <c r="AC3" s="701" t="n"/>
      <c r="AD3" s="701" t="n"/>
      <c r="AE3" s="701" t="n"/>
      <c r="AF3" s="701" t="n"/>
      <c r="AG3" s="701" t="n"/>
      <c r="AH3" s="701" t="n"/>
      <c r="AI3" s="701" t="n"/>
      <c r="AJ3" s="30" t="n"/>
    </row>
    <row r="4" ht="15" customHeight="1" s="1676">
      <c r="A4" s="74" t="n"/>
      <c r="B4" s="385" t="inlineStr">
        <is>
          <t>Text_364</t>
        </is>
      </c>
      <c r="C4" s="701" t="n"/>
      <c r="D4" s="701" t="n"/>
      <c r="E4" s="864">
        <f t="array" ref="E4">TODAY()</f>
        <v/>
      </c>
      <c r="F4" s="701" t="n"/>
      <c r="G4" s="701" t="n"/>
      <c r="H4" s="701" t="n"/>
      <c r="I4" s="701" t="n"/>
      <c r="J4" s="701" t="n"/>
      <c r="K4" s="701" t="n"/>
      <c r="L4" s="701" t="n"/>
      <c r="M4" s="701" t="n"/>
      <c r="N4" s="701" t="n"/>
      <c r="O4" s="701" t="n"/>
      <c r="P4" s="701" t="n"/>
      <c r="Q4" s="701" t="n"/>
      <c r="R4" s="701" t="n"/>
      <c r="S4" s="701" t="n"/>
      <c r="T4" s="701" t="n"/>
      <c r="U4" s="701" t="n"/>
      <c r="V4" s="701" t="n"/>
      <c r="W4" s="701" t="n"/>
      <c r="X4" s="701" t="n"/>
      <c r="Y4" s="701" t="n"/>
      <c r="Z4" s="701" t="n"/>
      <c r="AA4" s="701" t="n"/>
      <c r="AB4" s="701" t="n"/>
      <c r="AC4" s="701" t="n"/>
      <c r="AD4" s="701" t="n"/>
      <c r="AE4" s="701" t="n"/>
      <c r="AF4" s="701" t="n"/>
      <c r="AG4" s="701" t="n"/>
      <c r="AH4" s="701" t="n"/>
      <c r="AI4" s="701" t="n"/>
      <c r="AJ4" s="30" t="n"/>
    </row>
    <row r="5" ht="15" customHeight="1" s="1676">
      <c r="A5" s="74" t="n"/>
      <c r="B5" s="861" t="inlineStr">
        <is>
          <t>Text_365</t>
        </is>
      </c>
      <c r="C5" s="701" t="n"/>
      <c r="D5" s="701" t="n"/>
      <c r="E5" s="865" t="n">
        <v>46022</v>
      </c>
      <c r="F5" s="701" t="n"/>
      <c r="G5" s="701" t="n"/>
      <c r="H5" s="701" t="n"/>
      <c r="I5" s="701" t="n"/>
      <c r="J5" s="701" t="n"/>
      <c r="K5" s="701" t="n"/>
      <c r="L5" s="701" t="n"/>
      <c r="M5" s="701" t="n"/>
      <c r="N5" s="701" t="n"/>
      <c r="O5" s="701" t="n"/>
      <c r="P5" s="701" t="n"/>
      <c r="Q5" s="701" t="n"/>
      <c r="R5" s="701" t="n"/>
      <c r="S5" s="701" t="n"/>
      <c r="T5" s="701" t="n"/>
      <c r="U5" s="701" t="n"/>
      <c r="V5" s="701" t="n"/>
      <c r="W5" s="701" t="n"/>
      <c r="X5" s="701" t="n"/>
      <c r="Y5" s="701" t="n"/>
      <c r="Z5" s="701" t="n"/>
      <c r="AA5" s="701" t="n"/>
      <c r="AB5" s="701" t="n"/>
      <c r="AC5" s="701" t="n"/>
      <c r="AD5" s="701" t="n"/>
      <c r="AE5" s="701" t="n"/>
      <c r="AF5" s="701" t="n"/>
      <c r="AG5" s="701" t="n"/>
      <c r="AH5" s="701" t="n"/>
      <c r="AI5" s="701" t="n"/>
      <c r="AJ5" s="30" t="n"/>
    </row>
    <row r="6" ht="15" customHeight="1" s="1676">
      <c r="A6" s="74" t="n"/>
      <c r="B6" s="861" t="inlineStr">
        <is>
          <t>Text_366</t>
        </is>
      </c>
      <c r="C6" s="701" t="n"/>
      <c r="D6" s="701" t="n"/>
      <c r="E6" s="1183">
        <f t="array" ref="E6">E5-E4</f>
        <v/>
      </c>
      <c r="F6" s="701" t="n"/>
      <c r="G6" s="701" t="n"/>
      <c r="H6" s="701" t="n"/>
      <c r="I6" s="701" t="n"/>
      <c r="J6" s="701" t="n"/>
      <c r="K6" s="701" t="n"/>
      <c r="L6" s="701" t="n"/>
      <c r="M6" s="701" t="n"/>
      <c r="N6" s="701" t="n"/>
      <c r="O6" s="701" t="n"/>
      <c r="P6" s="701" t="n"/>
      <c r="Q6" s="701" t="n"/>
      <c r="R6" s="701" t="n"/>
      <c r="S6" s="701" t="n"/>
      <c r="T6" s="701" t="n"/>
      <c r="U6" s="701" t="n"/>
      <c r="V6" s="701" t="n"/>
      <c r="W6" s="701" t="n"/>
      <c r="X6" s="701" t="n"/>
      <c r="Y6" s="701" t="n"/>
      <c r="Z6" s="701" t="n"/>
      <c r="AA6" s="701" t="n"/>
      <c r="AB6" s="701" t="n"/>
      <c r="AC6" s="701" t="n"/>
      <c r="AD6" s="701" t="n"/>
      <c r="AE6" s="701" t="n"/>
      <c r="AF6" s="701" t="n"/>
      <c r="AG6" s="701" t="n"/>
      <c r="AH6" s="701" t="n"/>
      <c r="AI6" s="701" t="n"/>
      <c r="AJ6" s="30" t="n"/>
    </row>
    <row r="7" ht="13.55" customHeight="1" s="1676">
      <c r="A7" s="74" t="n"/>
      <c r="B7" s="701" t="n"/>
      <c r="C7" s="701" t="n"/>
      <c r="D7" s="701" t="n"/>
      <c r="E7" s="701" t="n"/>
      <c r="F7" s="701" t="n"/>
      <c r="G7" s="701" t="n"/>
      <c r="H7" s="701" t="n"/>
      <c r="I7" s="701" t="n"/>
      <c r="J7" s="701" t="n"/>
      <c r="K7" s="701" t="n"/>
      <c r="L7" s="701" t="n"/>
      <c r="M7" s="701" t="n"/>
      <c r="N7" s="701" t="n"/>
      <c r="O7" s="701" t="n"/>
      <c r="P7" s="701" t="n"/>
      <c r="Q7" s="701" t="n"/>
      <c r="R7" s="701" t="n"/>
      <c r="S7" s="701" t="n"/>
      <c r="T7" s="701" t="n"/>
      <c r="U7" s="701" t="n"/>
      <c r="V7" s="701" t="n"/>
      <c r="W7" s="701" t="n"/>
      <c r="X7" s="701" t="n"/>
      <c r="Y7" s="701" t="n"/>
      <c r="Z7" s="701" t="n"/>
      <c r="AA7" s="701" t="n"/>
      <c r="AB7" s="701" t="n"/>
      <c r="AC7" s="701" t="n"/>
      <c r="AD7" s="701" t="n"/>
      <c r="AE7" s="701" t="n"/>
      <c r="AF7" s="701" t="n"/>
      <c r="AG7" s="701" t="n"/>
      <c r="AH7" s="701" t="n"/>
      <c r="AI7" s="701" t="n"/>
      <c r="AJ7" s="30" t="n"/>
    </row>
    <row r="8" ht="13.5" customHeight="1" s="1676">
      <c r="A8" s="74" t="n"/>
      <c r="B8" s="867" t="n"/>
      <c r="C8" s="867" t="n"/>
      <c r="D8" s="701" t="n"/>
      <c r="E8" s="701" t="n"/>
      <c r="F8" s="701" t="n"/>
      <c r="G8" s="701" t="n"/>
      <c r="H8" s="701" t="n"/>
      <c r="I8" s="701" t="n"/>
      <c r="J8" s="701" t="n"/>
      <c r="K8" s="701" t="n"/>
      <c r="L8" s="701" t="n"/>
      <c r="M8" s="701" t="n"/>
      <c r="N8" s="701" t="n"/>
      <c r="O8" s="701" t="n"/>
      <c r="P8" s="701" t="n"/>
      <c r="Q8" s="701" t="n"/>
      <c r="R8" s="701" t="n"/>
      <c r="S8" s="701" t="n"/>
      <c r="T8" s="701" t="n"/>
      <c r="U8" s="701" t="n"/>
      <c r="V8" s="701" t="n"/>
      <c r="W8" s="701" t="n"/>
      <c r="X8" s="701" t="n"/>
      <c r="Y8" s="701" t="n"/>
      <c r="Z8" s="701" t="n"/>
      <c r="AA8" s="701" t="n"/>
      <c r="AB8" s="701" t="n"/>
      <c r="AC8" s="701" t="n"/>
      <c r="AD8" s="701" t="n"/>
      <c r="AE8" s="701" t="n"/>
      <c r="AF8" s="701" t="n"/>
      <c r="AG8" s="701" t="n"/>
      <c r="AH8" s="701" t="n"/>
      <c r="AI8" s="701" t="n"/>
      <c r="AJ8" s="30" t="n"/>
    </row>
    <row r="9" ht="13.5" customHeight="1" s="1676">
      <c r="A9" s="868" t="n"/>
      <c r="B9" s="869" t="inlineStr">
        <is>
          <t>Text_361</t>
        </is>
      </c>
      <c r="C9" s="2178" t="n"/>
      <c r="D9" s="871" t="n"/>
      <c r="E9" s="701" t="n"/>
      <c r="F9" s="179" t="n"/>
      <c r="G9" s="701" t="n"/>
      <c r="H9" s="701" t="n"/>
      <c r="I9" s="179" t="n"/>
      <c r="J9" s="701" t="n"/>
      <c r="K9" s="701" t="n"/>
      <c r="L9" s="179" t="n"/>
      <c r="M9" s="701" t="n"/>
      <c r="N9" s="701" t="n"/>
      <c r="O9" s="701" t="n"/>
      <c r="P9" s="701" t="n"/>
      <c r="Q9" s="701" t="n"/>
      <c r="R9" s="701" t="n"/>
      <c r="S9" s="701" t="n"/>
      <c r="T9" s="701" t="n"/>
      <c r="U9" s="701" t="n"/>
      <c r="V9" s="701" t="n"/>
      <c r="W9" s="701" t="n"/>
      <c r="X9" s="701" t="n"/>
      <c r="Y9" s="701" t="n"/>
      <c r="Z9" s="701" t="n"/>
      <c r="AA9" s="701" t="n"/>
      <c r="AB9" s="701" t="n"/>
      <c r="AC9" s="701" t="n"/>
      <c r="AD9" s="701" t="n"/>
      <c r="AE9" s="701" t="n"/>
      <c r="AF9" s="701" t="n"/>
      <c r="AG9" s="701" t="n"/>
      <c r="AH9" s="701" t="n"/>
      <c r="AI9" s="701" t="n"/>
      <c r="AJ9" s="30" t="n"/>
    </row>
    <row r="10" ht="15" customHeight="1" s="1676">
      <c r="A10" s="868" t="n"/>
      <c r="B10" s="872" t="inlineStr">
        <is>
          <t>Text_367</t>
        </is>
      </c>
      <c r="C10" s="2178" t="n"/>
      <c r="D10" s="871" t="n"/>
      <c r="E10" s="873" t="inlineStr">
        <is>
          <t>Text_368</t>
        </is>
      </c>
      <c r="F10" s="2179" t="n">
        <v>0.0295961412705697</v>
      </c>
      <c r="G10" s="875" t="n"/>
      <c r="H10" s="876" t="inlineStr">
        <is>
          <t>Text_369</t>
        </is>
      </c>
      <c r="I10" s="2180">
        <f t="array" ref="I10">'Valuation'!Y54</f>
        <v/>
      </c>
      <c r="J10" s="875" t="n"/>
      <c r="K10" s="876" t="inlineStr">
        <is>
          <t>Text_370</t>
        </is>
      </c>
      <c r="L10" s="878" t="inlineStr">
        <is>
          <t>Text_371</t>
        </is>
      </c>
      <c r="M10" s="456" t="n"/>
      <c r="N10" s="701" t="n"/>
      <c r="O10" s="701" t="n"/>
      <c r="P10" s="701" t="n"/>
      <c r="Q10" s="701" t="n"/>
      <c r="R10" s="701" t="n"/>
      <c r="S10" s="701" t="n"/>
      <c r="T10" s="701" t="n"/>
      <c r="U10" s="701" t="n"/>
      <c r="V10" s="701" t="n"/>
      <c r="W10" s="701" t="n"/>
      <c r="X10" s="701" t="n"/>
      <c r="Y10" s="701" t="n"/>
      <c r="Z10" s="701" t="n"/>
      <c r="AA10" s="701" t="n"/>
      <c r="AB10" s="701" t="n"/>
      <c r="AC10" s="701" t="n"/>
      <c r="AD10" s="701" t="n"/>
      <c r="AE10" s="701" t="n"/>
      <c r="AF10" s="701" t="n"/>
      <c r="AG10" s="701" t="n"/>
      <c r="AH10" s="701" t="n"/>
      <c r="AI10" s="701" t="n"/>
      <c r="AJ10" s="30" t="n"/>
    </row>
    <row r="11" ht="13.5" customHeight="1" s="1676">
      <c r="A11" s="74" t="n"/>
      <c r="B11" s="879" t="n"/>
      <c r="C11" s="879" t="n"/>
      <c r="D11" s="867" t="n"/>
      <c r="E11" s="867" t="n"/>
      <c r="F11" s="880" t="n"/>
      <c r="G11" s="867" t="n"/>
      <c r="H11" s="867" t="n"/>
      <c r="I11" s="880" t="n"/>
      <c r="J11" s="867" t="n"/>
      <c r="K11" s="867" t="n"/>
      <c r="L11" s="880" t="n"/>
      <c r="M11" s="867" t="n"/>
      <c r="N11" s="867" t="n"/>
      <c r="O11" s="867" t="n"/>
      <c r="P11" s="867" t="n"/>
      <c r="Q11" s="867" t="n"/>
      <c r="R11" s="867" t="n"/>
      <c r="S11" s="867" t="n"/>
      <c r="T11" s="867" t="n"/>
      <c r="U11" s="867" t="n"/>
      <c r="V11" s="867" t="n"/>
      <c r="W11" s="867" t="n"/>
      <c r="X11" s="867" t="n"/>
      <c r="Y11" s="867" t="n"/>
      <c r="Z11" s="867" t="n"/>
      <c r="AA11" s="867" t="n"/>
      <c r="AB11" s="701" t="n"/>
      <c r="AC11" s="867" t="n"/>
      <c r="AD11" s="867" t="n"/>
      <c r="AE11" s="867" t="n"/>
      <c r="AF11" s="867" t="n"/>
      <c r="AG11" s="701" t="n"/>
      <c r="AH11" s="701" t="n"/>
      <c r="AI11" s="701" t="n"/>
      <c r="AJ11" s="30" t="n"/>
    </row>
    <row r="12" ht="23.25" customHeight="1" s="1676">
      <c r="A12" s="868" t="n"/>
      <c r="B12" s="881" t="inlineStr">
        <is>
          <t>Text_372</t>
        </is>
      </c>
      <c r="C12" s="2181" t="n"/>
      <c r="D12" s="2181" t="n"/>
      <c r="E12" s="2181" t="n"/>
      <c r="F12" s="2181" t="n"/>
      <c r="G12" s="2181" t="n"/>
      <c r="H12" s="2181" t="n"/>
      <c r="I12" s="2181" t="n"/>
      <c r="J12" s="2181" t="n"/>
      <c r="K12" s="2181" t="n"/>
      <c r="L12" s="2181" t="n"/>
      <c r="M12" s="2181" t="n"/>
      <c r="N12" s="2181" t="n"/>
      <c r="O12" s="2181" t="n"/>
      <c r="P12" s="2181" t="n"/>
      <c r="Q12" s="2181" t="n"/>
      <c r="R12" s="2181" t="n"/>
      <c r="S12" s="2181" t="n"/>
      <c r="T12" s="2181" t="n"/>
      <c r="U12" s="2181" t="n"/>
      <c r="V12" s="2181" t="n"/>
      <c r="W12" s="2181" t="n"/>
      <c r="X12" s="2181" t="n"/>
      <c r="Y12" s="2181" t="n"/>
      <c r="Z12" s="2181" t="n"/>
      <c r="AA12" s="2178" t="n"/>
      <c r="AB12" s="884" t="n"/>
      <c r="AC12" s="885" t="inlineStr">
        <is>
          <t>Text_373</t>
        </is>
      </c>
      <c r="AD12" s="2181" t="n"/>
      <c r="AE12" s="2181" t="n"/>
      <c r="AF12" s="2178" t="n"/>
      <c r="AG12" s="871" t="n"/>
      <c r="AH12" s="701" t="n"/>
      <c r="AI12" s="701" t="n"/>
      <c r="AJ12" s="30" t="n"/>
    </row>
    <row r="13" ht="12.75" customHeight="1" s="1676">
      <c r="A13" s="74" t="n"/>
      <c r="B13" s="886" t="n"/>
      <c r="C13" s="887" t="n"/>
      <c r="D13" s="888" t="n"/>
      <c r="E13" s="888" t="n"/>
      <c r="F13" s="887" t="n"/>
      <c r="G13" s="888" t="n"/>
      <c r="H13" s="888" t="n"/>
      <c r="I13" s="887" t="n"/>
      <c r="J13" s="888" t="n"/>
      <c r="K13" s="888" t="n"/>
      <c r="L13" s="887" t="n"/>
      <c r="M13" s="888" t="n"/>
      <c r="N13" s="888" t="n"/>
      <c r="O13" s="887" t="n"/>
      <c r="P13" s="888" t="n"/>
      <c r="Q13" s="888" t="n"/>
      <c r="R13" s="887" t="n"/>
      <c r="S13" s="888" t="n"/>
      <c r="T13" s="888" t="n"/>
      <c r="U13" s="887" t="n"/>
      <c r="V13" s="888" t="n"/>
      <c r="W13" s="888" t="n"/>
      <c r="X13" s="887" t="n"/>
      <c r="Y13" s="888" t="n"/>
      <c r="Z13" s="888" t="n"/>
      <c r="AA13" s="887" t="n"/>
      <c r="AB13" s="889" t="n"/>
      <c r="AC13" s="890" t="n"/>
      <c r="AD13" s="888" t="n"/>
      <c r="AE13" s="887" t="n"/>
      <c r="AF13" s="891" t="n"/>
      <c r="AG13" s="871" t="n"/>
      <c r="AH13" s="892" t="n"/>
      <c r="AI13" s="892" t="n"/>
      <c r="AJ13" s="893" t="n"/>
    </row>
    <row r="14" ht="28.5" customHeight="1" s="1676">
      <c r="A14" s="74" t="n"/>
      <c r="B14" s="876" t="inlineStr">
        <is>
          <t>Text_374</t>
        </is>
      </c>
      <c r="C14" s="2182" t="n"/>
      <c r="D14" s="456" t="n"/>
      <c r="E14" s="876" t="inlineStr">
        <is>
          <t>Text_375</t>
        </is>
      </c>
      <c r="F14" s="2183">
        <f t="array" ref="F14">'Valuation'!N45</f>
        <v/>
      </c>
      <c r="G14" s="456" t="n"/>
      <c r="H14" s="876" t="inlineStr">
        <is>
          <t>Text_376</t>
        </is>
      </c>
      <c r="I14" s="2183">
        <f t="array" ref="I14">'Valuation'!N46</f>
        <v/>
      </c>
      <c r="J14" s="456" t="n"/>
      <c r="K14" s="876" t="inlineStr">
        <is>
          <t>Text_377</t>
        </is>
      </c>
      <c r="L14" s="2183">
        <f t="array" ref="L14">'Valuation'!N47</f>
        <v/>
      </c>
      <c r="M14" s="456" t="n"/>
      <c r="N14" s="876" t="inlineStr">
        <is>
          <t>Text_378</t>
        </is>
      </c>
      <c r="O14" s="2183">
        <f t="array" ref="O14">'Valuation'!N48</f>
        <v/>
      </c>
      <c r="P14" s="456" t="n"/>
      <c r="Q14" s="876" t="inlineStr">
        <is>
          <t>Text_379</t>
        </is>
      </c>
      <c r="R14" s="2183">
        <f t="array" ref="R14">'Valuation'!N49</f>
        <v/>
      </c>
      <c r="S14" s="456" t="n"/>
      <c r="T14" s="876" t="inlineStr">
        <is>
          <t>Text_380</t>
        </is>
      </c>
      <c r="U14" s="2184">
        <f t="array" ref="U14">'Valuation'!N50</f>
        <v/>
      </c>
      <c r="V14" s="2185" t="n"/>
      <c r="W14" s="876" t="inlineStr">
        <is>
          <t>Text_381</t>
        </is>
      </c>
      <c r="X14" s="2184" t="n"/>
      <c r="Y14" s="2185" t="n"/>
      <c r="Z14" s="876" t="inlineStr">
        <is>
          <t>Text_382</t>
        </is>
      </c>
      <c r="AA14" s="2184" t="n"/>
      <c r="AB14" s="2186" t="n"/>
      <c r="AC14" s="2187" t="n"/>
      <c r="AD14" s="876" t="inlineStr">
        <is>
          <t>Text_383</t>
        </is>
      </c>
      <c r="AE14" s="900" t="n"/>
      <c r="AF14" s="901" t="n"/>
      <c r="AG14" s="871" t="n"/>
      <c r="AH14" s="902" t="n"/>
      <c r="AI14" s="902" t="n"/>
      <c r="AJ14" s="903" t="n"/>
    </row>
    <row r="15" ht="28.5" customHeight="1" s="1676">
      <c r="A15" s="74" t="n"/>
      <c r="B15" s="904" t="n"/>
      <c r="C15" s="905" t="n"/>
      <c r="D15" s="701" t="n"/>
      <c r="E15" s="904" t="n"/>
      <c r="F15" s="905" t="n"/>
      <c r="G15" s="701" t="n"/>
      <c r="H15" s="904" t="n"/>
      <c r="I15" s="905" t="n"/>
      <c r="J15" s="701" t="n"/>
      <c r="K15" s="904" t="n"/>
      <c r="L15" s="905" t="n"/>
      <c r="M15" s="701" t="n"/>
      <c r="N15" s="904" t="n"/>
      <c r="O15" s="905" t="n"/>
      <c r="P15" s="701" t="n"/>
      <c r="Q15" s="904" t="n"/>
      <c r="R15" s="905" t="n"/>
      <c r="S15" s="701" t="n"/>
      <c r="T15" s="906" t="n"/>
      <c r="U15" s="905" t="n"/>
      <c r="V15" s="907" t="n"/>
      <c r="W15" s="906" t="n"/>
      <c r="X15" s="905" t="n"/>
      <c r="Y15" s="907" t="n"/>
      <c r="Z15" s="906" t="n"/>
      <c r="AA15" s="905" t="n"/>
      <c r="AB15" s="908" t="n"/>
      <c r="AC15" s="909" t="n"/>
      <c r="AD15" s="910" t="inlineStr">
        <is>
          <t>Text_8</t>
        </is>
      </c>
      <c r="AE15" s="900" t="n"/>
      <c r="AF15" s="911" t="n"/>
      <c r="AG15" s="871" t="n"/>
      <c r="AH15" s="892" t="n"/>
      <c r="AI15" s="892" t="n"/>
      <c r="AJ15" s="893" t="n"/>
    </row>
    <row r="16" ht="28.5" customHeight="1" s="1676">
      <c r="A16" s="74" t="n"/>
      <c r="B16" s="876" t="inlineStr">
        <is>
          <t>Text_384</t>
        </is>
      </c>
      <c r="C16" s="2182" t="n"/>
      <c r="D16" s="456" t="n"/>
      <c r="E16" s="876" t="inlineStr">
        <is>
          <t>Text_385</t>
        </is>
      </c>
      <c r="F16" s="2183">
        <f t="array" ref="F16">'Valuation'!N55</f>
        <v/>
      </c>
      <c r="G16" s="456" t="n"/>
      <c r="H16" s="876" t="inlineStr">
        <is>
          <t>Text_386</t>
        </is>
      </c>
      <c r="I16" s="2183">
        <f t="array" ref="I16">'Valuation'!N56</f>
        <v/>
      </c>
      <c r="J16" s="456" t="n"/>
      <c r="K16" s="876" t="inlineStr">
        <is>
          <t>Text_387</t>
        </is>
      </c>
      <c r="L16" s="2183">
        <f t="array" ref="L16">'Valuation'!N57</f>
        <v/>
      </c>
      <c r="M16" s="456" t="n"/>
      <c r="N16" s="876" t="inlineStr">
        <is>
          <t>Text_388</t>
        </is>
      </c>
      <c r="O16" s="2183">
        <f t="array" ref="O16">'Valuation'!N58</f>
        <v/>
      </c>
      <c r="P16" s="456" t="n"/>
      <c r="Q16" s="876" t="inlineStr">
        <is>
          <t>Text_389</t>
        </is>
      </c>
      <c r="R16" s="2183">
        <f t="array" ref="R16">'Valuation'!N59</f>
        <v/>
      </c>
      <c r="S16" s="456" t="n"/>
      <c r="T16" s="876" t="inlineStr">
        <is>
          <t>Text_390</t>
        </is>
      </c>
      <c r="U16" s="2184">
        <f t="array" ref="U16">'Valuation'!N60</f>
        <v/>
      </c>
      <c r="V16" s="2185" t="n"/>
      <c r="W16" s="876" t="inlineStr">
        <is>
          <t>Text_391</t>
        </is>
      </c>
      <c r="X16" s="2184" t="n"/>
      <c r="Y16" s="2185" t="n"/>
      <c r="Z16" s="876" t="inlineStr">
        <is>
          <t>Text_392</t>
        </is>
      </c>
      <c r="AA16" s="2184" t="n"/>
      <c r="AB16" s="2186" t="n"/>
      <c r="AC16" s="2187" t="n"/>
      <c r="AD16" s="904" t="n"/>
      <c r="AE16" s="69" t="n"/>
      <c r="AF16" s="889" t="n"/>
      <c r="AG16" s="871" t="n"/>
      <c r="AH16" s="902" t="n"/>
      <c r="AI16" s="902" t="n"/>
      <c r="AJ16" s="903" t="n"/>
    </row>
    <row r="17" ht="28.5" customHeight="1" s="1676">
      <c r="A17" s="74" t="n"/>
      <c r="B17" s="906" t="n"/>
      <c r="C17" s="905" t="n"/>
      <c r="D17" s="701" t="n"/>
      <c r="E17" s="906" t="n"/>
      <c r="F17" s="905" t="n"/>
      <c r="G17" s="701" t="n"/>
      <c r="H17" s="906" t="n"/>
      <c r="I17" s="905" t="n"/>
      <c r="J17" s="701" t="n"/>
      <c r="K17" s="906" t="n"/>
      <c r="L17" s="905" t="n"/>
      <c r="M17" s="701" t="n"/>
      <c r="N17" s="906" t="n"/>
      <c r="O17" s="905" t="n"/>
      <c r="P17" s="701" t="n"/>
      <c r="Q17" s="906" t="n"/>
      <c r="R17" s="905" t="n"/>
      <c r="S17" s="701" t="n"/>
      <c r="T17" s="906" t="n"/>
      <c r="U17" s="905" t="n"/>
      <c r="V17" s="907" t="n"/>
      <c r="W17" s="906" t="n"/>
      <c r="X17" s="905" t="n"/>
      <c r="Y17" s="907" t="n"/>
      <c r="Z17" s="906" t="n"/>
      <c r="AA17" s="905" t="n"/>
      <c r="AB17" s="908" t="n"/>
      <c r="AC17" s="909" t="n"/>
      <c r="AD17" s="910" t="inlineStr">
        <is>
          <t>Text_393</t>
        </is>
      </c>
      <c r="AE17" s="900" t="n"/>
      <c r="AF17" s="911" t="n"/>
      <c r="AG17" s="871" t="n"/>
      <c r="AH17" s="892" t="n"/>
      <c r="AI17" s="892" t="n"/>
      <c r="AJ17" s="893" t="n"/>
    </row>
    <row r="18" ht="34.5" customHeight="1" s="1676">
      <c r="A18" s="74" t="n"/>
      <c r="B18" s="876" t="inlineStr">
        <is>
          <t>Text_394</t>
        </is>
      </c>
      <c r="C18" s="2182" t="n"/>
      <c r="D18" s="456" t="n"/>
      <c r="E18" s="876" t="inlineStr">
        <is>
          <t>Text_395</t>
        </is>
      </c>
      <c r="F18" s="2183">
        <f t="array" ref="F18">'Model'!AQ358</f>
        <v/>
      </c>
      <c r="G18" s="456" t="n"/>
      <c r="H18" s="876" t="inlineStr">
        <is>
          <t>Text_396</t>
        </is>
      </c>
      <c r="I18" s="2183">
        <f t="array" ref="I18">'Model'!AV358</f>
        <v/>
      </c>
      <c r="J18" s="456" t="n"/>
      <c r="K18" s="876" t="inlineStr">
        <is>
          <t>Text_397</t>
        </is>
      </c>
      <c r="L18" s="2183">
        <f t="array" ref="L18">'Model'!BA358</f>
        <v/>
      </c>
      <c r="M18" s="456" t="n"/>
      <c r="N18" s="876" t="inlineStr">
        <is>
          <t>Text_398</t>
        </is>
      </c>
      <c r="O18" s="2184">
        <f t="array" ref="O18">'Model'!BF358</f>
        <v/>
      </c>
      <c r="P18" s="456" t="n"/>
      <c r="Q18" s="876" t="inlineStr">
        <is>
          <t>Text_399</t>
        </is>
      </c>
      <c r="R18" s="2184">
        <f t="array" ref="R18">'Model'!BK358</f>
        <v/>
      </c>
      <c r="S18" s="456" t="n"/>
      <c r="T18" s="876" t="inlineStr">
        <is>
          <t>Text_400</t>
        </is>
      </c>
      <c r="U18" s="2184" t="n"/>
      <c r="V18" s="2185" t="n"/>
      <c r="W18" s="876" t="inlineStr">
        <is>
          <t>Text_401</t>
        </is>
      </c>
      <c r="X18" s="2184" t="n"/>
      <c r="Y18" s="2185" t="n"/>
      <c r="Z18" s="876" t="inlineStr">
        <is>
          <t>Text_402</t>
        </is>
      </c>
      <c r="AA18" s="2184" t="n"/>
      <c r="AB18" s="2186" t="n"/>
      <c r="AC18" s="2187" t="n"/>
      <c r="AD18" s="876" t="inlineStr">
        <is>
          <t>Text_403</t>
        </is>
      </c>
      <c r="AE18" s="900" t="n"/>
      <c r="AF18" s="901" t="n"/>
      <c r="AG18" s="871" t="n"/>
      <c r="AH18" s="902" t="n"/>
      <c r="AI18" s="902" t="n"/>
      <c r="AJ18" s="903" t="n"/>
    </row>
    <row r="19" ht="12" customHeight="1" s="1676">
      <c r="A19" s="74" t="n"/>
      <c r="B19" s="904" t="n"/>
      <c r="C19" s="2188" t="n"/>
      <c r="D19" s="701" t="n"/>
      <c r="E19" s="904" t="n"/>
      <c r="F19" s="2188" t="n"/>
      <c r="G19" s="701" t="n"/>
      <c r="H19" s="904" t="n"/>
      <c r="I19" s="2188" t="n"/>
      <c r="J19" s="701" t="n"/>
      <c r="K19" s="904" t="n"/>
      <c r="L19" s="2188" t="n"/>
      <c r="M19" s="701" t="n"/>
      <c r="N19" s="904" t="n"/>
      <c r="O19" s="2188" t="n"/>
      <c r="P19" s="701" t="n"/>
      <c r="Q19" s="904" t="n"/>
      <c r="R19" s="2188" t="n"/>
      <c r="S19" s="701" t="n"/>
      <c r="T19" s="904" t="n"/>
      <c r="U19" s="2188" t="n"/>
      <c r="V19" s="2189" t="n"/>
      <c r="W19" s="904" t="n"/>
      <c r="X19" s="2188" t="n"/>
      <c r="Y19" s="2189" t="n"/>
      <c r="Z19" s="904" t="n"/>
      <c r="AA19" s="2188" t="n"/>
      <c r="AB19" s="2190" t="n"/>
      <c r="AC19" s="2191" t="n"/>
      <c r="AD19" s="916" t="n"/>
      <c r="AE19" s="917" t="n"/>
      <c r="AF19" s="918" t="n"/>
      <c r="AG19" s="871" t="n"/>
      <c r="AH19" s="919" t="n"/>
      <c r="AI19" s="919" t="n"/>
      <c r="AJ19" s="920" t="n"/>
    </row>
    <row r="20" ht="14.25" customHeight="1" s="1676">
      <c r="A20" s="74" t="n"/>
      <c r="B20" s="904" t="n"/>
      <c r="C20" s="921" t="n"/>
      <c r="D20" s="701" t="n"/>
      <c r="E20" s="904" t="n"/>
      <c r="F20" s="921" t="n"/>
      <c r="G20" s="701" t="n"/>
      <c r="H20" s="906" t="n"/>
      <c r="I20" s="921" t="n"/>
      <c r="J20" s="701" t="n"/>
      <c r="K20" s="906" t="n"/>
      <c r="L20" s="921" t="n"/>
      <c r="M20" s="701" t="n"/>
      <c r="N20" s="906" t="n"/>
      <c r="O20" s="921" t="n"/>
      <c r="P20" s="701" t="n"/>
      <c r="Q20" s="906" t="n"/>
      <c r="R20" s="921" t="n"/>
      <c r="S20" s="701" t="n"/>
      <c r="T20" s="906" t="n"/>
      <c r="U20" s="921" t="n"/>
      <c r="V20" s="907" t="n"/>
      <c r="W20" s="906" t="n"/>
      <c r="X20" s="921" t="n"/>
      <c r="Y20" s="907" t="n"/>
      <c r="Z20" s="906" t="n"/>
      <c r="AA20" s="921" t="n"/>
      <c r="AB20" s="907" t="n"/>
      <c r="AC20" s="922" t="n"/>
      <c r="AD20" s="879" t="n"/>
      <c r="AE20" s="922" t="n"/>
      <c r="AF20" s="922" t="n"/>
      <c r="AG20" s="701" t="n"/>
      <c r="AH20" s="701" t="n"/>
      <c r="AI20" s="701" t="n"/>
      <c r="AJ20" s="30" t="n"/>
    </row>
    <row r="21" ht="42" customHeight="1" s="1676">
      <c r="A21" s="74" t="n"/>
      <c r="B21" s="876" t="inlineStr">
        <is>
          <t>Text_404</t>
        </is>
      </c>
      <c r="C21" s="2182" t="n"/>
      <c r="D21" s="456" t="n"/>
      <c r="E21" s="876" t="inlineStr">
        <is>
          <t>Text_405</t>
        </is>
      </c>
      <c r="F21" s="2183">
        <f t="array" ref="F21">'Model'!AQ357</f>
        <v/>
      </c>
      <c r="G21" s="456" t="n"/>
      <c r="H21" s="876" t="inlineStr">
        <is>
          <t>Text_406</t>
        </is>
      </c>
      <c r="I21" s="2183">
        <f t="array" ref="I21">'Model'!AV357</f>
        <v/>
      </c>
      <c r="J21" s="456" t="n"/>
      <c r="K21" s="876" t="inlineStr">
        <is>
          <t>Text_407</t>
        </is>
      </c>
      <c r="L21" s="2183">
        <f t="array" ref="L21">'Model'!BA357</f>
        <v/>
      </c>
      <c r="M21" s="456" t="n"/>
      <c r="N21" s="876" t="inlineStr">
        <is>
          <t>Text_408</t>
        </is>
      </c>
      <c r="O21" s="2184">
        <f t="array" ref="O21">'Model'!BF357</f>
        <v/>
      </c>
      <c r="P21" s="456" t="n"/>
      <c r="Q21" s="876" t="inlineStr">
        <is>
          <t>Text_409</t>
        </is>
      </c>
      <c r="R21" s="2184">
        <f t="array" ref="R21">'Model'!BK357</f>
        <v/>
      </c>
      <c r="S21" s="456" t="n"/>
      <c r="T21" s="876" t="inlineStr">
        <is>
          <t>Text_410</t>
        </is>
      </c>
      <c r="U21" s="2184" t="n"/>
      <c r="V21" s="2185" t="n"/>
      <c r="W21" s="876" t="inlineStr">
        <is>
          <t>Text_411</t>
        </is>
      </c>
      <c r="X21" s="2184" t="n"/>
      <c r="Y21" s="2185" t="n"/>
      <c r="Z21" s="876" t="inlineStr">
        <is>
          <t>Text_412</t>
        </is>
      </c>
      <c r="AA21" s="2184" t="n"/>
      <c r="AB21" s="2186" t="n"/>
      <c r="AC21" s="881" t="inlineStr">
        <is>
          <t>Text_413</t>
        </is>
      </c>
      <c r="AD21" s="2181" t="n"/>
      <c r="AE21" s="2181" t="n"/>
      <c r="AF21" s="2178" t="n"/>
      <c r="AG21" s="871" t="n"/>
      <c r="AH21" s="701" t="n"/>
      <c r="AI21" s="701" t="n"/>
      <c r="AJ21" s="30" t="n"/>
    </row>
    <row r="22" ht="28.5" customHeight="1" s="1676">
      <c r="A22" s="74" t="n"/>
      <c r="B22" s="904" t="n"/>
      <c r="C22" s="905" t="n"/>
      <c r="D22" s="701" t="n"/>
      <c r="E22" s="904" t="n"/>
      <c r="F22" s="905" t="n"/>
      <c r="G22" s="701" t="n"/>
      <c r="H22" s="906" t="n"/>
      <c r="I22" s="905" t="n"/>
      <c r="J22" s="701" t="n"/>
      <c r="K22" s="906" t="n"/>
      <c r="L22" s="905" t="n"/>
      <c r="M22" s="701" t="n"/>
      <c r="N22" s="906" t="n"/>
      <c r="O22" s="905" t="n"/>
      <c r="P22" s="701" t="n"/>
      <c r="Q22" s="906" t="n"/>
      <c r="R22" s="905" t="n"/>
      <c r="S22" s="701" t="n"/>
      <c r="T22" s="906" t="n"/>
      <c r="U22" s="905" t="n"/>
      <c r="V22" s="907" t="n"/>
      <c r="W22" s="906" t="n"/>
      <c r="X22" s="905" t="n"/>
      <c r="Y22" s="907" t="n"/>
      <c r="Z22" s="906" t="n"/>
      <c r="AA22" s="905" t="n"/>
      <c r="AB22" s="908" t="n"/>
      <c r="AC22" s="923" t="n"/>
      <c r="AD22" s="924" t="inlineStr">
        <is>
          <t>Text_383</t>
        </is>
      </c>
      <c r="AE22" s="925">
        <f t="array" ref="AE22">E2*I10</f>
        <v/>
      </c>
      <c r="AF22" s="926" t="n"/>
      <c r="AG22" s="871" t="n"/>
      <c r="AH22" s="701" t="n"/>
      <c r="AI22" s="701" t="n"/>
      <c r="AJ22" s="30" t="n"/>
    </row>
    <row r="23" ht="28.5" customHeight="1" s="1676">
      <c r="A23" s="74" t="n"/>
      <c r="B23" s="876" t="inlineStr">
        <is>
          <t>Text_414</t>
        </is>
      </c>
      <c r="C23" s="2182" t="n"/>
      <c r="D23" s="456" t="n"/>
      <c r="E23" s="876" t="inlineStr">
        <is>
          <t>Text_415</t>
        </is>
      </c>
      <c r="F23" s="927" t="n"/>
      <c r="G23" s="456" t="n"/>
      <c r="H23" s="876" t="inlineStr">
        <is>
          <t>Text_416</t>
        </is>
      </c>
      <c r="I23" s="927" t="n"/>
      <c r="J23" s="456" t="n"/>
      <c r="K23" s="876" t="inlineStr">
        <is>
          <t>Text_417</t>
        </is>
      </c>
      <c r="L23" s="927" t="n"/>
      <c r="M23" s="456" t="n"/>
      <c r="N23" s="876" t="inlineStr">
        <is>
          <t>Text_418</t>
        </is>
      </c>
      <c r="O23" s="927" t="n"/>
      <c r="P23" s="456" t="n"/>
      <c r="Q23" s="876" t="inlineStr">
        <is>
          <t>Text_419</t>
        </is>
      </c>
      <c r="R23" s="2184" t="n"/>
      <c r="S23" s="456" t="n"/>
      <c r="T23" s="876" t="inlineStr">
        <is>
          <t>Text_420</t>
        </is>
      </c>
      <c r="U23" s="2184" t="n"/>
      <c r="V23" s="928" t="n"/>
      <c r="W23" s="876" t="inlineStr">
        <is>
          <t>Text_421</t>
        </is>
      </c>
      <c r="X23" s="2184" t="n"/>
      <c r="Y23" s="928" t="n"/>
      <c r="Z23" s="876" t="inlineStr">
        <is>
          <t>Text_422</t>
        </is>
      </c>
      <c r="AA23" s="2184" t="n"/>
      <c r="AB23" s="929" t="n"/>
      <c r="AC23" s="930" t="n"/>
      <c r="AD23" s="931" t="inlineStr">
        <is>
          <t>Text_8</t>
        </is>
      </c>
      <c r="AE23" s="932">
        <f t="array" ref="AE23">I10*E3</f>
        <v/>
      </c>
      <c r="AF23" s="918" t="n"/>
      <c r="AG23" s="871" t="n"/>
      <c r="AH23" s="701" t="n"/>
      <c r="AI23" s="701" t="n"/>
      <c r="AJ23" s="30" t="n"/>
    </row>
    <row r="24" ht="28.5" customHeight="1" s="1676">
      <c r="A24" s="74" t="n"/>
      <c r="B24" s="904" t="n"/>
      <c r="C24" s="2192" t="n"/>
      <c r="D24" s="701" t="n"/>
      <c r="E24" s="904" t="n"/>
      <c r="F24" s="2192" t="n"/>
      <c r="G24" s="701" t="n"/>
      <c r="H24" s="904" t="n"/>
      <c r="I24" s="2192" t="n"/>
      <c r="J24" s="701" t="n"/>
      <c r="K24" s="904" t="n"/>
      <c r="L24" s="905" t="n"/>
      <c r="M24" s="701" t="n"/>
      <c r="N24" s="906" t="n"/>
      <c r="O24" s="905" t="n"/>
      <c r="P24" s="701" t="n"/>
      <c r="Q24" s="906" t="n"/>
      <c r="R24" s="905" t="n"/>
      <c r="S24" s="701" t="n"/>
      <c r="T24" s="906" t="n"/>
      <c r="U24" s="905" t="n"/>
      <c r="V24" s="907" t="n"/>
      <c r="W24" s="906" t="n"/>
      <c r="X24" s="905" t="n"/>
      <c r="Y24" s="907" t="n"/>
      <c r="Z24" s="906" t="n"/>
      <c r="AA24" s="905" t="n"/>
      <c r="AB24" s="907" t="n"/>
      <c r="AC24" s="934" t="n"/>
      <c r="AD24" s="888" t="n"/>
      <c r="AE24" s="934" t="n"/>
      <c r="AF24" s="934" t="n"/>
      <c r="AG24" s="701" t="n"/>
      <c r="AH24" s="701" t="n"/>
      <c r="AI24" s="701" t="n"/>
      <c r="AJ24" s="30" t="n"/>
    </row>
    <row r="25" ht="28.5" customHeight="1" s="1676">
      <c r="A25" s="74" t="n"/>
      <c r="B25" s="876" t="inlineStr">
        <is>
          <t>Text_423</t>
        </is>
      </c>
      <c r="C25" s="2182" t="n"/>
      <c r="D25" s="456" t="n"/>
      <c r="E25" s="876" t="inlineStr">
        <is>
          <t>Text_424</t>
        </is>
      </c>
      <c r="F25" s="927" t="n"/>
      <c r="G25" s="456" t="n"/>
      <c r="H25" s="876" t="inlineStr">
        <is>
          <t>Text_425</t>
        </is>
      </c>
      <c r="I25" s="927" t="n"/>
      <c r="J25" s="456" t="n"/>
      <c r="K25" s="876" t="inlineStr">
        <is>
          <t>Text_426</t>
        </is>
      </c>
      <c r="L25" s="927" t="n"/>
      <c r="M25" s="456" t="n"/>
      <c r="N25" s="876" t="inlineStr">
        <is>
          <t>Text_427</t>
        </is>
      </c>
      <c r="O25" s="927" t="n"/>
      <c r="P25" s="456" t="n"/>
      <c r="Q25" s="876" t="inlineStr">
        <is>
          <t>Text_428</t>
        </is>
      </c>
      <c r="R25" s="2184" t="n"/>
      <c r="S25" s="456" t="n"/>
      <c r="T25" s="876" t="inlineStr">
        <is>
          <t>Text_429</t>
        </is>
      </c>
      <c r="U25" s="2184" t="n"/>
      <c r="V25" s="928" t="n"/>
      <c r="W25" s="876" t="inlineStr">
        <is>
          <t>Text_430</t>
        </is>
      </c>
      <c r="X25" s="2184" t="n"/>
      <c r="Y25" s="928" t="n"/>
      <c r="Z25" s="876" t="inlineStr">
        <is>
          <t>Text_431</t>
        </is>
      </c>
      <c r="AA25" s="2184" t="n"/>
      <c r="AB25" s="928" t="n"/>
      <c r="AC25" s="935" t="n"/>
      <c r="AD25" s="701" t="n"/>
      <c r="AE25" s="907" t="n"/>
      <c r="AF25" s="907" t="n"/>
      <c r="AG25" s="701" t="n"/>
      <c r="AH25" s="701" t="n"/>
      <c r="AI25" s="701" t="n"/>
      <c r="AJ25" s="30" t="n"/>
    </row>
    <row r="26" ht="28.5" customHeight="1" s="1676">
      <c r="A26" s="74" t="n"/>
      <c r="B26" s="904" t="n"/>
      <c r="C26" s="2192" t="n"/>
      <c r="D26" s="701" t="n"/>
      <c r="E26" s="904" t="n"/>
      <c r="F26" s="2192" t="n"/>
      <c r="G26" s="701" t="n"/>
      <c r="H26" s="904" t="n"/>
      <c r="I26" s="2192" t="n"/>
      <c r="J26" s="701" t="n"/>
      <c r="K26" s="904" t="n"/>
      <c r="L26" s="905" t="n"/>
      <c r="M26" s="701" t="n"/>
      <c r="N26" s="906" t="n"/>
      <c r="O26" s="905" t="n"/>
      <c r="P26" s="701" t="n"/>
      <c r="Q26" s="906" t="n"/>
      <c r="R26" s="905" t="n"/>
      <c r="S26" s="701" t="n"/>
      <c r="T26" s="906" t="n"/>
      <c r="U26" s="905" t="n"/>
      <c r="V26" s="907" t="n"/>
      <c r="W26" s="906" t="n"/>
      <c r="X26" s="905" t="n"/>
      <c r="Y26" s="907" t="n"/>
      <c r="Z26" s="906" t="n"/>
      <c r="AA26" s="905" t="n"/>
      <c r="AB26" s="907" t="n"/>
      <c r="AC26" s="907" t="n"/>
      <c r="AD26" s="701" t="n"/>
      <c r="AE26" s="907" t="n"/>
      <c r="AF26" s="907" t="n"/>
      <c r="AG26" s="701" t="n"/>
      <c r="AH26" s="701" t="n"/>
      <c r="AI26" s="701" t="n"/>
      <c r="AJ26" s="30" t="n"/>
    </row>
    <row r="27" ht="28.5" customHeight="1" s="1676">
      <c r="A27" s="74" t="n"/>
      <c r="B27" s="876" t="inlineStr">
        <is>
          <t>Text_432</t>
        </is>
      </c>
      <c r="C27" s="2182" t="n"/>
      <c r="D27" s="456" t="n"/>
      <c r="E27" s="876" t="inlineStr">
        <is>
          <t>Text_433</t>
        </is>
      </c>
      <c r="F27" s="927" t="n"/>
      <c r="G27" s="456" t="n"/>
      <c r="H27" s="876" t="inlineStr">
        <is>
          <t>Text_434</t>
        </is>
      </c>
      <c r="I27" s="927" t="n"/>
      <c r="J27" s="456" t="n"/>
      <c r="K27" s="876" t="inlineStr">
        <is>
          <t>Text_435</t>
        </is>
      </c>
      <c r="L27" s="927" t="n"/>
      <c r="M27" s="456" t="n"/>
      <c r="N27" s="876" t="inlineStr">
        <is>
          <t>Text_436</t>
        </is>
      </c>
      <c r="O27" s="927" t="n"/>
      <c r="P27" s="456" t="n"/>
      <c r="Q27" s="876" t="inlineStr">
        <is>
          <t>Text_437</t>
        </is>
      </c>
      <c r="R27" s="2184" t="n"/>
      <c r="S27" s="456" t="n"/>
      <c r="T27" s="876" t="inlineStr">
        <is>
          <t>Text_438</t>
        </is>
      </c>
      <c r="U27" s="2184" t="n"/>
      <c r="V27" s="928" t="n"/>
      <c r="W27" s="876" t="inlineStr">
        <is>
          <t>Text_439</t>
        </is>
      </c>
      <c r="X27" s="2184" t="n"/>
      <c r="Y27" s="928" t="n"/>
      <c r="Z27" s="876" t="inlineStr">
        <is>
          <t>Text_440</t>
        </is>
      </c>
      <c r="AA27" s="2184" t="n"/>
      <c r="AB27" s="928" t="n"/>
      <c r="AC27" s="935" t="n"/>
      <c r="AD27" s="701" t="n"/>
      <c r="AE27" s="907" t="n"/>
      <c r="AF27" s="907" t="n"/>
      <c r="AG27" s="701" t="n"/>
      <c r="AH27" s="701" t="n"/>
      <c r="AI27" s="701" t="n"/>
      <c r="AJ27" s="30" t="n"/>
    </row>
    <row r="28" ht="13.5" customHeight="1" s="1676">
      <c r="A28" s="74" t="n"/>
      <c r="B28" s="916" t="n"/>
      <c r="C28" s="2193" t="n"/>
      <c r="D28" s="867" t="n"/>
      <c r="E28" s="916" t="n"/>
      <c r="F28" s="2193" t="n"/>
      <c r="G28" s="867" t="n"/>
      <c r="H28" s="867" t="n"/>
      <c r="I28" s="880" t="n"/>
      <c r="J28" s="867" t="n"/>
      <c r="K28" s="867" t="n"/>
      <c r="L28" s="880" t="n"/>
      <c r="M28" s="867" t="n"/>
      <c r="N28" s="867" t="n"/>
      <c r="O28" s="880" t="n"/>
      <c r="P28" s="867" t="n"/>
      <c r="Q28" s="867" t="n"/>
      <c r="R28" s="880" t="n"/>
      <c r="S28" s="701" t="n"/>
      <c r="T28" s="701" t="n"/>
      <c r="U28" s="266" t="n"/>
      <c r="V28" s="701" t="n"/>
      <c r="W28" s="701" t="n"/>
      <c r="X28" s="266" t="n"/>
      <c r="Y28" s="701" t="n"/>
      <c r="Z28" s="701" t="n"/>
      <c r="AA28" s="266" t="n"/>
      <c r="AB28" s="701" t="n"/>
      <c r="AC28" s="701" t="n"/>
      <c r="AD28" s="701" t="n"/>
      <c r="AE28" s="701" t="n"/>
      <c r="AF28" s="701" t="n"/>
      <c r="AG28" s="701" t="n"/>
      <c r="AH28" s="701" t="n"/>
      <c r="AI28" s="701" t="n"/>
      <c r="AJ28" s="30" t="n"/>
    </row>
    <row r="29" ht="23.25" customHeight="1" s="1676">
      <c r="A29" s="868" t="n"/>
      <c r="B29" s="881" t="inlineStr">
        <is>
          <t>Text_441</t>
        </is>
      </c>
      <c r="C29" s="2181" t="n"/>
      <c r="D29" s="2181" t="n"/>
      <c r="E29" s="2181" t="n"/>
      <c r="F29" s="2181" t="n"/>
      <c r="G29" s="2181" t="n"/>
      <c r="H29" s="2181" t="n"/>
      <c r="I29" s="2181" t="n"/>
      <c r="J29" s="2181" t="n"/>
      <c r="K29" s="2181" t="n"/>
      <c r="L29" s="2181" t="n"/>
      <c r="M29" s="2181" t="n"/>
      <c r="N29" s="2181" t="n"/>
      <c r="O29" s="2181" t="n"/>
      <c r="P29" s="2181" t="n"/>
      <c r="Q29" s="2181" t="n"/>
      <c r="R29" s="2178" t="n"/>
      <c r="S29" s="937" t="n"/>
      <c r="T29" s="938" t="n"/>
      <c r="U29" s="938" t="n"/>
      <c r="V29" s="939" t="n"/>
      <c r="W29" s="939" t="n"/>
      <c r="X29" s="939" t="n"/>
      <c r="Y29" s="939" t="n"/>
      <c r="Z29" s="939" t="n"/>
      <c r="AA29" s="939" t="n"/>
      <c r="AB29" s="939" t="n"/>
      <c r="AC29" s="939" t="n"/>
      <c r="AD29" s="701" t="n"/>
      <c r="AE29" s="907" t="n"/>
      <c r="AF29" s="907" t="n"/>
      <c r="AG29" s="701" t="n"/>
      <c r="AH29" s="701" t="n"/>
      <c r="AI29" s="701" t="n"/>
      <c r="AJ29" s="30" t="n"/>
    </row>
    <row r="30" ht="14.05" customHeight="1" s="1676">
      <c r="A30" s="74" t="n"/>
      <c r="B30" s="888" t="n"/>
      <c r="C30" s="887" t="n"/>
      <c r="D30" s="888" t="n"/>
      <c r="E30" s="888" t="n"/>
      <c r="F30" s="887" t="n"/>
      <c r="G30" s="888" t="n"/>
      <c r="H30" s="888" t="n"/>
      <c r="I30" s="888" t="n"/>
      <c r="J30" s="888" t="n"/>
      <c r="K30" s="888" t="n"/>
      <c r="L30" s="888" t="n"/>
      <c r="M30" s="888" t="n"/>
      <c r="N30" s="888" t="n"/>
      <c r="O30" s="888" t="n"/>
      <c r="P30" s="888" t="n"/>
      <c r="Q30" s="888" t="n"/>
      <c r="R30" s="888" t="n"/>
      <c r="S30" s="701" t="n"/>
      <c r="T30" s="701" t="n"/>
      <c r="U30" s="701" t="n"/>
      <c r="V30" s="701" t="n"/>
      <c r="W30" s="701" t="n"/>
      <c r="X30" s="701" t="n"/>
      <c r="Y30" s="701" t="n"/>
      <c r="Z30" s="701" t="n"/>
      <c r="AA30" s="701" t="n"/>
      <c r="AB30" s="701" t="n"/>
      <c r="AC30" s="701" t="n"/>
      <c r="AD30" s="701" t="n"/>
      <c r="AE30" s="701" t="n"/>
      <c r="AF30" s="701" t="n"/>
      <c r="AG30" s="701" t="n"/>
      <c r="AH30" s="701" t="n"/>
      <c r="AI30" s="701" t="n"/>
      <c r="AJ30" s="30" t="n"/>
    </row>
    <row r="31" ht="28.5" customHeight="1" s="1676">
      <c r="A31" s="74" t="n"/>
      <c r="B31" s="876" t="inlineStr">
        <is>
          <t>Text_442</t>
        </is>
      </c>
      <c r="C31" s="2183">
        <f t="array" ref="C31">'Valuation'!AY51</f>
        <v/>
      </c>
      <c r="D31" s="456" t="n"/>
      <c r="E31" s="876" t="inlineStr">
        <is>
          <t>Text_443</t>
        </is>
      </c>
      <c r="F31" s="2183">
        <f t="array" ref="F31">'Valuation'!AY48</f>
        <v/>
      </c>
      <c r="G31" s="456" t="n"/>
      <c r="H31" s="701" t="n"/>
      <c r="I31" s="907" t="n"/>
      <c r="J31" s="701" t="n"/>
      <c r="K31" s="701" t="n"/>
      <c r="L31" s="907" t="n"/>
      <c r="M31" s="701" t="n"/>
      <c r="N31" s="701" t="n"/>
      <c r="O31" s="907" t="n"/>
      <c r="P31" s="701" t="n"/>
      <c r="Q31" s="701" t="n"/>
      <c r="R31" s="907" t="n"/>
      <c r="S31" s="701" t="n"/>
      <c r="T31" s="701" t="n"/>
      <c r="U31" s="907" t="n"/>
      <c r="V31" s="907" t="n"/>
      <c r="W31" s="907" t="n"/>
      <c r="X31" s="907" t="n"/>
      <c r="Y31" s="907" t="n"/>
      <c r="Z31" s="907" t="n"/>
      <c r="AA31" s="907" t="n"/>
      <c r="AB31" s="907" t="n"/>
      <c r="AC31" s="907" t="n"/>
      <c r="AD31" s="701" t="n"/>
      <c r="AE31" s="907" t="n"/>
      <c r="AF31" s="907" t="n"/>
      <c r="AG31" s="701" t="n"/>
      <c r="AH31" s="701" t="n"/>
      <c r="AI31" s="701" t="n"/>
      <c r="AJ31" s="30" t="n"/>
    </row>
    <row r="32" ht="28.5" customHeight="1" s="1676">
      <c r="A32" s="74" t="n"/>
      <c r="B32" s="904" t="n"/>
      <c r="C32" s="905" t="n"/>
      <c r="D32" s="701" t="n"/>
      <c r="E32" s="906" t="n"/>
      <c r="F32" s="905" t="n"/>
      <c r="G32" s="701" t="n"/>
      <c r="H32" s="701" t="n"/>
      <c r="I32" s="921" t="n"/>
      <c r="J32" s="701" t="n"/>
      <c r="K32" s="701" t="n"/>
      <c r="L32" s="921" t="n"/>
      <c r="M32" s="701" t="n"/>
      <c r="N32" s="701" t="n"/>
      <c r="O32" s="921" t="n"/>
      <c r="P32" s="701" t="n"/>
      <c r="Q32" s="701" t="n"/>
      <c r="R32" s="921" t="n"/>
      <c r="S32" s="701" t="n"/>
      <c r="T32" s="701" t="n"/>
      <c r="U32" s="907" t="n"/>
      <c r="V32" s="907" t="n"/>
      <c r="W32" s="907" t="n"/>
      <c r="X32" s="907" t="n"/>
      <c r="Y32" s="907" t="n"/>
      <c r="Z32" s="907" t="n"/>
      <c r="AA32" s="907" t="n"/>
      <c r="AB32" s="907" t="n"/>
      <c r="AC32" s="907" t="n"/>
      <c r="AD32" s="701" t="n"/>
      <c r="AE32" s="907" t="n"/>
      <c r="AF32" s="907" t="n"/>
      <c r="AG32" s="701" t="n"/>
      <c r="AH32" s="701" t="n"/>
      <c r="AI32" s="701" t="n"/>
      <c r="AJ32" s="30" t="n"/>
    </row>
    <row r="33" ht="42" customHeight="1" s="1676">
      <c r="A33" s="74" t="n"/>
      <c r="B33" s="876" t="inlineStr">
        <is>
          <t>Text_444</t>
        </is>
      </c>
      <c r="C33" s="2183">
        <f t="array" ref="C33">'Valuation'!AR59</f>
        <v/>
      </c>
      <c r="D33" s="456" t="n"/>
      <c r="E33" s="876" t="inlineStr">
        <is>
          <t>Text_445</t>
        </is>
      </c>
      <c r="F33" s="2183">
        <f t="array" ref="F33">'Valuation'!AR60</f>
        <v/>
      </c>
      <c r="G33" s="456" t="n"/>
      <c r="H33" s="876" t="inlineStr">
        <is>
          <t>Text_446</t>
        </is>
      </c>
      <c r="I33" s="2183">
        <f t="array" ref="I33">'Valuation'!AR61</f>
        <v/>
      </c>
      <c r="J33" s="456" t="n"/>
      <c r="K33" s="876" t="inlineStr">
        <is>
          <t>Text_447</t>
        </is>
      </c>
      <c r="L33" s="2184">
        <f t="array" ref="L33">'Valuation'!AR62</f>
        <v/>
      </c>
      <c r="M33" s="456" t="n"/>
      <c r="N33" s="876" t="inlineStr">
        <is>
          <t>Text_448</t>
        </is>
      </c>
      <c r="O33" s="2184">
        <f t="array" ref="O33">'Valuation'!AR63</f>
        <v/>
      </c>
      <c r="P33" s="456" t="n"/>
      <c r="Q33" s="876" t="inlineStr">
        <is>
          <t>Text_449</t>
        </is>
      </c>
      <c r="R33" s="2184" t="n"/>
      <c r="S33" s="456" t="n"/>
      <c r="T33" s="701" t="n"/>
      <c r="U33" s="907" t="n"/>
      <c r="V33" s="907" t="n"/>
      <c r="W33" s="907" t="n"/>
      <c r="X33" s="907" t="n"/>
      <c r="Y33" s="907" t="n"/>
      <c r="Z33" s="907" t="n"/>
      <c r="AA33" s="907" t="n"/>
      <c r="AB33" s="907" t="n"/>
      <c r="AC33" s="907" t="n"/>
      <c r="AD33" s="701" t="n"/>
      <c r="AE33" s="907" t="n"/>
      <c r="AF33" s="907" t="n"/>
      <c r="AG33" s="701" t="n"/>
      <c r="AH33" s="701" t="n"/>
      <c r="AI33" s="701" t="n"/>
      <c r="AJ33" s="30" t="n"/>
    </row>
    <row r="34" ht="12.75" customHeight="1" s="1676">
      <c r="A34" s="74" t="n"/>
      <c r="B34" s="867" t="n"/>
      <c r="C34" s="880" t="n"/>
      <c r="D34" s="867" t="n"/>
      <c r="E34" s="867" t="n"/>
      <c r="F34" s="880" t="n"/>
      <c r="G34" s="867" t="n"/>
      <c r="H34" s="867" t="n"/>
      <c r="I34" s="880" t="n"/>
      <c r="J34" s="867" t="n"/>
      <c r="K34" s="867" t="n"/>
      <c r="L34" s="880" t="n"/>
      <c r="M34" s="867" t="n"/>
      <c r="N34" s="867" t="n"/>
      <c r="O34" s="880" t="n"/>
      <c r="P34" s="867" t="n"/>
      <c r="Q34" s="867" t="n"/>
      <c r="R34" s="880" t="n"/>
      <c r="S34" s="701" t="n"/>
      <c r="T34" s="701" t="n"/>
      <c r="U34" s="701" t="n"/>
      <c r="V34" s="701" t="n"/>
      <c r="W34" s="701" t="n"/>
      <c r="X34" s="701" t="n"/>
      <c r="Y34" s="701" t="n"/>
      <c r="Z34" s="701" t="n"/>
      <c r="AA34" s="701" t="n"/>
      <c r="AB34" s="701" t="n"/>
      <c r="AC34" s="701" t="n"/>
      <c r="AD34" s="701" t="n"/>
      <c r="AE34" s="701" t="n"/>
      <c r="AF34" s="701" t="n"/>
      <c r="AG34" s="701" t="n"/>
      <c r="AH34" s="701" t="n"/>
      <c r="AI34" s="701" t="n"/>
      <c r="AJ34" s="30" t="n"/>
    </row>
    <row r="35" ht="23.25" customHeight="1" s="1676">
      <c r="A35" s="868" t="n"/>
      <c r="B35" s="881" t="inlineStr">
        <is>
          <t>Text_450</t>
        </is>
      </c>
      <c r="C35" s="2181" t="n"/>
      <c r="D35" s="2181" t="n"/>
      <c r="E35" s="2181" t="n"/>
      <c r="F35" s="2181" t="n"/>
      <c r="G35" s="2181" t="n"/>
      <c r="H35" s="2181" t="n"/>
      <c r="I35" s="2181" t="n"/>
      <c r="J35" s="2181" t="n"/>
      <c r="K35" s="2181" t="n"/>
      <c r="L35" s="2181" t="n"/>
      <c r="M35" s="2181" t="n"/>
      <c r="N35" s="2181" t="n"/>
      <c r="O35" s="2181" t="n"/>
      <c r="P35" s="2181" t="n"/>
      <c r="Q35" s="2181" t="n"/>
      <c r="R35" s="2178" t="n"/>
      <c r="S35" s="937" t="n"/>
      <c r="T35" s="938" t="n"/>
      <c r="U35" s="938" t="n"/>
      <c r="V35" s="939" t="n"/>
      <c r="W35" s="939" t="n"/>
      <c r="X35" s="939" t="n"/>
      <c r="Y35" s="939" t="n"/>
      <c r="Z35" s="939" t="n"/>
      <c r="AA35" s="939" t="n"/>
      <c r="AB35" s="939" t="n"/>
      <c r="AC35" s="939" t="n"/>
      <c r="AD35" s="701" t="n"/>
      <c r="AE35" s="907" t="n"/>
      <c r="AF35" s="907" t="n"/>
      <c r="AG35" s="701" t="n"/>
      <c r="AH35" s="701" t="n"/>
      <c r="AI35" s="701" t="n"/>
      <c r="AJ35" s="30" t="n"/>
    </row>
    <row r="36" ht="12.75" customHeight="1" s="1676">
      <c r="A36" s="74" t="n"/>
      <c r="B36" s="888" t="n"/>
      <c r="C36" s="887" t="n"/>
      <c r="D36" s="888" t="n"/>
      <c r="E36" s="888" t="n"/>
      <c r="F36" s="887" t="n"/>
      <c r="G36" s="888" t="n"/>
      <c r="H36" s="888" t="n"/>
      <c r="I36" s="888" t="n"/>
      <c r="J36" s="888" t="n"/>
      <c r="K36" s="888" t="n"/>
      <c r="L36" s="888" t="n"/>
      <c r="M36" s="888" t="n"/>
      <c r="N36" s="888" t="n"/>
      <c r="O36" s="888" t="n"/>
      <c r="P36" s="888" t="n"/>
      <c r="Q36" s="888" t="n"/>
      <c r="R36" s="888" t="n"/>
      <c r="S36" s="701" t="n"/>
      <c r="T36" s="701" t="n"/>
      <c r="U36" s="701" t="n"/>
      <c r="V36" s="701" t="n"/>
      <c r="W36" s="701" t="n"/>
      <c r="X36" s="701" t="n"/>
      <c r="Y36" s="701" t="n"/>
      <c r="Z36" s="701" t="n"/>
      <c r="AA36" s="701" t="n"/>
      <c r="AB36" s="701" t="n"/>
      <c r="AC36" s="701" t="n"/>
      <c r="AD36" s="701" t="n"/>
      <c r="AE36" s="701" t="n"/>
      <c r="AF36" s="701" t="n"/>
      <c r="AG36" s="701" t="n"/>
      <c r="AH36" s="701" t="n"/>
      <c r="AI36" s="701" t="n"/>
      <c r="AJ36" s="30" t="n"/>
    </row>
    <row r="37" ht="28.5" customHeight="1" s="1676">
      <c r="A37" s="74" t="n"/>
      <c r="B37" s="876" t="inlineStr">
        <is>
          <t>Text_451</t>
        </is>
      </c>
      <c r="C37" s="2183">
        <f t="array" ref="C37">'Valuation'!AL51</f>
        <v/>
      </c>
      <c r="D37" s="456" t="n"/>
      <c r="E37" s="876" t="inlineStr">
        <is>
          <t>Text_452</t>
        </is>
      </c>
      <c r="F37" s="2183">
        <f t="array" ref="F37">'Valuation'!AL48</f>
        <v/>
      </c>
      <c r="G37" s="456" t="n"/>
      <c r="H37" s="701" t="n"/>
      <c r="I37" s="907" t="n"/>
      <c r="J37" s="701" t="n"/>
      <c r="K37" s="701" t="n"/>
      <c r="L37" s="907" t="n"/>
      <c r="M37" s="701" t="n"/>
      <c r="N37" s="701" t="n"/>
      <c r="O37" s="907" t="n"/>
      <c r="P37" s="701" t="n"/>
      <c r="Q37" s="701" t="n"/>
      <c r="R37" s="907" t="n"/>
      <c r="S37" s="701" t="n"/>
      <c r="T37" s="701" t="n"/>
      <c r="U37" s="907" t="n"/>
      <c r="V37" s="907" t="n"/>
      <c r="W37" s="907" t="n"/>
      <c r="X37" s="907" t="n"/>
      <c r="Y37" s="907" t="n"/>
      <c r="Z37" s="907" t="n"/>
      <c r="AA37" s="907" t="n"/>
      <c r="AB37" s="907" t="n"/>
      <c r="AC37" s="907" t="n"/>
      <c r="AD37" s="701" t="n"/>
      <c r="AE37" s="907" t="n"/>
      <c r="AF37" s="907" t="n"/>
      <c r="AG37" s="701" t="n"/>
      <c r="AH37" s="701" t="n"/>
      <c r="AI37" s="701" t="n"/>
      <c r="AJ37" s="30" t="n"/>
    </row>
    <row r="38" ht="28.5" customHeight="1" s="1676">
      <c r="A38" s="74" t="n"/>
      <c r="B38" s="904" t="n"/>
      <c r="C38" s="940" t="n"/>
      <c r="D38" s="701" t="n"/>
      <c r="E38" s="906" t="n"/>
      <c r="F38" s="905" t="n"/>
      <c r="G38" s="701" t="n"/>
      <c r="H38" s="906" t="n"/>
      <c r="I38" s="921" t="n"/>
      <c r="J38" s="701" t="n"/>
      <c r="K38" s="701" t="n"/>
      <c r="L38" s="921" t="n"/>
      <c r="M38" s="701" t="n"/>
      <c r="N38" s="701" t="n"/>
      <c r="O38" s="921" t="n"/>
      <c r="P38" s="701" t="n"/>
      <c r="Q38" s="701" t="n"/>
      <c r="R38" s="921" t="n"/>
      <c r="S38" s="701" t="n"/>
      <c r="T38" s="701" t="n"/>
      <c r="U38" s="907" t="n"/>
      <c r="V38" s="907" t="n"/>
      <c r="W38" s="907" t="n"/>
      <c r="X38" s="907" t="n"/>
      <c r="Y38" s="907" t="n"/>
      <c r="Z38" s="907" t="n"/>
      <c r="AA38" s="907" t="n"/>
      <c r="AB38" s="907" t="n"/>
      <c r="AC38" s="907" t="n"/>
      <c r="AD38" s="701" t="n"/>
      <c r="AE38" s="907" t="n"/>
      <c r="AF38" s="907" t="n"/>
      <c r="AG38" s="701" t="n"/>
      <c r="AH38" s="701" t="n"/>
      <c r="AI38" s="701" t="n"/>
      <c r="AJ38" s="30" t="n"/>
    </row>
    <row r="39" ht="41.25" customHeight="1" s="1676">
      <c r="A39" s="74" t="n"/>
      <c r="B39" s="876" t="inlineStr">
        <is>
          <t>Text_453</t>
        </is>
      </c>
      <c r="C39" s="2183">
        <f t="array" ref="C39">'Valuation'!AE59</f>
        <v/>
      </c>
      <c r="D39" s="456" t="n"/>
      <c r="E39" s="876" t="inlineStr">
        <is>
          <t>Text_454</t>
        </is>
      </c>
      <c r="F39" s="2183">
        <f t="array" ref="F39">'Valuation'!AE60</f>
        <v/>
      </c>
      <c r="G39" s="456" t="n"/>
      <c r="H39" s="876" t="inlineStr">
        <is>
          <t>Text_455</t>
        </is>
      </c>
      <c r="I39" s="2183">
        <f t="array" ref="I39">'Valuation'!AE61</f>
        <v/>
      </c>
      <c r="J39" s="456" t="n"/>
      <c r="K39" s="876" t="inlineStr">
        <is>
          <t>Text_456</t>
        </is>
      </c>
      <c r="L39" s="2184">
        <f t="array" ref="L39">'Valuation'!AE62</f>
        <v/>
      </c>
      <c r="M39" s="456" t="n"/>
      <c r="N39" s="876" t="inlineStr">
        <is>
          <t>Text_457</t>
        </is>
      </c>
      <c r="O39" s="2184">
        <f t="array" ref="O39">'Valuation'!AE63</f>
        <v/>
      </c>
      <c r="P39" s="456" t="n"/>
      <c r="Q39" s="876" t="inlineStr">
        <is>
          <t>Text_458</t>
        </is>
      </c>
      <c r="R39" s="2184" t="n"/>
      <c r="S39" s="456" t="n"/>
      <c r="T39" s="701" t="n"/>
      <c r="U39" s="907" t="n"/>
      <c r="V39" s="907" t="n"/>
      <c r="W39" s="907" t="n"/>
      <c r="X39" s="907" t="n"/>
      <c r="Y39" s="907" t="n"/>
      <c r="Z39" s="907" t="n"/>
      <c r="AA39" s="907" t="n"/>
      <c r="AB39" s="907" t="n"/>
      <c r="AC39" s="907" t="n"/>
      <c r="AD39" s="701" t="n"/>
      <c r="AE39" s="907" t="n"/>
      <c r="AF39" s="907" t="n"/>
      <c r="AG39" s="701" t="n"/>
      <c r="AH39" s="701" t="n"/>
      <c r="AI39" s="701" t="n"/>
      <c r="AJ39" s="30" t="n"/>
    </row>
    <row r="40" ht="12.75" customHeight="1" s="1676">
      <c r="A40" s="74" t="n"/>
      <c r="B40" s="867" t="n"/>
      <c r="C40" s="880" t="n"/>
      <c r="D40" s="867" t="n"/>
      <c r="E40" s="867" t="n"/>
      <c r="F40" s="880" t="n"/>
      <c r="G40" s="867" t="n"/>
      <c r="H40" s="867" t="n"/>
      <c r="I40" s="880" t="n"/>
      <c r="J40" s="867" t="n"/>
      <c r="K40" s="867" t="n"/>
      <c r="L40" s="880" t="n"/>
      <c r="M40" s="867" t="n"/>
      <c r="N40" s="867" t="n"/>
      <c r="O40" s="880" t="n"/>
      <c r="P40" s="867" t="n"/>
      <c r="Q40" s="867" t="n"/>
      <c r="R40" s="880" t="n"/>
      <c r="S40" s="867" t="n"/>
      <c r="T40" s="867" t="n"/>
      <c r="U40" s="867" t="n"/>
      <c r="V40" s="701" t="n"/>
      <c r="W40" s="701" t="n"/>
      <c r="X40" s="701" t="n"/>
      <c r="Y40" s="701" t="n"/>
      <c r="Z40" s="701" t="n"/>
      <c r="AA40" s="701" t="n"/>
      <c r="AB40" s="701" t="n"/>
      <c r="AC40" s="701" t="n"/>
      <c r="AD40" s="701" t="n"/>
      <c r="AE40" s="701" t="n"/>
      <c r="AF40" s="701" t="n"/>
      <c r="AG40" s="701" t="n"/>
      <c r="AH40" s="701" t="n"/>
      <c r="AI40" s="701" t="n"/>
      <c r="AJ40" s="30" t="n"/>
    </row>
    <row r="41" ht="23.25" customHeight="1" s="1676">
      <c r="A41" s="868" t="n"/>
      <c r="B41" s="941" t="inlineStr">
        <is>
          <t>Text_459</t>
        </is>
      </c>
      <c r="C41" s="2181" t="n"/>
      <c r="D41" s="2181" t="n"/>
      <c r="E41" s="2181" t="n"/>
      <c r="F41" s="2181" t="n"/>
      <c r="G41" s="2181" t="n"/>
      <c r="H41" s="2181" t="n"/>
      <c r="I41" s="2181" t="n"/>
      <c r="J41" s="2181" t="n"/>
      <c r="K41" s="2181" t="n"/>
      <c r="L41" s="2181" t="n"/>
      <c r="M41" s="2181" t="n"/>
      <c r="N41" s="2181" t="n"/>
      <c r="O41" s="2181" t="n"/>
      <c r="P41" s="2181" t="n"/>
      <c r="Q41" s="2181" t="n"/>
      <c r="R41" s="2181" t="n"/>
      <c r="S41" s="2181" t="n"/>
      <c r="T41" s="2181" t="n"/>
      <c r="U41" s="2194" t="n"/>
      <c r="V41" s="944" t="n"/>
      <c r="W41" s="939" t="n"/>
      <c r="X41" s="939" t="n"/>
      <c r="Y41" s="939" t="n"/>
      <c r="Z41" s="939" t="n"/>
      <c r="AA41" s="939" t="n"/>
      <c r="AB41" s="939" t="n"/>
      <c r="AC41" s="939" t="n"/>
      <c r="AD41" s="701" t="n"/>
      <c r="AE41" s="907" t="n"/>
      <c r="AF41" s="907" t="n"/>
      <c r="AG41" s="701" t="n"/>
      <c r="AH41" s="701" t="n"/>
      <c r="AI41" s="701" t="n"/>
      <c r="AJ41" s="30" t="n"/>
    </row>
    <row r="42" ht="12.75" customHeight="1" s="1676">
      <c r="A42" s="74" t="n"/>
      <c r="B42" s="888" t="n"/>
      <c r="C42" s="887" t="n"/>
      <c r="D42" s="888" t="n"/>
      <c r="E42" s="888" t="n"/>
      <c r="F42" s="887" t="n"/>
      <c r="G42" s="888" t="n"/>
      <c r="H42" s="888" t="n"/>
      <c r="I42" s="887" t="n"/>
      <c r="J42" s="888" t="n"/>
      <c r="K42" s="888" t="n"/>
      <c r="L42" s="887" t="n"/>
      <c r="M42" s="888" t="n"/>
      <c r="N42" s="888" t="n"/>
      <c r="O42" s="887" t="n"/>
      <c r="P42" s="888" t="n"/>
      <c r="Q42" s="888" t="n"/>
      <c r="R42" s="887" t="n"/>
      <c r="S42" s="888" t="n"/>
      <c r="T42" s="888" t="n"/>
      <c r="U42" s="887" t="n"/>
      <c r="V42" s="701" t="n"/>
      <c r="W42" s="701" t="n"/>
      <c r="X42" s="701" t="n"/>
      <c r="Y42" s="701" t="n"/>
      <c r="Z42" s="701" t="n"/>
      <c r="AA42" s="701" t="n"/>
      <c r="AB42" s="701" t="n"/>
      <c r="AC42" s="701" t="n"/>
      <c r="AD42" s="701" t="n"/>
      <c r="AE42" s="701" t="n"/>
      <c r="AF42" s="701" t="n"/>
      <c r="AG42" s="701" t="n"/>
      <c r="AH42" s="701" t="n"/>
      <c r="AI42" s="701" t="n"/>
      <c r="AJ42" s="30" t="n"/>
    </row>
    <row r="43" ht="48" customHeight="1" s="1676">
      <c r="A43" s="74" t="n"/>
      <c r="B43" s="910" t="inlineStr">
        <is>
          <t>Text_460</t>
        </is>
      </c>
      <c r="C43" s="2195" t="n"/>
      <c r="D43" s="359" t="n"/>
      <c r="E43" s="910" t="inlineStr">
        <is>
          <t>Text_461</t>
        </is>
      </c>
      <c r="F43" s="2195" t="n"/>
      <c r="G43" s="456" t="n"/>
      <c r="H43" s="910" t="inlineStr">
        <is>
          <t>Text_380</t>
        </is>
      </c>
      <c r="I43" s="2195" t="n"/>
      <c r="J43" s="456" t="n"/>
      <c r="K43" s="910" t="inlineStr">
        <is>
          <t>Text_462</t>
        </is>
      </c>
      <c r="L43" s="2195" t="n"/>
      <c r="M43" s="456" t="n"/>
      <c r="N43" s="910" t="inlineStr">
        <is>
          <t>Text_463</t>
        </is>
      </c>
      <c r="O43" s="2195">
        <f t="array" ref="O43">'Valuation'!W61</f>
        <v/>
      </c>
      <c r="P43" s="456" t="n"/>
      <c r="Q43" s="873" t="inlineStr">
        <is>
          <t>Text_464</t>
        </is>
      </c>
      <c r="R43" s="2195">
        <f t="array" ref="R43">'Valuation'!W63</f>
        <v/>
      </c>
      <c r="S43" s="456" t="n"/>
      <c r="T43" s="873" t="inlineStr">
        <is>
          <t>Text_465</t>
        </is>
      </c>
      <c r="U43" s="2195">
        <f t="array" ref="U43">'Valuation'!W62</f>
        <v/>
      </c>
      <c r="V43" s="456" t="n"/>
      <c r="W43" s="701" t="n"/>
      <c r="X43" s="701" t="n"/>
      <c r="Y43" s="701" t="n"/>
      <c r="Z43" s="701" t="n"/>
      <c r="AA43" s="701" t="n"/>
      <c r="AB43" s="701" t="n"/>
      <c r="AC43" s="701" t="n"/>
      <c r="AD43" s="701" t="n"/>
      <c r="AE43" s="701" t="n"/>
      <c r="AF43" s="701" t="n"/>
      <c r="AG43" s="701" t="n"/>
      <c r="AH43" s="701" t="n"/>
      <c r="AI43" s="701" t="n"/>
      <c r="AJ43" s="30" t="n"/>
    </row>
    <row r="44" ht="15" customHeight="1" s="1676">
      <c r="A44" s="74" t="n"/>
      <c r="B44" s="701" t="n"/>
      <c r="C44" s="69" t="n"/>
      <c r="D44" s="701" t="n"/>
      <c r="E44" s="701" t="n"/>
      <c r="F44" s="69" t="n"/>
      <c r="G44" s="701" t="n"/>
      <c r="H44" s="701" t="n"/>
      <c r="I44" s="69" t="n"/>
      <c r="J44" s="701" t="n"/>
      <c r="K44" s="701" t="n"/>
      <c r="L44" s="69" t="n"/>
      <c r="M44" s="701" t="n"/>
      <c r="N44" s="906" t="n"/>
      <c r="O44" s="266" t="n"/>
      <c r="P44" s="701" t="n"/>
      <c r="Q44" s="701" t="n"/>
      <c r="R44" s="266" t="n"/>
      <c r="S44" s="701" t="n"/>
      <c r="T44" s="701" t="n"/>
      <c r="U44" s="266" t="n"/>
      <c r="V44" s="701" t="n"/>
      <c r="W44" s="701" t="n"/>
      <c r="X44" s="701" t="n"/>
      <c r="Y44" s="701" t="n"/>
      <c r="Z44" s="701" t="n"/>
      <c r="AA44" s="701" t="n"/>
      <c r="AB44" s="701" t="n"/>
      <c r="AC44" s="701" t="n"/>
      <c r="AD44" s="701" t="n"/>
      <c r="AE44" s="701" t="n"/>
      <c r="AF44" s="701" t="n"/>
      <c r="AG44" s="701" t="n"/>
      <c r="AH44" s="701" t="n"/>
      <c r="AI44" s="701" t="n"/>
      <c r="AJ44" s="30" t="n"/>
    </row>
    <row r="45" ht="47.25" customHeight="1" s="1676">
      <c r="A45" s="74" t="n"/>
      <c r="B45" s="910" t="inlineStr">
        <is>
          <t>Text_466</t>
        </is>
      </c>
      <c r="C45" s="2195">
        <f t="array" ref="C45">'Valuation'!N14*100</f>
        <v/>
      </c>
      <c r="D45" s="456" t="n"/>
      <c r="E45" s="910" t="inlineStr">
        <is>
          <t>Text_467</t>
        </is>
      </c>
      <c r="F45" s="2195">
        <f t="array" ref="F45">'Valuation'!N26*100</f>
        <v/>
      </c>
      <c r="G45" s="456" t="n"/>
      <c r="H45" s="910" t="inlineStr">
        <is>
          <t>Text_381</t>
        </is>
      </c>
      <c r="I45" s="2195">
        <f t="array" ref="I45">'Valuation'!N51</f>
        <v/>
      </c>
      <c r="J45" s="456" t="n"/>
      <c r="K45" s="910" t="inlineStr">
        <is>
          <t>Text_468</t>
        </is>
      </c>
      <c r="L45" s="946">
        <f t="array" ref="L45">'Valuation'!R56</f>
        <v/>
      </c>
      <c r="M45" s="456" t="n"/>
      <c r="N45" s="947" t="n"/>
      <c r="O45" s="2196" t="n"/>
      <c r="P45" s="701" t="n"/>
      <c r="Q45" s="949" t="n"/>
      <c r="R45" s="2196" t="n"/>
      <c r="S45" s="701" t="n"/>
      <c r="T45" s="949" t="n"/>
      <c r="U45" s="2196" t="n"/>
      <c r="V45" s="701" t="n"/>
      <c r="W45" s="701" t="n"/>
      <c r="X45" s="701" t="n"/>
      <c r="Y45" s="701" t="n"/>
      <c r="Z45" s="701" t="n"/>
      <c r="AA45" s="701" t="n"/>
      <c r="AB45" s="701" t="n"/>
      <c r="AC45" s="701" t="n"/>
      <c r="AD45" s="701" t="n"/>
      <c r="AE45" s="701" t="n"/>
      <c r="AF45" s="701" t="n"/>
      <c r="AG45" s="701" t="n"/>
      <c r="AH45" s="701" t="n"/>
      <c r="AI45" s="701" t="n"/>
      <c r="AJ45" s="30" t="n"/>
    </row>
    <row r="46" ht="12.75" customHeight="1" s="1676">
      <c r="A46" s="74" t="n"/>
      <c r="B46" s="701" t="n"/>
      <c r="C46" s="69" t="n"/>
      <c r="D46" s="701" t="n"/>
      <c r="E46" s="701" t="n"/>
      <c r="F46" s="69" t="n"/>
      <c r="G46" s="701" t="n"/>
      <c r="H46" s="701" t="n"/>
      <c r="I46" s="69" t="n"/>
      <c r="J46" s="701" t="n"/>
      <c r="K46" s="701" t="n"/>
      <c r="L46" s="69" t="n"/>
      <c r="M46" s="701" t="n"/>
      <c r="N46" s="701" t="n"/>
      <c r="O46" s="701" t="n"/>
      <c r="P46" s="701" t="n"/>
      <c r="Q46" s="701" t="n"/>
      <c r="R46" s="701" t="n"/>
      <c r="S46" s="701" t="n"/>
      <c r="T46" s="701" t="n"/>
      <c r="U46" s="701" t="n"/>
      <c r="V46" s="701" t="n"/>
      <c r="W46" s="701" t="n"/>
      <c r="X46" s="701" t="n"/>
      <c r="Y46" s="701" t="n"/>
      <c r="Z46" s="701" t="n"/>
      <c r="AA46" s="701" t="n"/>
      <c r="AB46" s="701" t="n"/>
      <c r="AC46" s="701" t="n"/>
      <c r="AD46" s="701" t="n"/>
      <c r="AE46" s="701" t="n"/>
      <c r="AF46" s="701" t="n"/>
      <c r="AG46" s="701" t="n"/>
      <c r="AH46" s="701" t="n"/>
      <c r="AI46" s="701" t="n"/>
      <c r="AJ46" s="30" t="n"/>
    </row>
    <row r="47" ht="39.75" customHeight="1" s="1676">
      <c r="A47" s="74" t="n"/>
      <c r="B47" s="910" t="inlineStr">
        <is>
          <t>Text_469</t>
        </is>
      </c>
      <c r="C47" s="2197">
        <f t="array" ref="C47">'Valuation'!N14*100</f>
        <v/>
      </c>
      <c r="D47" s="456" t="n"/>
      <c r="E47" s="910" t="inlineStr">
        <is>
          <t>Text_470</t>
        </is>
      </c>
      <c r="F47" s="2197">
        <f t="array" ref="F47">'Valuation'!N26*100</f>
        <v/>
      </c>
      <c r="G47" s="456" t="n"/>
      <c r="H47" s="910" t="inlineStr">
        <is>
          <t>Text_471</t>
        </is>
      </c>
      <c r="I47" s="2197">
        <f t="array" ref="I47">'Valuation'!N52</f>
        <v/>
      </c>
      <c r="J47" s="456" t="n"/>
      <c r="K47" s="910" t="inlineStr">
        <is>
          <t>Text_472</t>
        </is>
      </c>
      <c r="L47" s="951">
        <f t="array" ref="L47">'Valuation'!R56</f>
        <v/>
      </c>
      <c r="M47" s="456" t="n"/>
      <c r="N47" s="701" t="n"/>
      <c r="O47" s="907" t="n"/>
      <c r="P47" s="701" t="n"/>
      <c r="Q47" s="701" t="n"/>
      <c r="R47" s="907" t="n"/>
      <c r="S47" s="701" t="n"/>
      <c r="T47" s="701" t="n"/>
      <c r="U47" s="907" t="n"/>
      <c r="V47" s="907" t="n"/>
      <c r="W47" s="907" t="n"/>
      <c r="X47" s="907" t="n"/>
      <c r="Y47" s="907" t="n"/>
      <c r="Z47" s="907" t="n"/>
      <c r="AA47" s="907" t="n"/>
      <c r="AB47" s="907" t="n"/>
      <c r="AC47" s="907" t="n"/>
      <c r="AD47" s="701" t="n"/>
      <c r="AE47" s="907" t="n"/>
      <c r="AF47" s="907" t="n"/>
      <c r="AG47" s="701" t="n"/>
      <c r="AH47" s="701" t="n"/>
      <c r="AI47" s="701" t="n"/>
      <c r="AJ47" s="30" t="n"/>
    </row>
    <row r="48" ht="12.75" customHeight="1" s="1676">
      <c r="A48" s="74" t="n"/>
      <c r="B48" s="701" t="n"/>
      <c r="C48" s="266" t="n"/>
      <c r="D48" s="701" t="n"/>
      <c r="E48" s="701" t="n"/>
      <c r="F48" s="266" t="n"/>
      <c r="G48" s="701" t="n"/>
      <c r="H48" s="701" t="n"/>
      <c r="I48" s="266" t="n"/>
      <c r="J48" s="701" t="n"/>
      <c r="K48" s="701" t="n"/>
      <c r="L48" s="266" t="n"/>
      <c r="M48" s="701" t="n"/>
      <c r="N48" s="701" t="n"/>
      <c r="O48" s="701" t="n"/>
      <c r="P48" s="701" t="n"/>
      <c r="Q48" s="701" t="n"/>
      <c r="R48" s="701" t="n"/>
      <c r="S48" s="701" t="n"/>
      <c r="T48" s="701" t="n"/>
      <c r="U48" s="701" t="n"/>
      <c r="V48" s="701" t="n"/>
      <c r="W48" s="701" t="n"/>
      <c r="X48" s="701" t="n"/>
      <c r="Y48" s="701" t="n"/>
      <c r="Z48" s="701" t="n"/>
      <c r="AA48" s="701" t="n"/>
      <c r="AB48" s="701" t="n"/>
      <c r="AC48" s="701" t="n"/>
      <c r="AD48" s="701" t="n"/>
      <c r="AE48" s="701" t="n"/>
      <c r="AF48" s="701" t="n"/>
      <c r="AG48" s="701" t="n"/>
      <c r="AH48" s="701" t="n"/>
      <c r="AI48" s="701" t="n"/>
      <c r="AJ48" s="30" t="n"/>
    </row>
    <row r="49" ht="12.75" customHeight="1" s="1676">
      <c r="A49" s="74" t="n"/>
      <c r="B49" s="701" t="n"/>
      <c r="C49" s="701" t="n"/>
      <c r="D49" s="701" t="n"/>
      <c r="E49" s="701" t="n"/>
      <c r="F49" s="701" t="n"/>
      <c r="G49" s="701" t="n"/>
      <c r="H49" s="701" t="n"/>
      <c r="I49" s="701" t="n"/>
      <c r="J49" s="701" t="n"/>
      <c r="K49" s="701" t="n"/>
      <c r="L49" s="701" t="n"/>
      <c r="M49" s="701" t="n"/>
      <c r="N49" s="701" t="n"/>
      <c r="O49" s="701" t="n"/>
      <c r="P49" s="701" t="n"/>
      <c r="Q49" s="701" t="n"/>
      <c r="R49" s="701" t="n"/>
      <c r="S49" s="701" t="n"/>
      <c r="T49" s="701" t="n"/>
      <c r="U49" s="701" t="n"/>
      <c r="V49" s="701" t="n"/>
      <c r="W49" s="701" t="n"/>
      <c r="X49" s="701" t="n"/>
      <c r="Y49" s="701" t="n"/>
      <c r="Z49" s="701" t="n"/>
      <c r="AA49" s="701" t="n"/>
      <c r="AB49" s="701" t="n"/>
      <c r="AC49" s="701" t="n"/>
      <c r="AD49" s="701" t="n"/>
      <c r="AE49" s="701" t="n"/>
      <c r="AF49" s="701" t="n"/>
      <c r="AG49" s="701" t="n"/>
      <c r="AH49" s="701" t="n"/>
      <c r="AI49" s="701" t="n"/>
      <c r="AJ49" s="30" t="n"/>
    </row>
    <row r="50" ht="12.75" customHeight="1" s="1676">
      <c r="A50" s="74" t="n"/>
      <c r="B50" s="867" t="n"/>
      <c r="C50" s="867" t="n"/>
      <c r="D50" s="701" t="n"/>
      <c r="E50" s="701" t="n"/>
      <c r="F50" s="701" t="n"/>
      <c r="G50" s="701" t="n"/>
      <c r="H50" s="701" t="n"/>
      <c r="I50" s="701" t="n"/>
      <c r="J50" s="701" t="n"/>
      <c r="K50" s="701" t="n"/>
      <c r="L50" s="701" t="n"/>
      <c r="M50" s="701" t="n"/>
      <c r="N50" s="701" t="n"/>
      <c r="O50" s="701" t="n"/>
      <c r="P50" s="701" t="n"/>
      <c r="Q50" s="701" t="n"/>
      <c r="R50" s="701" t="n"/>
      <c r="S50" s="701" t="n"/>
      <c r="T50" s="701" t="n"/>
      <c r="U50" s="701" t="n"/>
      <c r="V50" s="701" t="n"/>
      <c r="W50" s="701" t="n"/>
      <c r="X50" s="701" t="n"/>
      <c r="Y50" s="701" t="n"/>
      <c r="Z50" s="701" t="n"/>
      <c r="AA50" s="701" t="n"/>
      <c r="AB50" s="701" t="n"/>
      <c r="AC50" s="701" t="n"/>
      <c r="AD50" s="701" t="n"/>
      <c r="AE50" s="701" t="n"/>
      <c r="AF50" s="701" t="n"/>
      <c r="AG50" s="701" t="n"/>
      <c r="AH50" s="701" t="n"/>
      <c r="AI50" s="701" t="n"/>
      <c r="AJ50" s="30" t="n"/>
    </row>
    <row r="51" ht="12.75" customHeight="1" s="1676">
      <c r="A51" s="868" t="n"/>
      <c r="B51" s="952" t="inlineStr">
        <is>
          <t>Text_459</t>
        </is>
      </c>
      <c r="C51" s="953">
        <f t="array" ref="C51">_xlfn.IFERROR((C54^(1/((DAYS360(TODAY(),"31/12/2028"))/360))-1)+C52,"")</f>
        <v/>
      </c>
      <c r="D51" s="871" t="n"/>
      <c r="E51" s="701" t="n"/>
      <c r="F51" s="701" t="n"/>
      <c r="G51" s="701" t="n"/>
      <c r="H51" s="701" t="n"/>
      <c r="I51" s="701" t="n"/>
      <c r="J51" s="701" t="n"/>
      <c r="K51" s="701" t="n"/>
      <c r="L51" s="701" t="n"/>
      <c r="M51" s="701" t="n"/>
      <c r="N51" s="701" t="n"/>
      <c r="O51" s="701" t="n"/>
      <c r="P51" s="701" t="n"/>
      <c r="Q51" s="701" t="n"/>
      <c r="R51" s="701" t="n"/>
      <c r="S51" s="701" t="n"/>
      <c r="T51" s="701" t="n"/>
      <c r="U51" s="701" t="n"/>
      <c r="V51" s="701" t="n"/>
      <c r="W51" s="701" t="n"/>
      <c r="X51" s="701" t="n"/>
      <c r="Y51" s="701" t="n"/>
      <c r="Z51" s="701" t="n"/>
      <c r="AA51" s="701" t="n"/>
      <c r="AB51" s="701" t="n"/>
      <c r="AC51" s="701" t="n"/>
      <c r="AD51" s="701" t="n"/>
      <c r="AE51" s="701" t="n"/>
      <c r="AF51" s="701" t="n"/>
      <c r="AG51" s="701" t="n"/>
      <c r="AH51" s="701" t="n"/>
      <c r="AI51" s="701" t="n"/>
      <c r="AJ51" s="30" t="n"/>
    </row>
    <row r="52" ht="12.75" customHeight="1" s="1676">
      <c r="A52" s="868" t="n"/>
      <c r="B52" s="954" t="inlineStr">
        <is>
          <t>Text_473</t>
        </is>
      </c>
      <c r="C52" s="2198">
        <f t="array" ref="C52">'Model'!BA412</f>
        <v/>
      </c>
      <c r="D52" s="871" t="n"/>
      <c r="E52" s="701" t="n"/>
      <c r="F52" s="701" t="n"/>
      <c r="G52" s="701" t="n"/>
      <c r="H52" s="701" t="n"/>
      <c r="I52" s="701" t="n"/>
      <c r="J52" s="701" t="n"/>
      <c r="K52" s="701" t="n"/>
      <c r="L52" s="701" t="n"/>
      <c r="M52" s="701" t="n"/>
      <c r="N52" s="701" t="n"/>
      <c r="O52" s="701" t="n"/>
      <c r="P52" s="701" t="n"/>
      <c r="Q52" s="701" t="n"/>
      <c r="R52" s="701" t="n"/>
      <c r="S52" s="701" t="n"/>
      <c r="T52" s="701" t="n"/>
      <c r="U52" s="701" t="n"/>
      <c r="V52" s="701" t="n"/>
      <c r="W52" s="701" t="n"/>
      <c r="X52" s="701" t="n"/>
      <c r="Y52" s="701" t="n"/>
      <c r="Z52" s="701" t="n"/>
      <c r="AA52" s="701" t="n"/>
      <c r="AB52" s="701" t="n"/>
      <c r="AC52" s="701" t="n"/>
      <c r="AD52" s="701" t="n"/>
      <c r="AE52" s="701" t="n"/>
      <c r="AF52" s="701" t="n"/>
      <c r="AG52" s="701" t="n"/>
      <c r="AH52" s="701" t="n"/>
      <c r="AI52" s="701" t="n"/>
      <c r="AJ52" s="30" t="n"/>
    </row>
    <row r="53" ht="12.75" customHeight="1" s="1676">
      <c r="A53" s="868" t="n"/>
      <c r="B53" s="956" t="inlineStr">
        <is>
          <t>Text_474</t>
        </is>
      </c>
      <c r="C53" s="2199">
        <f t="array" ref="C53">'Model'!CA4</f>
        <v/>
      </c>
      <c r="D53" s="871" t="n"/>
      <c r="E53" s="701" t="n"/>
      <c r="F53" s="701" t="n"/>
      <c r="G53" s="701" t="n"/>
      <c r="H53" s="701" t="n"/>
      <c r="I53" s="701" t="n"/>
      <c r="J53" s="701" t="n"/>
      <c r="K53" s="701" t="n"/>
      <c r="L53" s="701" t="n"/>
      <c r="M53" s="701" t="n"/>
      <c r="N53" s="701" t="n"/>
      <c r="O53" s="701" t="n"/>
      <c r="P53" s="701" t="n"/>
      <c r="Q53" s="701" t="n"/>
      <c r="R53" s="701" t="n"/>
      <c r="S53" s="701" t="n"/>
      <c r="T53" s="701" t="n"/>
      <c r="U53" s="701" t="n"/>
      <c r="V53" s="701" t="n"/>
      <c r="W53" s="701" t="n"/>
      <c r="X53" s="701" t="n"/>
      <c r="Y53" s="701" t="n"/>
      <c r="Z53" s="701" t="n"/>
      <c r="AA53" s="701" t="n"/>
      <c r="AB53" s="701" t="n"/>
      <c r="AC53" s="701" t="n"/>
      <c r="AD53" s="701" t="n"/>
      <c r="AE53" s="701" t="n"/>
      <c r="AF53" s="701" t="n"/>
      <c r="AG53" s="701" t="n"/>
      <c r="AH53" s="701" t="n"/>
      <c r="AI53" s="701" t="n"/>
      <c r="AJ53" s="30" t="n"/>
    </row>
    <row r="54" ht="12.75" customHeight="1" s="1676">
      <c r="A54" s="868" t="n"/>
      <c r="B54" s="958" t="inlineStr">
        <is>
          <t>Text_475</t>
        </is>
      </c>
      <c r="C54" s="889">
        <f t="array" ref="C54">_xlfn.IFERROR((C55/C53),"")</f>
        <v/>
      </c>
      <c r="D54" s="871" t="n"/>
      <c r="E54" s="701" t="n"/>
      <c r="F54" s="701" t="n"/>
      <c r="G54" s="701" t="n"/>
      <c r="H54" s="701" t="n"/>
      <c r="I54" s="701" t="n"/>
      <c r="J54" s="701" t="n"/>
      <c r="K54" s="701" t="n"/>
      <c r="L54" s="701" t="n"/>
      <c r="M54" s="701" t="n"/>
      <c r="N54" s="701" t="n"/>
      <c r="O54" s="701" t="n"/>
      <c r="P54" s="701" t="n"/>
      <c r="Q54" s="701" t="n"/>
      <c r="R54" s="701" t="n"/>
      <c r="S54" s="701" t="n"/>
      <c r="T54" s="701" t="n"/>
      <c r="U54" s="701" t="n"/>
      <c r="V54" s="701" t="n"/>
      <c r="W54" s="701" t="n"/>
      <c r="X54" s="701" t="n"/>
      <c r="Y54" s="701" t="n"/>
      <c r="Z54" s="701" t="n"/>
      <c r="AA54" s="701" t="n"/>
      <c r="AB54" s="701" t="n"/>
      <c r="AC54" s="701" t="n"/>
      <c r="AD54" s="701" t="n"/>
      <c r="AE54" s="701" t="n"/>
      <c r="AF54" s="701" t="n"/>
      <c r="AG54" s="701" t="n"/>
      <c r="AH54" s="701" t="n"/>
      <c r="AI54" s="701" t="n"/>
      <c r="AJ54" s="30" t="n"/>
    </row>
    <row r="55" ht="12.75" customHeight="1" s="1676">
      <c r="A55" s="868" t="n"/>
      <c r="B55" s="958" t="inlineStr">
        <is>
          <t>Text_476</t>
        </is>
      </c>
      <c r="C55" s="889">
        <f t="array" ref="C55">_xlfn.IFERROR(C56*I47,"")</f>
        <v/>
      </c>
      <c r="D55" s="871" t="n"/>
      <c r="E55" s="701" t="n"/>
      <c r="F55" s="701" t="n"/>
      <c r="G55" s="701" t="n"/>
      <c r="H55" s="701" t="n"/>
      <c r="I55" s="701" t="n"/>
      <c r="J55" s="701" t="n"/>
      <c r="K55" s="701" t="n"/>
      <c r="L55" s="701" t="n"/>
      <c r="M55" s="701" t="n"/>
      <c r="N55" s="701" t="n"/>
      <c r="O55" s="701" t="n"/>
      <c r="P55" s="701" t="n"/>
      <c r="Q55" s="701" t="n"/>
      <c r="R55" s="701" t="n"/>
      <c r="S55" s="701" t="n"/>
      <c r="T55" s="701" t="n"/>
      <c r="U55" s="701" t="n"/>
      <c r="V55" s="701" t="n"/>
      <c r="W55" s="701" t="n"/>
      <c r="X55" s="701" t="n"/>
      <c r="Y55" s="701" t="n"/>
      <c r="Z55" s="701" t="n"/>
      <c r="AA55" s="701" t="n"/>
      <c r="AB55" s="701" t="n"/>
      <c r="AC55" s="701" t="n"/>
      <c r="AD55" s="701" t="n"/>
      <c r="AE55" s="701" t="n"/>
      <c r="AF55" s="701" t="n"/>
      <c r="AG55" s="701" t="n"/>
      <c r="AH55" s="701" t="n"/>
      <c r="AI55" s="701" t="n"/>
      <c r="AJ55" s="30" t="n"/>
    </row>
    <row r="56" ht="12.75" customHeight="1" s="1676">
      <c r="A56" s="868" t="n"/>
      <c r="B56" s="958" t="inlineStr">
        <is>
          <t>Text_477</t>
        </is>
      </c>
      <c r="C56" s="2200">
        <f t="array" ref="C56">_xlfn.IFERROR(C57*L47,"")</f>
        <v/>
      </c>
      <c r="D56" s="871" t="n"/>
      <c r="E56" s="701" t="n"/>
      <c r="F56" s="701" t="n"/>
      <c r="G56" s="701" t="n"/>
      <c r="H56" s="701" t="n"/>
      <c r="I56" s="701" t="n"/>
      <c r="J56" s="701" t="n"/>
      <c r="K56" s="701" t="n"/>
      <c r="L56" s="701" t="n"/>
      <c r="M56" s="701" t="n"/>
      <c r="N56" s="701" t="n"/>
      <c r="O56" s="701" t="n"/>
      <c r="P56" s="701" t="n"/>
      <c r="Q56" s="701" t="n"/>
      <c r="R56" s="701" t="n"/>
      <c r="S56" s="701" t="n"/>
      <c r="T56" s="701" t="n"/>
      <c r="U56" s="701" t="n"/>
      <c r="V56" s="701" t="n"/>
      <c r="W56" s="701" t="n"/>
      <c r="X56" s="701" t="n"/>
      <c r="Y56" s="701" t="n"/>
      <c r="Z56" s="701" t="n"/>
      <c r="AA56" s="701" t="n"/>
      <c r="AB56" s="701" t="n"/>
      <c r="AC56" s="701" t="n"/>
      <c r="AD56" s="701" t="n"/>
      <c r="AE56" s="701" t="n"/>
      <c r="AF56" s="701" t="n"/>
      <c r="AG56" s="701" t="n"/>
      <c r="AH56" s="701" t="n"/>
      <c r="AI56" s="701" t="n"/>
      <c r="AJ56" s="30" t="n"/>
    </row>
    <row r="57" ht="12.75" customHeight="1" s="1676">
      <c r="A57" s="960" t="n"/>
      <c r="B57" s="961" t="inlineStr">
        <is>
          <t>Text_478</t>
        </is>
      </c>
      <c r="C57" s="962" t="n">
        <v>18.1747302826523</v>
      </c>
      <c r="D57" s="963" t="n"/>
      <c r="E57" s="857" t="n"/>
      <c r="F57" s="857" t="n"/>
      <c r="G57" s="857" t="n"/>
      <c r="H57" s="857" t="n"/>
      <c r="I57" s="857" t="n"/>
      <c r="J57" s="857" t="n"/>
      <c r="K57" s="857" t="n"/>
      <c r="L57" s="857" t="n"/>
      <c r="M57" s="857" t="n"/>
      <c r="N57" s="857" t="n"/>
      <c r="O57" s="857" t="n"/>
      <c r="P57" s="857" t="n"/>
      <c r="Q57" s="857" t="n"/>
      <c r="R57" s="857" t="n"/>
      <c r="S57" s="857" t="n"/>
      <c r="T57" s="857" t="n"/>
      <c r="U57" s="857" t="n"/>
      <c r="V57" s="857" t="n"/>
      <c r="W57" s="857" t="n"/>
      <c r="X57" s="857" t="n"/>
      <c r="Y57" s="857" t="n"/>
      <c r="Z57" s="857" t="n"/>
      <c r="AA57" s="857" t="n"/>
      <c r="AB57" s="857" t="n"/>
      <c r="AC57" s="857" t="n"/>
      <c r="AD57" s="857" t="n"/>
      <c r="AE57" s="857" t="n"/>
      <c r="AF57" s="857" t="n"/>
      <c r="AG57" s="857" t="n"/>
      <c r="AH57" s="857" t="n"/>
      <c r="AI57" s="857" t="n"/>
      <c r="AJ57" s="859" t="n"/>
    </row>
  </sheetData>
  <mergeCells count="8">
    <mergeCell ref="B41:U41"/>
    <mergeCell ref="B35:R35"/>
    <mergeCell ref="B29:R29"/>
    <mergeCell ref="B10:C10"/>
    <mergeCell ref="AC12:AF12"/>
    <mergeCell ref="B12:AA12"/>
    <mergeCell ref="AC21:AF21"/>
    <mergeCell ref="B9:C9"/>
  </mergeCells>
  <pageMargins left="0.708661" right="0.708661" top="0.748031" bottom="0.748031" header="0.314961" footer="0.314961"/>
  <pageSetup orientation="landscape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C86"/>
  <sheetViews>
    <sheetView showGridLines="0" defaultGridColor="1" workbookViewId="0">
      <selection activeCell="A1" sqref="A1"/>
    </sheetView>
  </sheetViews>
  <sheetFormatPr baseColWidth="8" defaultColWidth="9" defaultRowHeight="14.45" customHeight="1" outlineLevelRow="0"/>
  <cols>
    <col width="2.67188" customWidth="1" style="1623" min="1" max="1"/>
    <col width="19.3516" customWidth="1" style="1623" min="2" max="2"/>
    <col width="5.5" customWidth="1" style="1623" min="3" max="3"/>
    <col width="11.5" customWidth="1" style="1623" min="4" max="5"/>
    <col width="11.8516" customWidth="1" style="1623" min="6" max="10"/>
    <col width="11.6719" customWidth="1" style="1623" min="11" max="13"/>
    <col width="7.67188" customWidth="1" style="1623" min="14" max="14"/>
    <col width="6.35156" customWidth="1" style="1623" min="15" max="15"/>
    <col width="7.5" customWidth="1" style="1623" min="16" max="16"/>
    <col width="26.6719" customWidth="1" style="1623" min="17" max="17"/>
    <col width="11.1719" customWidth="1" style="1623" min="18" max="18"/>
    <col width="11.5" customWidth="1" style="1623" min="19" max="19"/>
    <col width="11.3516" customWidth="1" style="1623" min="20" max="20"/>
    <col width="11.5" customWidth="1" style="1623" min="21" max="21"/>
    <col width="11.8516" customWidth="1" style="1623" min="22" max="27"/>
    <col width="7.35156" customWidth="1" style="1623" min="28" max="28"/>
    <col width="5.35156" customWidth="1" style="1623" min="29" max="29"/>
    <col width="26.6719" customWidth="1" style="1623" min="30" max="30"/>
    <col width="11.3516" customWidth="1" style="1623" min="31" max="31"/>
    <col width="10.6719" customWidth="1" style="1623" min="32" max="32"/>
    <col width="11.6719" customWidth="1" style="1623" min="33" max="33"/>
    <col width="11.8516" customWidth="1" style="1623" min="34" max="34"/>
    <col width="11.6719" customWidth="1" style="1623" min="35" max="35"/>
    <col width="11.5" customWidth="1" style="1623" min="36" max="36"/>
    <col width="11.3516" customWidth="1" style="1623" min="37" max="40"/>
    <col width="7.67188" customWidth="1" style="1623" min="41" max="41"/>
    <col width="6.17188" customWidth="1" style="1623" min="42" max="42"/>
    <col width="26.6719" customWidth="1" style="1623" min="43" max="43"/>
    <col width="11.3516" customWidth="1" style="1623" min="44" max="44"/>
    <col width="10.6719" customWidth="1" style="1623" min="45" max="45"/>
    <col width="11.8516" customWidth="1" style="1623" min="46" max="46"/>
    <col width="11.3516" customWidth="1" style="1623" min="47" max="47"/>
    <col width="12.3516" customWidth="1" style="1623" min="48" max="48"/>
    <col width="11.6719" customWidth="1" style="1623" min="49" max="49"/>
    <col width="12" customWidth="1" style="1623" min="50" max="53"/>
    <col width="5.85156" customWidth="1" style="1623" min="54" max="54"/>
    <col width="6.35156" customWidth="1" style="1623" min="55" max="55"/>
    <col width="9" customWidth="1" style="1623" min="56" max="16384"/>
  </cols>
  <sheetData>
    <row r="1" ht="13.5" customHeight="1" s="1676">
      <c r="A1" s="965" t="n"/>
      <c r="B1" s="966" t="n"/>
      <c r="C1" s="966" t="n"/>
      <c r="D1" s="966" t="n"/>
      <c r="E1" s="966" t="n"/>
      <c r="F1" s="966" t="n"/>
      <c r="G1" s="966" t="n"/>
      <c r="H1" s="966" t="n"/>
      <c r="I1" s="966" t="n"/>
      <c r="J1" s="966" t="n"/>
      <c r="K1" s="966" t="n"/>
      <c r="L1" s="966" t="n"/>
      <c r="M1" s="966" t="n"/>
      <c r="N1" s="966" t="n"/>
      <c r="O1" s="966" t="n"/>
      <c r="P1" s="966" t="n"/>
      <c r="Q1" s="966" t="n"/>
      <c r="R1" s="966" t="n"/>
      <c r="S1" s="966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966" t="n"/>
      <c r="AE1" s="966" t="n"/>
      <c r="AF1" s="966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  <c r="AR1" s="11" t="n"/>
      <c r="AS1" s="11" t="n"/>
      <c r="AT1" s="11" t="n"/>
      <c r="AU1" s="11" t="n"/>
      <c r="AV1" s="11" t="n"/>
      <c r="AW1" s="11" t="n"/>
      <c r="AX1" s="11" t="n"/>
      <c r="AY1" s="11" t="n"/>
      <c r="AZ1" s="11" t="n"/>
      <c r="BA1" s="11" t="n"/>
      <c r="BB1" s="11" t="n"/>
      <c r="BC1" s="12" t="n"/>
    </row>
    <row r="2" ht="13.5" customHeight="1" s="1676">
      <c r="A2" s="967" t="n"/>
      <c r="B2" s="968" t="inlineStr">
        <is>
          <t>Text_480</t>
        </is>
      </c>
      <c r="C2" s="969" t="n"/>
      <c r="D2" s="969" t="n"/>
      <c r="E2" s="970" t="n"/>
      <c r="F2" s="970" t="n"/>
      <c r="G2" s="971" t="inlineStr">
        <is>
          <t>Text_132</t>
        </is>
      </c>
      <c r="H2" s="2201" t="n"/>
      <c r="I2" s="2201" t="n"/>
      <c r="J2" s="2201" t="n"/>
      <c r="K2" s="2201" t="n"/>
      <c r="L2" s="2201" t="n"/>
      <c r="M2" s="939" t="n"/>
      <c r="N2" s="970" t="n"/>
      <c r="O2" s="972" t="n"/>
      <c r="P2" s="970" t="n"/>
      <c r="Q2" s="969" t="n"/>
      <c r="R2" s="973" t="inlineStr">
        <is>
          <t>Text_481</t>
        </is>
      </c>
      <c r="S2" s="970" t="n"/>
      <c r="T2" s="701" t="n"/>
      <c r="U2" s="701" t="n"/>
      <c r="V2" s="701" t="n"/>
      <c r="W2" s="701" t="n"/>
      <c r="X2" s="701" t="n"/>
      <c r="Y2" s="701" t="n"/>
      <c r="Z2" s="701" t="n"/>
      <c r="AA2" s="701" t="n"/>
      <c r="AB2" s="701" t="n"/>
      <c r="AC2" s="701" t="n"/>
      <c r="AD2" s="969" t="n"/>
      <c r="AE2" s="969" t="n"/>
      <c r="AF2" s="970" t="n"/>
      <c r="AG2" s="701" t="n"/>
      <c r="AH2" s="701" t="n"/>
      <c r="AI2" s="701" t="n"/>
      <c r="AJ2" s="701" t="n"/>
      <c r="AK2" s="701" t="n"/>
      <c r="AL2" s="701" t="n"/>
      <c r="AM2" s="701" t="n"/>
      <c r="AN2" s="701" t="n"/>
      <c r="AO2" s="701" t="n"/>
      <c r="AP2" s="701" t="n"/>
      <c r="AQ2" s="969" t="n"/>
      <c r="AR2" s="969" t="n"/>
      <c r="AS2" s="970" t="n"/>
      <c r="AT2" s="701" t="n"/>
      <c r="AU2" s="701" t="n"/>
      <c r="AV2" s="701" t="n"/>
      <c r="AW2" s="701" t="n"/>
      <c r="AX2" s="701" t="n"/>
      <c r="AY2" s="701" t="n"/>
      <c r="AZ2" s="701" t="n"/>
      <c r="BA2" s="701" t="n"/>
      <c r="BB2" s="701" t="n"/>
      <c r="BC2" s="30" t="n"/>
    </row>
    <row r="3" ht="12.75" customHeight="1" s="1676">
      <c r="A3" s="974" t="n"/>
      <c r="B3" s="975" t="inlineStr">
        <is>
          <t>Text_229</t>
        </is>
      </c>
      <c r="C3" s="2202">
        <f t="array" ref="C3">'Model'!CA4</f>
        <v/>
      </c>
      <c r="D3" s="2203" t="n"/>
      <c r="E3" s="978">
        <f t="array" ref="E3">'Model'!CA2</f>
        <v/>
      </c>
      <c r="F3" s="2201" t="n"/>
      <c r="G3" s="2201" t="n"/>
      <c r="H3" s="2201" t="n"/>
      <c r="I3" s="2201" t="n"/>
      <c r="J3" s="2201" t="n"/>
      <c r="K3" s="2201" t="n"/>
      <c r="L3" s="2201" t="n"/>
      <c r="M3" s="2201" t="n"/>
      <c r="N3" s="979" t="inlineStr">
        <is>
          <t>Text_482</t>
        </is>
      </c>
      <c r="O3" s="904" t="n"/>
      <c r="P3" s="980" t="n"/>
      <c r="Q3" s="975" t="inlineStr">
        <is>
          <t>Text_229</t>
        </is>
      </c>
      <c r="R3" s="2203">
        <f t="array" ref="R3">'Model'!CA4</f>
        <v/>
      </c>
      <c r="S3" s="981" t="inlineStr">
        <is>
          <t>Text_483</t>
        </is>
      </c>
      <c r="T3" s="2201" t="n"/>
      <c r="U3" s="2201" t="n"/>
      <c r="V3" s="2201" t="n"/>
      <c r="W3" s="2201" t="n"/>
      <c r="X3" s="2201" t="n"/>
      <c r="Y3" s="2201" t="n"/>
      <c r="Z3" s="2201" t="n"/>
      <c r="AA3" s="2201" t="n"/>
      <c r="AB3" s="979" t="inlineStr">
        <is>
          <t>Text_482</t>
        </is>
      </c>
      <c r="AC3" s="381" t="n"/>
      <c r="AD3" s="975" t="inlineStr">
        <is>
          <t>Text_229</t>
        </is>
      </c>
      <c r="AE3" s="2203">
        <f t="array" ref="AE3">C3</f>
        <v/>
      </c>
      <c r="AF3" s="981" t="inlineStr">
        <is>
          <t>Text_484</t>
        </is>
      </c>
      <c r="AG3" s="2201" t="n"/>
      <c r="AH3" s="2201" t="n"/>
      <c r="AI3" s="2201" t="n"/>
      <c r="AJ3" s="2201" t="n"/>
      <c r="AK3" s="2201" t="n"/>
      <c r="AL3" s="2201" t="n"/>
      <c r="AM3" s="2201" t="n"/>
      <c r="AN3" s="2201" t="n"/>
      <c r="AO3" s="979" t="inlineStr">
        <is>
          <t>Text_482</t>
        </is>
      </c>
      <c r="AP3" s="381" t="n"/>
      <c r="AQ3" s="975" t="inlineStr">
        <is>
          <t>Text_229</t>
        </is>
      </c>
      <c r="AR3" s="2203">
        <f t="array" ref="AR3">AE3</f>
        <v/>
      </c>
      <c r="AS3" s="981" t="inlineStr">
        <is>
          <t>Text_485</t>
        </is>
      </c>
      <c r="AT3" s="2201" t="n"/>
      <c r="AU3" s="2201" t="n"/>
      <c r="AV3" s="2201" t="n"/>
      <c r="AW3" s="2201" t="n"/>
      <c r="AX3" s="2201" t="n"/>
      <c r="AY3" s="2201" t="n"/>
      <c r="AZ3" s="2201" t="n"/>
      <c r="BA3" s="2201" t="n"/>
      <c r="BB3" s="979" t="inlineStr">
        <is>
          <t>Text_482</t>
        </is>
      </c>
      <c r="BC3" s="983" t="n"/>
    </row>
    <row r="4" ht="12.75" customHeight="1" s="1676">
      <c r="A4" s="974" t="n"/>
      <c r="B4" s="975" t="inlineStr">
        <is>
          <t>Text_486</t>
        </is>
      </c>
      <c r="C4" s="984" t="n"/>
      <c r="D4" s="985" t="n">
        <v>1768.3408094454</v>
      </c>
      <c r="E4" s="985" t="n">
        <v>2160.41706660343</v>
      </c>
      <c r="F4" s="985" t="n">
        <v>2407.80322475022</v>
      </c>
      <c r="G4" s="985" t="n">
        <v>1700.85189722638</v>
      </c>
      <c r="H4" s="985" t="n">
        <v>1625.93582522713</v>
      </c>
      <c r="I4" s="986" t="inlineStr">
        <is>
          <t>Text_487</t>
        </is>
      </c>
      <c r="J4" s="986" t="inlineStr">
        <is>
          <t>Text_488</t>
        </is>
      </c>
      <c r="K4" s="986" t="inlineStr">
        <is>
          <t>Text_489</t>
        </is>
      </c>
      <c r="L4" s="986" t="inlineStr">
        <is>
          <t>Text_490</t>
        </is>
      </c>
      <c r="M4" s="986" t="inlineStr">
        <is>
          <t>Text_491</t>
        </is>
      </c>
      <c r="N4" s="987" t="inlineStr">
        <is>
          <t>Text_492</t>
        </is>
      </c>
      <c r="O4" s="988" t="n"/>
      <c r="P4" s="989" t="n"/>
      <c r="Q4" s="975" t="inlineStr">
        <is>
          <t>Text_486</t>
        </is>
      </c>
      <c r="R4" s="990" t="n"/>
      <c r="S4" s="991" t="n">
        <v>1967.3083295642</v>
      </c>
      <c r="T4" s="985" t="n">
        <v>1692.51549069195</v>
      </c>
      <c r="U4" s="985" t="n">
        <v>2223.99261575801</v>
      </c>
      <c r="V4" s="985" t="n">
        <v>2359.61859825179</v>
      </c>
      <c r="W4" s="986" t="inlineStr">
        <is>
          <t>Text_487</t>
        </is>
      </c>
      <c r="X4" s="986" t="inlineStr">
        <is>
          <t>Text_488</t>
        </is>
      </c>
      <c r="Y4" s="986" t="inlineStr">
        <is>
          <t>Text_489</t>
        </is>
      </c>
      <c r="Z4" s="986" t="inlineStr">
        <is>
          <t>Text_490</t>
        </is>
      </c>
      <c r="AA4" s="986" t="inlineStr">
        <is>
          <t>Text_491</t>
        </is>
      </c>
      <c r="AB4" s="987" t="inlineStr">
        <is>
          <t>Text_492</t>
        </is>
      </c>
      <c r="AC4" s="381" t="n"/>
      <c r="AD4" s="975" t="inlineStr">
        <is>
          <t>Text_486</t>
        </is>
      </c>
      <c r="AE4" s="990" t="n"/>
      <c r="AF4" s="991" t="n">
        <v>1967.66255433776</v>
      </c>
      <c r="AG4" s="985" t="n">
        <v>1826.84597617532</v>
      </c>
      <c r="AH4" s="985" t="n">
        <v>1969.91916574015</v>
      </c>
      <c r="AI4" s="985" t="n">
        <v>2204.90335333136</v>
      </c>
      <c r="AJ4" s="986" t="inlineStr">
        <is>
          <t>Text_487</t>
        </is>
      </c>
      <c r="AK4" s="986" t="inlineStr">
        <is>
          <t>Text_488</t>
        </is>
      </c>
      <c r="AL4" s="986" t="inlineStr">
        <is>
          <t>Text_489</t>
        </is>
      </c>
      <c r="AM4" s="986" t="inlineStr">
        <is>
          <t>Text_490</t>
        </is>
      </c>
      <c r="AN4" s="986" t="inlineStr">
        <is>
          <t>Text_491</t>
        </is>
      </c>
      <c r="AO4" s="987" t="inlineStr">
        <is>
          <t>Text_492</t>
        </is>
      </c>
      <c r="AP4" s="381" t="n"/>
      <c r="AQ4" s="975" t="inlineStr">
        <is>
          <t>Text_486</t>
        </is>
      </c>
      <c r="AR4" s="990" t="n"/>
      <c r="AS4" s="992" t="n">
        <v>1624.11938422157</v>
      </c>
      <c r="AT4" s="1092" t="n">
        <v>2094.35038669522</v>
      </c>
      <c r="AU4" s="985" t="n">
        <v>2114.67563141087</v>
      </c>
      <c r="AV4" s="985" t="n">
        <v>2135.47240468695</v>
      </c>
      <c r="AW4" s="986" t="inlineStr">
        <is>
          <t>Text_487</t>
        </is>
      </c>
      <c r="AX4" s="986" t="inlineStr">
        <is>
          <t>Text_488</t>
        </is>
      </c>
      <c r="AY4" s="986" t="inlineStr">
        <is>
          <t>Text_489</t>
        </is>
      </c>
      <c r="AZ4" s="986" t="inlineStr">
        <is>
          <t>Text_490</t>
        </is>
      </c>
      <c r="BA4" s="986" t="inlineStr">
        <is>
          <t>Text_491</t>
        </is>
      </c>
      <c r="BB4" s="987" t="inlineStr">
        <is>
          <t>Text_492</t>
        </is>
      </c>
      <c r="BC4" s="983" t="n"/>
    </row>
    <row r="5" ht="12.75" customHeight="1" s="1676">
      <c r="A5" s="967" t="n"/>
      <c r="B5" s="994" t="inlineStr">
        <is>
          <t>Text_493</t>
        </is>
      </c>
      <c r="C5" s="995" t="n"/>
      <c r="D5" s="996" t="n">
        <v>44012</v>
      </c>
      <c r="E5" s="996" t="n">
        <v>44377</v>
      </c>
      <c r="F5" s="996">
        <f t="array" ref="F5">E5+365</f>
        <v/>
      </c>
      <c r="G5" s="996">
        <f t="array" ref="G5">F5+365</f>
        <v/>
      </c>
      <c r="H5" s="996">
        <f t="array" ref="H5">G5+366</f>
        <v/>
      </c>
      <c r="I5" s="996">
        <f t="array" ref="I5">H5+365</f>
        <v/>
      </c>
      <c r="J5" s="996">
        <f t="array" ref="J5">I5+365</f>
        <v/>
      </c>
      <c r="K5" s="996">
        <f t="array" ref="K5">J5+365</f>
        <v/>
      </c>
      <c r="L5" s="996">
        <f t="array" ref="L5">K5+365</f>
        <v/>
      </c>
      <c r="M5" s="996">
        <f t="array" ref="M5">L5+365</f>
        <v/>
      </c>
      <c r="N5" s="904" t="n"/>
      <c r="O5" s="904" t="n"/>
      <c r="P5" s="904" t="n"/>
      <c r="Q5" s="994" t="inlineStr">
        <is>
          <t>Text_493</t>
        </is>
      </c>
      <c r="R5" s="995" t="n"/>
      <c r="S5" s="997" t="n">
        <v>44377</v>
      </c>
      <c r="T5" s="997" t="n">
        <v>44742</v>
      </c>
      <c r="U5" s="997" t="n">
        <v>45107</v>
      </c>
      <c r="V5" s="997" t="n">
        <v>45473</v>
      </c>
      <c r="W5" s="997" t="n">
        <v>45838</v>
      </c>
      <c r="X5" s="997" t="n">
        <v>46203</v>
      </c>
      <c r="Y5" s="997" t="n">
        <v>46568</v>
      </c>
      <c r="Z5" s="997">
        <f t="array" ref="Z5">Y5+365</f>
        <v/>
      </c>
      <c r="AA5" s="997">
        <f t="array" ref="AA5">Z5+365</f>
        <v/>
      </c>
      <c r="AB5" s="904" t="n"/>
      <c r="AC5" s="701" t="n"/>
      <c r="AD5" s="994" t="inlineStr">
        <is>
          <t>Text_493</t>
        </is>
      </c>
      <c r="AE5" s="995" t="n"/>
      <c r="AF5" s="997" t="n">
        <v>44377</v>
      </c>
      <c r="AG5" s="997" t="n">
        <v>44742</v>
      </c>
      <c r="AH5" s="997" t="n">
        <v>45107</v>
      </c>
      <c r="AI5" s="997" t="n">
        <v>45473</v>
      </c>
      <c r="AJ5" s="997" t="n">
        <v>45838</v>
      </c>
      <c r="AK5" s="997" t="n">
        <v>46203</v>
      </c>
      <c r="AL5" s="997" t="n">
        <v>46568</v>
      </c>
      <c r="AM5" s="997">
        <f t="array" ref="AM5">AL5+365</f>
        <v/>
      </c>
      <c r="AN5" s="996">
        <f t="array" ref="AN5">AM5+365</f>
        <v/>
      </c>
      <c r="AO5" s="904" t="n"/>
      <c r="AP5" s="701" t="n"/>
      <c r="AQ5" s="994" t="inlineStr">
        <is>
          <t>Text_493</t>
        </is>
      </c>
      <c r="AR5" s="995" t="n"/>
      <c r="AS5" s="997" t="n">
        <v>44469</v>
      </c>
      <c r="AT5" s="997" t="n">
        <v>44742</v>
      </c>
      <c r="AU5" s="997" t="n">
        <v>45107</v>
      </c>
      <c r="AV5" s="997" t="n">
        <v>45473</v>
      </c>
      <c r="AW5" s="997" t="n">
        <v>45838</v>
      </c>
      <c r="AX5" s="997" t="n">
        <v>46203</v>
      </c>
      <c r="AY5" s="997" t="n">
        <v>46568</v>
      </c>
      <c r="AZ5" s="997">
        <f t="array" ref="AZ5">AY5+365</f>
        <v/>
      </c>
      <c r="BA5" s="996">
        <f t="array" ref="BA5">AZ5+365</f>
        <v/>
      </c>
      <c r="BB5" s="904" t="n"/>
      <c r="BC5" s="983" t="n"/>
    </row>
    <row r="6" ht="12.75" customHeight="1" s="1676">
      <c r="A6" s="967" t="n"/>
      <c r="B6" s="998" t="n"/>
      <c r="C6" s="969" t="n"/>
      <c r="D6" s="999" t="n"/>
      <c r="E6" s="999" t="n"/>
      <c r="F6" s="999" t="n"/>
      <c r="G6" s="2204" t="n"/>
      <c r="H6" s="2204" t="n"/>
      <c r="I6" s="2204" t="n"/>
      <c r="J6" s="2204" t="n"/>
      <c r="K6" s="2204" t="n"/>
      <c r="L6" s="2204" t="n"/>
      <c r="M6" s="2204" t="n"/>
      <c r="N6" s="904" t="n"/>
      <c r="O6" s="904" t="n"/>
      <c r="P6" s="904" t="n"/>
      <c r="Q6" s="1001" t="n"/>
      <c r="R6" s="969" t="n"/>
      <c r="S6" s="2205" t="n"/>
      <c r="T6" s="999" t="n"/>
      <c r="U6" s="999" t="n"/>
      <c r="V6" s="999" t="n"/>
      <c r="W6" s="999" t="n"/>
      <c r="X6" s="999" t="n"/>
      <c r="Y6" s="999" t="n"/>
      <c r="Z6" s="999" t="n"/>
      <c r="AA6" s="999" t="n"/>
      <c r="AB6" s="904" t="n"/>
      <c r="AC6" s="701" t="n"/>
      <c r="AD6" s="1001" t="n"/>
      <c r="AE6" s="969" t="n"/>
      <c r="AF6" s="999" t="n"/>
      <c r="AG6" s="999" t="n"/>
      <c r="AH6" s="999" t="n"/>
      <c r="AI6" s="999" t="n"/>
      <c r="AJ6" s="999" t="n"/>
      <c r="AK6" s="999" t="n"/>
      <c r="AL6" s="999" t="n"/>
      <c r="AM6" s="999" t="n"/>
      <c r="AN6" s="999" t="n"/>
      <c r="AO6" s="904" t="n"/>
      <c r="AP6" s="701" t="n"/>
      <c r="AQ6" s="1003" t="inlineStr">
        <is>
          <t>Text_494</t>
        </is>
      </c>
      <c r="AR6" s="969" t="n"/>
      <c r="AS6" s="999" t="n"/>
      <c r="AT6" s="999" t="n"/>
      <c r="AU6" s="999" t="n"/>
      <c r="AV6" s="999" t="n"/>
      <c r="AW6" s="2206">
        <f t="array" ref="AW6">AW14/$W$14-1</f>
        <v/>
      </c>
      <c r="AX6" s="2206">
        <f t="array" ref="AX6">AX14/X$14-1</f>
        <v/>
      </c>
      <c r="AY6" s="2206">
        <f t="array" ref="AY6">AY14/Y$14-1</f>
        <v/>
      </c>
      <c r="AZ6" s="2206">
        <f t="array" ref="AZ6">AZ14/Z$14-1</f>
        <v/>
      </c>
      <c r="BA6" s="2206">
        <f t="array" ref="BA6">BA14/AA$14-1</f>
        <v/>
      </c>
      <c r="BB6" s="904" t="n"/>
      <c r="BC6" s="983" t="n"/>
    </row>
    <row r="7" ht="12.75" customHeight="1" s="1676">
      <c r="A7" s="967" t="n"/>
      <c r="B7" s="1005" t="inlineStr">
        <is>
          <t>Text_495</t>
        </is>
      </c>
      <c r="C7" s="2207" t="n"/>
      <c r="D7" s="2208">
        <f t="array" ref="D7">'Model'!AG101</f>
        <v/>
      </c>
      <c r="E7" s="2209">
        <f t="array" ref="E7">'Model'!AL101</f>
        <v/>
      </c>
      <c r="F7" s="2209">
        <f t="array" ref="F7">'Model'!AQ101</f>
        <v/>
      </c>
      <c r="G7" s="2209">
        <f t="array" ref="G7">'Model'!AV101</f>
        <v/>
      </c>
      <c r="H7" s="2209">
        <f t="array" ref="H7">'Model'!BA101</f>
        <v/>
      </c>
      <c r="I7" s="2210">
        <f t="array" ref="I7">'Model'!BF101</f>
        <v/>
      </c>
      <c r="J7" s="2209">
        <f t="array" ref="J7">'Model'!BK101</f>
        <v/>
      </c>
      <c r="K7" s="2210">
        <f t="array" ref="K7">'Model'!BP101</f>
        <v/>
      </c>
      <c r="L7" s="2209">
        <f t="array" ref="L7">'Model'!BU101</f>
        <v/>
      </c>
      <c r="M7" s="2209">
        <f t="array" ref="M7">'Model'!BZ101</f>
        <v/>
      </c>
      <c r="N7" s="2211">
        <f t="array" ref="N7">(M7/H7)^(1/5)-1</f>
        <v/>
      </c>
      <c r="O7" s="2211" t="n"/>
      <c r="P7" s="2212" t="n"/>
      <c r="Q7" s="1005" t="inlineStr">
        <is>
          <t>Text_495</t>
        </is>
      </c>
      <c r="R7" s="2207" t="n"/>
      <c r="S7" s="2208" t="n">
        <v>81434.098222883</v>
      </c>
      <c r="T7" s="2209" t="n">
        <v>106049.983250979</v>
      </c>
      <c r="U7" s="2209" t="n">
        <v>82783.96748176801</v>
      </c>
      <c r="V7" s="2209" t="n">
        <v>83942.4539687725</v>
      </c>
      <c r="W7" s="2209" t="n">
        <v>116271.762246117</v>
      </c>
      <c r="X7" s="2209" t="n">
        <v>126689.760726457</v>
      </c>
      <c r="Y7" s="2209" t="n">
        <v>96537.7582033114</v>
      </c>
      <c r="Z7" s="2209" t="n">
        <v>121865.553511976</v>
      </c>
      <c r="AA7" s="2209" t="n">
        <v>134016.174378076</v>
      </c>
      <c r="AB7" s="2211">
        <f t="array" ref="AB7">(AA7/V7)^(1/5)-1</f>
        <v/>
      </c>
      <c r="AC7" s="701" t="n"/>
      <c r="AD7" s="1005" t="inlineStr">
        <is>
          <t>Text_495</t>
        </is>
      </c>
      <c r="AE7" s="2207" t="n"/>
      <c r="AF7" s="2208" t="n">
        <v>82479.59162118709</v>
      </c>
      <c r="AG7" s="2209" t="n">
        <v>87822.0507437608</v>
      </c>
      <c r="AH7" s="2209" t="n">
        <v>81641.3908696482</v>
      </c>
      <c r="AI7" s="2209" t="n">
        <v>93853.62849843279</v>
      </c>
      <c r="AJ7" s="2209">
        <f t="array" ref="AJ7">AI7*(1+AJ8)</f>
        <v/>
      </c>
      <c r="AK7" s="2209">
        <f t="array" ref="AK7">AJ7*(1+AK8)</f>
        <v/>
      </c>
      <c r="AL7" s="2209">
        <f t="array" ref="AL7">AK7*(1+AL8)</f>
        <v/>
      </c>
      <c r="AM7" s="2209">
        <f t="array" ref="AM7">AL7*(1+AM8)</f>
        <v/>
      </c>
      <c r="AN7" s="2209">
        <f t="array" ref="AN7">AM7*(1+AN8)</f>
        <v/>
      </c>
      <c r="AO7" s="2211">
        <f t="array" ref="AO7">(AN7/AI7)^(1/5)-1</f>
        <v/>
      </c>
      <c r="AP7" s="701" t="n"/>
      <c r="AQ7" s="1005" t="inlineStr">
        <is>
          <t>Text_495</t>
        </is>
      </c>
      <c r="AR7" s="2207" t="n"/>
      <c r="AS7" s="2208" t="n"/>
      <c r="AT7" s="2209" t="n"/>
      <c r="AU7" s="2209" t="n">
        <v>108170.335679156</v>
      </c>
      <c r="AV7" s="2209" t="n">
        <v>99494.570623167</v>
      </c>
      <c r="AW7" s="2209">
        <f t="array" ref="AW7">AV7*(1+AW8)</f>
        <v/>
      </c>
      <c r="AX7" s="2209">
        <f t="array" ref="AX7">AW7*(1+AX8)</f>
        <v/>
      </c>
      <c r="AY7" s="2209">
        <f t="array" ref="AY7">AX7*(1+AY8)</f>
        <v/>
      </c>
      <c r="AZ7" s="2209">
        <f t="array" ref="AZ7">AY7*(1+AZ8)</f>
        <v/>
      </c>
      <c r="BA7" s="2209">
        <f t="array" ref="BA7">AZ7*(1+BA8)</f>
        <v/>
      </c>
      <c r="BB7" s="2211">
        <f t="array" ref="BB7">(BA7/AV7)^(1/5)-1</f>
        <v/>
      </c>
      <c r="BC7" s="2213" t="n"/>
    </row>
    <row r="8" ht="12.75" customHeight="1" s="1676">
      <c r="A8" s="967" t="n"/>
      <c r="B8" s="1013" t="inlineStr">
        <is>
          <t>Text_15</t>
        </is>
      </c>
      <c r="C8" s="2214" t="n"/>
      <c r="D8" s="2215" t="n"/>
      <c r="E8" s="2216">
        <f t="array" ref="E8">E7/D7-1</f>
        <v/>
      </c>
      <c r="F8" s="2216">
        <f t="array" ref="F8">F7/E7-1</f>
        <v/>
      </c>
      <c r="G8" s="2216">
        <f t="array" ref="G8">G7/F7-1</f>
        <v/>
      </c>
      <c r="H8" s="2216">
        <f t="array" ref="H8">H7/G7-1</f>
        <v/>
      </c>
      <c r="I8" s="2217">
        <f t="array" ref="I8">I7/H7-1</f>
        <v/>
      </c>
      <c r="J8" s="2216">
        <f t="array" ref="J8">J7/I7-1</f>
        <v/>
      </c>
      <c r="K8" s="2217">
        <f t="array" ref="K8">K7/J7-1</f>
        <v/>
      </c>
      <c r="L8" s="2216">
        <f t="array" ref="L8">L7/K7-1</f>
        <v/>
      </c>
      <c r="M8" s="2216">
        <f t="array" ref="M8">M7/L7-1</f>
        <v/>
      </c>
      <c r="N8" s="2218" t="n"/>
      <c r="O8" s="2218" t="n"/>
      <c r="P8" s="2218" t="n"/>
      <c r="Q8" s="1013" t="inlineStr">
        <is>
          <t>Text_15</t>
        </is>
      </c>
      <c r="R8" s="2214" t="n"/>
      <c r="S8" s="2215" t="n"/>
      <c r="T8" s="2216" t="n">
        <v>0.415925349700795</v>
      </c>
      <c r="U8" s="2216" t="n">
        <v>0.012294101145741</v>
      </c>
      <c r="V8" s="2216" t="n">
        <v>-0.0378962292959805</v>
      </c>
      <c r="W8" s="2216" t="n">
        <v>0.0613173793673009</v>
      </c>
      <c r="X8" s="2216" t="n">
        <v>0.150691151890884</v>
      </c>
      <c r="Y8" s="2216" t="n">
        <v>0.0378974244206247</v>
      </c>
      <c r="Z8" s="2216" t="n">
        <v>0.138163509315617</v>
      </c>
      <c r="AA8" s="2216" t="n">
        <v>0.11726284921688</v>
      </c>
      <c r="AB8" s="2218" t="n"/>
      <c r="AC8" s="701" t="n"/>
      <c r="AD8" s="1013" t="inlineStr">
        <is>
          <t>Text_15</t>
        </is>
      </c>
      <c r="AE8" s="2214" t="n"/>
      <c r="AF8" s="2215" t="n"/>
      <c r="AG8" s="2216" t="n">
        <v>0.390307559617131</v>
      </c>
      <c r="AH8" s="2216" t="n">
        <v>0.0132240552654926</v>
      </c>
      <c r="AI8" s="2216">
        <f t="array" ref="AI8">AI7/AH7-1</f>
        <v/>
      </c>
      <c r="AJ8" s="2219" t="n">
        <v>0.134209945890244</v>
      </c>
      <c r="AK8" s="2219" t="n">
        <v>0.134123901484803</v>
      </c>
      <c r="AL8" s="2219" t="n">
        <v>0.130371783085559</v>
      </c>
      <c r="AM8" s="2219" t="n">
        <v>0.122519951135115</v>
      </c>
      <c r="AN8" s="2219" t="n">
        <v>0.127765957599456</v>
      </c>
      <c r="AO8" s="2218" t="n"/>
      <c r="AP8" s="701" t="n"/>
      <c r="AQ8" s="1013" t="inlineStr">
        <is>
          <t>Text_15</t>
        </is>
      </c>
      <c r="AR8" s="2214" t="n"/>
      <c r="AS8" s="2215" t="n"/>
      <c r="AT8" s="2216" t="n">
        <v>-0.0152523402298708</v>
      </c>
      <c r="AU8" s="2216" t="n">
        <v>0.0131679166305231</v>
      </c>
      <c r="AV8" s="2216">
        <f t="array" ref="AV8">AI8</f>
        <v/>
      </c>
      <c r="AW8" s="2219" t="n">
        <v>-0.0502555462883714</v>
      </c>
      <c r="AX8" s="2219" t="n">
        <v>0.07753443748674339</v>
      </c>
      <c r="AY8" s="2219" t="n">
        <v>0.0491229927994439</v>
      </c>
      <c r="AZ8" s="2219" t="n">
        <v>0.0842170249509671</v>
      </c>
      <c r="BA8" s="2219" t="n">
        <v>0.0817756058402862</v>
      </c>
      <c r="BB8" s="2218" t="n"/>
      <c r="BC8" s="2220" t="n"/>
    </row>
    <row r="9" ht="12.75" customHeight="1" s="1676">
      <c r="A9" s="967" t="n"/>
      <c r="B9" s="1021" t="inlineStr">
        <is>
          <t>Text_496</t>
        </is>
      </c>
      <c r="C9" s="2221" t="n"/>
      <c r="D9" s="2222" t="n"/>
      <c r="E9" s="2218" t="n"/>
      <c r="F9" s="2218" t="n"/>
      <c r="G9" s="2223">
        <f t="array" ref="G9">'Model'!AV22</f>
        <v/>
      </c>
      <c r="H9" s="2223">
        <f t="array" ref="H9">'Model'!BA22</f>
        <v/>
      </c>
      <c r="I9" s="2223">
        <f t="array" ref="I9">'Model'!BF22</f>
        <v/>
      </c>
      <c r="J9" s="2223">
        <f t="array" ref="J9">'Model'!BK22</f>
        <v/>
      </c>
      <c r="K9" s="2223">
        <f t="array" ref="K9">'Model'!BP22</f>
        <v/>
      </c>
      <c r="L9" s="2223">
        <f t="array" ref="L9">'Model'!BU22</f>
        <v/>
      </c>
      <c r="M9" s="2223">
        <f t="array" ref="M9">'Model'!BZ22</f>
        <v/>
      </c>
      <c r="N9" s="2218">
        <f t="array" ref="N9">(M9/H9)^(1/5)-1</f>
        <v/>
      </c>
      <c r="O9" s="2218" t="n"/>
      <c r="P9" s="2218" t="n"/>
      <c r="Q9" s="1021" t="inlineStr">
        <is>
          <t>Text_496</t>
        </is>
      </c>
      <c r="R9" s="2221" t="n"/>
      <c r="S9" s="2222" t="n"/>
      <c r="T9" s="2218" t="n"/>
      <c r="U9" s="2223" t="n">
        <v>3197.06936726072</v>
      </c>
      <c r="V9" s="2223" t="n">
        <v>4095.43930799724</v>
      </c>
      <c r="W9" s="2223" t="n">
        <v>4339.80711182019</v>
      </c>
      <c r="X9" s="2223" t="n">
        <v>3187.30328153878</v>
      </c>
      <c r="Y9" s="2223" t="n">
        <v>3746.67008177542</v>
      </c>
      <c r="Z9" s="2223" t="n">
        <v>3544.04072787232</v>
      </c>
      <c r="AA9" s="2223" t="n">
        <v>3865.7660215721</v>
      </c>
      <c r="AB9" s="2218">
        <f t="array" ref="AB9">(AA9/V9)^(1/5)-1</f>
        <v/>
      </c>
      <c r="AC9" s="701" t="n"/>
      <c r="AD9" s="1021" t="inlineStr">
        <is>
          <t>Text_496</t>
        </is>
      </c>
      <c r="AE9" s="2221" t="n"/>
      <c r="AF9" s="2222" t="n"/>
      <c r="AG9" s="2218" t="n"/>
      <c r="AH9" s="2223" t="n">
        <v>3038.71230174068</v>
      </c>
      <c r="AI9" s="2223">
        <f t="array" ref="AI9">V9</f>
        <v/>
      </c>
      <c r="AJ9" s="2223">
        <f t="array" ref="AJ9">AI9*(1+AJ10)</f>
        <v/>
      </c>
      <c r="AK9" s="2223">
        <f t="array" ref="AK9">AJ9*(1+AK10)</f>
        <v/>
      </c>
      <c r="AL9" s="2223">
        <f t="array" ref="AL9">AK9*(1+AL10)</f>
        <v/>
      </c>
      <c r="AM9" s="2223">
        <f t="array" ref="AM9">AL9*(1+AM10)</f>
        <v/>
      </c>
      <c r="AN9" s="2223">
        <f t="array" ref="AN9">AM9*(1+AN10)</f>
        <v/>
      </c>
      <c r="AO9" s="2218">
        <f t="array" ref="AO9">(AN9/AI9)^(1/5)-1</f>
        <v/>
      </c>
      <c r="AP9" s="701" t="n"/>
      <c r="AQ9" s="1021" t="inlineStr">
        <is>
          <t>Text_496</t>
        </is>
      </c>
      <c r="AR9" s="2221" t="n"/>
      <c r="AS9" s="2222" t="n"/>
      <c r="AT9" s="2218" t="n"/>
      <c r="AU9" s="2223" t="n">
        <v>3367.84692562669</v>
      </c>
      <c r="AV9" s="2223">
        <f t="array" ref="AV9">AI9</f>
        <v/>
      </c>
      <c r="AW9" s="2223">
        <f t="array" ref="AW9">AV9*(1+AW10)</f>
        <v/>
      </c>
      <c r="AX9" s="2223">
        <f t="array" ref="AX9">AW9*(1+AX10)</f>
        <v/>
      </c>
      <c r="AY9" s="2223">
        <f t="array" ref="AY9">AX9*(1+AY10)</f>
        <v/>
      </c>
      <c r="AZ9" s="2223">
        <f t="array" ref="AZ9">AY9*(1+AZ10)</f>
        <v/>
      </c>
      <c r="BA9" s="2223">
        <f t="array" ref="BA9">AZ9*(1+BA10)</f>
        <v/>
      </c>
      <c r="BB9" s="2218">
        <f t="array" ref="BB9">(BA9/AV9)^(1/5)-1</f>
        <v/>
      </c>
      <c r="BC9" s="2220" t="n"/>
    </row>
    <row r="10" ht="12.75" customHeight="1" s="1676">
      <c r="A10" s="967" t="n"/>
      <c r="B10" s="1021" t="inlineStr">
        <is>
          <t>Text_15</t>
        </is>
      </c>
      <c r="C10" s="2221" t="n"/>
      <c r="D10" s="2222" t="n"/>
      <c r="E10" s="2218" t="n"/>
      <c r="F10" s="2218" t="n"/>
      <c r="G10" s="2218" t="n"/>
      <c r="H10" s="2218">
        <f t="array" ref="H10">H9/G9-1</f>
        <v/>
      </c>
      <c r="I10" s="2218">
        <f t="array" ref="I10">I9/H9-1</f>
        <v/>
      </c>
      <c r="J10" s="2218">
        <f t="array" ref="J10">J9/I9-1</f>
        <v/>
      </c>
      <c r="K10" s="2218">
        <f t="array" ref="K10">K9/J9-1</f>
        <v/>
      </c>
      <c r="L10" s="2218">
        <f t="array" ref="L10">L9/K9-1</f>
        <v/>
      </c>
      <c r="M10" s="2218">
        <f t="array" ref="M10">M9/L9-1</f>
        <v/>
      </c>
      <c r="N10" s="2218" t="n"/>
      <c r="O10" s="2218" t="n"/>
      <c r="P10" s="2218" t="n"/>
      <c r="Q10" s="1021" t="inlineStr">
        <is>
          <t>Text_15</t>
        </is>
      </c>
      <c r="R10" s="2221" t="n"/>
      <c r="S10" s="2222" t="n"/>
      <c r="T10" s="2218" t="n"/>
      <c r="U10" s="2218" t="n"/>
      <c r="V10" s="2218" t="n">
        <v>0.428382584877453</v>
      </c>
      <c r="W10" s="2218" t="n">
        <v>-0.0116835484882303</v>
      </c>
      <c r="X10" s="2218" t="n">
        <v>-0.136931473529264</v>
      </c>
      <c r="Y10" s="2218" t="n">
        <v>-0.0229247874367362</v>
      </c>
      <c r="Z10" s="2218" t="n">
        <v>0.0507316708085813</v>
      </c>
      <c r="AA10" s="2218" t="n">
        <v>0.08187445354866051</v>
      </c>
      <c r="AB10" s="2218" t="n"/>
      <c r="AC10" s="701" t="n"/>
      <c r="AD10" s="1021" t="inlineStr">
        <is>
          <t>Text_15</t>
        </is>
      </c>
      <c r="AE10" s="2221" t="n"/>
      <c r="AF10" s="2222" t="n"/>
      <c r="AG10" s="2218" t="n"/>
      <c r="AH10" s="2218" t="n"/>
      <c r="AI10" s="2218">
        <f t="array" ref="AI10">AI9/AH9-1</f>
        <v/>
      </c>
      <c r="AJ10" s="2224" t="n">
        <v>-0.100035083235068</v>
      </c>
      <c r="AK10" s="2224" t="n">
        <v>0</v>
      </c>
      <c r="AL10" s="2224" t="n">
        <v>0.09988127639177551</v>
      </c>
      <c r="AM10" s="2224" t="n">
        <v>0.105694808384779</v>
      </c>
      <c r="AN10" s="2224" t="n">
        <v>0.0947385762414374</v>
      </c>
      <c r="AO10" s="2218" t="n"/>
      <c r="AP10" s="701" t="n"/>
      <c r="AQ10" s="1021" t="inlineStr">
        <is>
          <t>Text_15</t>
        </is>
      </c>
      <c r="AR10" s="2221" t="n"/>
      <c r="AS10" s="2222" t="n"/>
      <c r="AT10" s="2218" t="n"/>
      <c r="AU10" s="2218" t="n"/>
      <c r="AV10" s="2218">
        <f t="array" ref="AV10">AV9/AU9-1</f>
        <v/>
      </c>
      <c r="AW10" s="2224" t="n">
        <v>-0.41410350549736</v>
      </c>
      <c r="AX10" s="2224" t="n">
        <v>-0.0493978070225066</v>
      </c>
      <c r="AY10" s="2224" t="n">
        <v>-0.0510344914301622</v>
      </c>
      <c r="AZ10" s="2224" t="n">
        <v>-0.0484015773199015</v>
      </c>
      <c r="BA10" s="2224" t="n">
        <v>-0.0477299484169424</v>
      </c>
      <c r="BB10" s="2218" t="n"/>
      <c r="BC10" s="2220" t="n"/>
    </row>
    <row r="11" ht="12.75" customHeight="1" s="1676">
      <c r="A11" s="967" t="n"/>
      <c r="B11" s="861" t="inlineStr">
        <is>
          <t>Text_497</t>
        </is>
      </c>
      <c r="C11" s="2221" t="n"/>
      <c r="D11" s="2222" t="n"/>
      <c r="E11" s="2218" t="n"/>
      <c r="F11" s="2218" t="n"/>
      <c r="G11" s="1026">
        <f t="array" ref="G11">G9/G14</f>
        <v/>
      </c>
      <c r="H11" s="1026">
        <f t="array" ref="H11">H9/H14</f>
        <v/>
      </c>
      <c r="I11" s="1026">
        <f t="array" ref="I11">I9/I14</f>
        <v/>
      </c>
      <c r="J11" s="1026">
        <f t="array" ref="J11">J9/J14</f>
        <v/>
      </c>
      <c r="K11" s="1026">
        <f t="array" ref="K11">K9/K14</f>
        <v/>
      </c>
      <c r="L11" s="1026">
        <f t="array" ref="L11">L9/L14</f>
        <v/>
      </c>
      <c r="M11" s="1026">
        <f t="array" ref="M11">M9/M14</f>
        <v/>
      </c>
      <c r="N11" s="2218" t="n"/>
      <c r="O11" s="2218" t="n"/>
      <c r="P11" s="2218" t="n"/>
      <c r="Q11" s="861" t="inlineStr">
        <is>
          <t>Text_497</t>
        </is>
      </c>
      <c r="R11" s="2221" t="n"/>
      <c r="S11" s="2222" t="n"/>
      <c r="T11" s="2218" t="n"/>
      <c r="U11" s="1026" t="n">
        <v>0.260824553528217</v>
      </c>
      <c r="V11" s="1026" t="n">
        <v>0.400718128543312</v>
      </c>
      <c r="W11" s="1026" t="n">
        <v>0.326554874840422</v>
      </c>
      <c r="X11" s="1026" t="n">
        <v>0.280865018317409</v>
      </c>
      <c r="Y11" s="1026" t="n">
        <v>0.262723020394784</v>
      </c>
      <c r="Z11" s="1026" t="n">
        <v>0.239633187691462</v>
      </c>
      <c r="AA11" s="1026" t="n">
        <v>0.225430606422985</v>
      </c>
      <c r="AB11" s="2218" t="n"/>
      <c r="AC11" s="701" t="n"/>
      <c r="AD11" s="861" t="inlineStr">
        <is>
          <t>Text_497</t>
        </is>
      </c>
      <c r="AE11" s="2221" t="n"/>
      <c r="AF11" s="2222" t="n"/>
      <c r="AG11" s="2218" t="n"/>
      <c r="AH11" s="1026" t="n">
        <v>0.259002150569257</v>
      </c>
      <c r="AI11" s="1026">
        <f t="array" ref="AI11">AI9/AI14</f>
        <v/>
      </c>
      <c r="AJ11" s="1026">
        <f t="array" ref="AJ11">AJ9/AJ14</f>
        <v/>
      </c>
      <c r="AK11" s="1026">
        <f t="array" ref="AK11">AK9/AK14</f>
        <v/>
      </c>
      <c r="AL11" s="1026">
        <f t="array" ref="AL11">AL9/AL14</f>
        <v/>
      </c>
      <c r="AM11" s="1026">
        <f t="array" ref="AM11">AM9/AM14</f>
        <v/>
      </c>
      <c r="AN11" s="1026">
        <f t="array" ref="AN11">AN9/AN14</f>
        <v/>
      </c>
      <c r="AO11" s="2218" t="n"/>
      <c r="AP11" s="701" t="n"/>
      <c r="AQ11" s="861" t="inlineStr">
        <is>
          <t>Text_497</t>
        </is>
      </c>
      <c r="AR11" s="2221" t="n"/>
      <c r="AS11" s="2222" t="n"/>
      <c r="AT11" s="2218" t="n"/>
      <c r="AU11" s="1026" t="n">
        <v>0.265513440077799</v>
      </c>
      <c r="AV11" s="1026">
        <f t="array" ref="AV11">AV9/AV14</f>
        <v/>
      </c>
      <c r="AW11" s="1027">
        <f t="array" ref="AW11">AW9/AW14</f>
        <v/>
      </c>
      <c r="AX11" s="1027">
        <f t="array" ref="AX11">AX9/AX14</f>
        <v/>
      </c>
      <c r="AY11" s="1027">
        <f t="array" ref="AY11">AY9/AY14</f>
        <v/>
      </c>
      <c r="AZ11" s="1027">
        <f t="array" ref="AZ11">AZ9/AZ14</f>
        <v/>
      </c>
      <c r="BA11" s="1027">
        <f t="array" ref="BA11">BA9/BA14</f>
        <v/>
      </c>
      <c r="BB11" s="2218" t="n"/>
      <c r="BC11" s="2220" t="n"/>
    </row>
    <row r="12" ht="12.75" customHeight="1" s="1676">
      <c r="A12" s="967" t="n"/>
      <c r="B12" s="1021" t="inlineStr">
        <is>
          <t>Text_498</t>
        </is>
      </c>
      <c r="C12" s="2221" t="n"/>
      <c r="D12" s="2222" t="n"/>
      <c r="E12" s="2218" t="n"/>
      <c r="F12" s="2218" t="n"/>
      <c r="G12" s="2223">
        <f t="array" ref="G12">G14-G9</f>
        <v/>
      </c>
      <c r="H12" s="2223">
        <f t="array" ref="H12">H14-H9</f>
        <v/>
      </c>
      <c r="I12" s="2223">
        <f t="array" ref="I12">I14-I9</f>
        <v/>
      </c>
      <c r="J12" s="2223">
        <f t="array" ref="J12">J14-J9</f>
        <v/>
      </c>
      <c r="K12" s="2223">
        <f t="array" ref="K12">K14-K9</f>
        <v/>
      </c>
      <c r="L12" s="2223">
        <f t="array" ref="L12">L14-L9</f>
        <v/>
      </c>
      <c r="M12" s="2223">
        <f t="array" ref="M12">M14-M9</f>
        <v/>
      </c>
      <c r="N12" s="2218">
        <f t="array" ref="N12">(M12/H12)^(1/5)-1</f>
        <v/>
      </c>
      <c r="O12" s="2218" t="n"/>
      <c r="P12" s="2218" t="n"/>
      <c r="Q12" s="1021" t="inlineStr">
        <is>
          <t>Text_498</t>
        </is>
      </c>
      <c r="R12" s="2221" t="n"/>
      <c r="S12" s="2222" t="n"/>
      <c r="T12" s="2218" t="n"/>
      <c r="U12" s="2223" t="n">
        <v>7048.24910262975</v>
      </c>
      <c r="V12" s="2223" t="n">
        <v>5078.20976093</v>
      </c>
      <c r="W12" s="2223" t="n">
        <v>8025.12061532244</v>
      </c>
      <c r="X12" s="2223" t="n">
        <v>9483.408935496171</v>
      </c>
      <c r="Y12" s="2223" t="n">
        <v>9791.833691125081</v>
      </c>
      <c r="Z12" s="2223" t="n">
        <v>11504.0771105322</v>
      </c>
      <c r="AA12" s="2223" t="n">
        <v>15871.9227399701</v>
      </c>
      <c r="AB12" s="2218">
        <f t="array" ref="AB12">(AA12/V12)^(1/5)-1</f>
        <v/>
      </c>
      <c r="AC12" s="701" t="n"/>
      <c r="AD12" s="1021" t="inlineStr">
        <is>
          <t>Text_498</t>
        </is>
      </c>
      <c r="AE12" s="2221" t="n"/>
      <c r="AF12" s="2222" t="n"/>
      <c r="AG12" s="2218" t="n"/>
      <c r="AH12" s="2223" t="n">
        <v>8511.37427339943</v>
      </c>
      <c r="AI12" s="2223">
        <f t="array" ref="AI12">AI14-AI9</f>
        <v/>
      </c>
      <c r="AJ12" s="2223">
        <f t="array" ref="AJ12">AI12*(1+AJ13)</f>
        <v/>
      </c>
      <c r="AK12" s="2223">
        <f t="array" ref="AK12">AJ12*(1+AK13)</f>
        <v/>
      </c>
      <c r="AL12" s="2223">
        <f t="array" ref="AL12">AK12*(1+AL13)</f>
        <v/>
      </c>
      <c r="AM12" s="2223">
        <f t="array" ref="AM12">AL12*(1+AM13)</f>
        <v/>
      </c>
      <c r="AN12" s="2223">
        <f t="array" ref="AN12">AM12*(1+AN13)</f>
        <v/>
      </c>
      <c r="AO12" s="2218">
        <f t="array" ref="AO12">(AN12/AI12)^(1/5)-1</f>
        <v/>
      </c>
      <c r="AP12" s="701" t="n"/>
      <c r="AQ12" s="1021" t="inlineStr">
        <is>
          <t>Text_498</t>
        </is>
      </c>
      <c r="AR12" s="2221" t="n"/>
      <c r="AS12" s="2222" t="n"/>
      <c r="AT12" s="2218" t="n"/>
      <c r="AU12" s="2223" t="n">
        <v>7042.11251316222</v>
      </c>
      <c r="AV12" s="2223">
        <f t="array" ref="AV12">AV14-AV9</f>
        <v/>
      </c>
      <c r="AW12" s="2223">
        <f t="array" ref="AW12">AV12*(1+AW13)</f>
        <v/>
      </c>
      <c r="AX12" s="2223">
        <f t="array" ref="AX12">AW12*(1+AX13)</f>
        <v/>
      </c>
      <c r="AY12" s="2223">
        <f t="array" ref="AY12">AX12*(1+AY13)</f>
        <v/>
      </c>
      <c r="AZ12" s="2223">
        <f t="array" ref="AZ12">AY12*(1+AZ13)</f>
        <v/>
      </c>
      <c r="BA12" s="2223">
        <f t="array" ref="BA12">AZ12*(1+BA13)</f>
        <v/>
      </c>
      <c r="BB12" s="2218">
        <f t="array" ref="BB12">(BA12/AV12)^(1/5)-1</f>
        <v/>
      </c>
      <c r="BC12" s="2220" t="n"/>
    </row>
    <row r="13" ht="12.75" customHeight="1" s="1676">
      <c r="A13" s="967" t="n"/>
      <c r="B13" s="1028" t="inlineStr">
        <is>
          <t>Text_15</t>
        </is>
      </c>
      <c r="C13" s="2225" t="n"/>
      <c r="D13" s="2226" t="n"/>
      <c r="E13" s="2227" t="n"/>
      <c r="F13" s="2227" t="n"/>
      <c r="G13" s="2227" t="n"/>
      <c r="H13" s="2227">
        <f t="array" ref="H13">H12/G12-1</f>
        <v/>
      </c>
      <c r="I13" s="2227">
        <f t="array" ref="I13">I12/H12-1</f>
        <v/>
      </c>
      <c r="J13" s="2227">
        <f t="array" ref="J13">J12/I12-1</f>
        <v/>
      </c>
      <c r="K13" s="2227">
        <f t="array" ref="K13">K12/J12-1</f>
        <v/>
      </c>
      <c r="L13" s="2227">
        <f t="array" ref="L13">L12/K12-1</f>
        <v/>
      </c>
      <c r="M13" s="2227">
        <f t="array" ref="M13">M12/L12-1</f>
        <v/>
      </c>
      <c r="N13" s="2218" t="n"/>
      <c r="O13" s="2218" t="n"/>
      <c r="P13" s="2218" t="n"/>
      <c r="Q13" s="1028" t="inlineStr">
        <is>
          <t>Text_15</t>
        </is>
      </c>
      <c r="R13" s="2225" t="n"/>
      <c r="S13" s="2226" t="n"/>
      <c r="T13" s="2227" t="n"/>
      <c r="U13" s="2227" t="n"/>
      <c r="V13" s="2227" t="n">
        <v>-0.274705724904724</v>
      </c>
      <c r="W13" s="2227" t="n">
        <v>0.438742568866135</v>
      </c>
      <c r="X13" s="2227" t="n">
        <v>0.16816222746332</v>
      </c>
      <c r="Y13" s="2227" t="n">
        <v>0.108644203844313</v>
      </c>
      <c r="Z13" s="2227" t="n">
        <v>0.17654269037215</v>
      </c>
      <c r="AA13" s="2227" t="n">
        <v>0.156813124248192</v>
      </c>
      <c r="AB13" s="2218" t="n"/>
      <c r="AC13" s="701" t="n"/>
      <c r="AD13" s="1028" t="inlineStr">
        <is>
          <t>Text_15</t>
        </is>
      </c>
      <c r="AE13" s="2225" t="n"/>
      <c r="AF13" s="2226" t="n"/>
      <c r="AG13" s="2227" t="n"/>
      <c r="AH13" s="2227" t="n"/>
      <c r="AI13" s="2227">
        <f t="array" ref="AI13">AI12/AH12-1</f>
        <v/>
      </c>
      <c r="AJ13" s="2228" t="n">
        <v>0.577596758430436</v>
      </c>
      <c r="AK13" s="2228" t="n">
        <v>0.189401812335562</v>
      </c>
      <c r="AL13" s="2228" t="n">
        <v>0.147854614865428</v>
      </c>
      <c r="AM13" s="2228" t="n">
        <v>0.151067423794995</v>
      </c>
      <c r="AN13" s="2228" t="n">
        <v>0.150062649451031</v>
      </c>
      <c r="AO13" s="2218" t="n"/>
      <c r="AP13" s="701" t="n"/>
      <c r="AQ13" s="1028" t="inlineStr">
        <is>
          <t>Text_15</t>
        </is>
      </c>
      <c r="AR13" s="2225" t="n"/>
      <c r="AS13" s="2226" t="n"/>
      <c r="AT13" s="2227" t="n"/>
      <c r="AU13" s="2227" t="n"/>
      <c r="AV13" s="2227">
        <f t="array" ref="AV13">AV12/AU12-1</f>
        <v/>
      </c>
      <c r="AW13" s="2228" t="n">
        <v>0.287754522717476</v>
      </c>
      <c r="AX13" s="2228" t="n">
        <v>0.0523921118077877</v>
      </c>
      <c r="AY13" s="2228" t="n">
        <v>0.0511796052199789</v>
      </c>
      <c r="AZ13" s="2228" t="n">
        <v>0.135857078497431</v>
      </c>
      <c r="BA13" s="2228" t="n">
        <v>0.136218580842058</v>
      </c>
      <c r="BB13" s="2218" t="n"/>
      <c r="BC13" s="2220" t="n"/>
    </row>
    <row r="14" ht="12.75" customHeight="1" s="1676">
      <c r="A14" s="967" t="n"/>
      <c r="B14" s="1005" t="inlineStr">
        <is>
          <t>Text_499</t>
        </is>
      </c>
      <c r="C14" s="2207" t="n"/>
      <c r="D14" s="2208">
        <f t="array" ref="D14">'Model'!AG212</f>
        <v/>
      </c>
      <c r="E14" s="2209">
        <f t="array" ref="E14">'Model'!AL212</f>
        <v/>
      </c>
      <c r="F14" s="2209">
        <f t="array" ref="F14">'Model'!AQ212</f>
        <v/>
      </c>
      <c r="G14" s="2209">
        <f t="array" ref="G14">'Model'!AV212</f>
        <v/>
      </c>
      <c r="H14" s="2209">
        <f t="array" ref="H14">'Model'!BA212</f>
        <v/>
      </c>
      <c r="I14" s="2209">
        <f t="array" ref="I14">'Model'!BF212</f>
        <v/>
      </c>
      <c r="J14" s="2209">
        <f t="array" ref="J14">'Model'!BK212</f>
        <v/>
      </c>
      <c r="K14" s="2209">
        <f t="array" ref="K14">'Model'!BP212</f>
        <v/>
      </c>
      <c r="L14" s="2209">
        <f t="array" ref="L14">'Model'!BU212</f>
        <v/>
      </c>
      <c r="M14" s="2209">
        <f t="array" ref="M14">'Model'!BZ212</f>
        <v/>
      </c>
      <c r="N14" s="2229">
        <f t="array" ref="N14">(M14/H14)^(1/5)-1</f>
        <v/>
      </c>
      <c r="O14" s="2211" t="n"/>
      <c r="P14" s="2212" t="n"/>
      <c r="Q14" s="1005" t="inlineStr">
        <is>
          <t>Text_499</t>
        </is>
      </c>
      <c r="R14" s="2207" t="n"/>
      <c r="S14" s="2208" t="n">
        <v>7606.05723554247</v>
      </c>
      <c r="T14" s="2209" t="n">
        <v>8987.88906842882</v>
      </c>
      <c r="U14" s="2209" t="n">
        <v>10960.1779725041</v>
      </c>
      <c r="V14" s="2209" t="n">
        <v>8480.889441157549</v>
      </c>
      <c r="W14" s="2209" t="n">
        <v>12942.7360034222</v>
      </c>
      <c r="X14" s="2209" t="n">
        <v>11240.0875992031</v>
      </c>
      <c r="Y14" s="2209" t="n">
        <v>14922.9147501913</v>
      </c>
      <c r="Z14" s="2209" t="n">
        <v>14152.0742392334</v>
      </c>
      <c r="AA14" s="2209" t="n">
        <v>15233.6565115933</v>
      </c>
      <c r="AB14" s="2229">
        <f t="array" ref="AB14">(AA14/V14)^(1/5)-1</f>
        <v/>
      </c>
      <c r="AC14" s="701" t="n"/>
      <c r="AD14" s="1005" t="inlineStr">
        <is>
          <t>Text_499</t>
        </is>
      </c>
      <c r="AE14" s="2207" t="n"/>
      <c r="AF14" s="2208" t="n">
        <v>5992.4109686499</v>
      </c>
      <c r="AG14" s="2209" t="n">
        <v>7376.8469266233</v>
      </c>
      <c r="AH14" s="2209" t="n">
        <v>11414.4173113637</v>
      </c>
      <c r="AI14" s="2209" t="n">
        <v>10724.3287420615</v>
      </c>
      <c r="AJ14" s="2209">
        <f t="array" ref="AJ14">AJ12+AJ9</f>
        <v/>
      </c>
      <c r="AK14" s="2209">
        <f t="array" ref="AK14">AK12+AK9</f>
        <v/>
      </c>
      <c r="AL14" s="2209">
        <f t="array" ref="AL14">AL12+AL9</f>
        <v/>
      </c>
      <c r="AM14" s="2209">
        <f t="array" ref="AM14">AM12+AM9</f>
        <v/>
      </c>
      <c r="AN14" s="2209">
        <f t="array" ref="AN14">AN12+AN9</f>
        <v/>
      </c>
      <c r="AO14" s="2229">
        <f t="array" ref="AO14">(AN14/AI14)^(1/5)-1</f>
        <v/>
      </c>
      <c r="AP14" s="701" t="n"/>
      <c r="AQ14" s="1005" t="inlineStr">
        <is>
          <t>Text_499</t>
        </is>
      </c>
      <c r="AR14" s="2207" t="n"/>
      <c r="AS14" s="2208" t="n">
        <v>6960.06195031151</v>
      </c>
      <c r="AT14" s="2209" t="n">
        <v>7964.08849754979</v>
      </c>
      <c r="AU14" s="2209" t="n">
        <v>8747.641202222039</v>
      </c>
      <c r="AV14" s="2209" t="n">
        <v>7924.82597536499</v>
      </c>
      <c r="AW14" s="2209">
        <f t="array" ref="AW14">AW12+AW9</f>
        <v/>
      </c>
      <c r="AX14" s="2209">
        <f t="array" ref="AX14">AX12+AX9</f>
        <v/>
      </c>
      <c r="AY14" s="2209">
        <f t="array" ref="AY14">AY12+AY9</f>
        <v/>
      </c>
      <c r="AZ14" s="2209">
        <f t="array" ref="AZ14">AZ12+AZ9</f>
        <v/>
      </c>
      <c r="BA14" s="2209">
        <f t="array" ref="BA14">BA12+BA9</f>
        <v/>
      </c>
      <c r="BB14" s="2229">
        <f t="array" ref="BB14">(BA14/AV14)^(1/5)-1</f>
        <v/>
      </c>
      <c r="BC14" s="2213" t="n"/>
    </row>
    <row r="15" ht="12.75" customHeight="1" s="1676">
      <c r="A15" s="967" t="n"/>
      <c r="B15" s="1013" t="inlineStr">
        <is>
          <t>Text_15</t>
        </is>
      </c>
      <c r="C15" s="2214" t="n"/>
      <c r="D15" s="2215" t="n"/>
      <c r="E15" s="2216">
        <f t="array" ref="E15">E14/D14-1</f>
        <v/>
      </c>
      <c r="F15" s="2216">
        <f t="array" ref="F15">F14/E14-1</f>
        <v/>
      </c>
      <c r="G15" s="2216">
        <f t="array" ref="G15">G14/F14-1</f>
        <v/>
      </c>
      <c r="H15" s="2216">
        <f t="array" ref="H15">H14/G14-1</f>
        <v/>
      </c>
      <c r="I15" s="2216">
        <f t="array" ref="I15">I14/H14-1</f>
        <v/>
      </c>
      <c r="J15" s="2216">
        <f t="array" ref="J15">J14/I14-1</f>
        <v/>
      </c>
      <c r="K15" s="2216">
        <f t="array" ref="K15">K14/J14-1</f>
        <v/>
      </c>
      <c r="L15" s="2216">
        <f t="array" ref="L15">L14/K14-1</f>
        <v/>
      </c>
      <c r="M15" s="2216">
        <f t="array" ref="M15">M14/L14-1</f>
        <v/>
      </c>
      <c r="N15" s="2218" t="n"/>
      <c r="O15" s="2218" t="n"/>
      <c r="P15" s="2218" t="n"/>
      <c r="Q15" s="1013" t="inlineStr">
        <is>
          <t>Text_15</t>
        </is>
      </c>
      <c r="R15" s="2214" t="n"/>
      <c r="S15" s="2215" t="n"/>
      <c r="T15" s="2216" t="n">
        <v>0.316669268612044</v>
      </c>
      <c r="U15" s="2216" t="n">
        <v>0.146668871426554</v>
      </c>
      <c r="V15" s="2216" t="n">
        <v>-0.0627257985834529</v>
      </c>
      <c r="W15" s="2217" t="n">
        <v>0.228598031424552</v>
      </c>
      <c r="X15" s="2217" t="n">
        <v>0.062021404775553</v>
      </c>
      <c r="Y15" s="2217" t="n">
        <v>0.0712556765735415</v>
      </c>
      <c r="Z15" s="2217" t="n">
        <v>0.146227923424954</v>
      </c>
      <c r="AA15" s="2217" t="n">
        <v>0.135299379192405</v>
      </c>
      <c r="AB15" s="2218" t="n"/>
      <c r="AC15" s="701" t="n"/>
      <c r="AD15" s="1013" t="inlineStr">
        <is>
          <t>Text_15</t>
        </is>
      </c>
      <c r="AE15" s="2214" t="n"/>
      <c r="AF15" s="2215" t="n">
        <v>0.185061185853696</v>
      </c>
      <c r="AG15" s="2216" t="n">
        <v>0.311895816839611</v>
      </c>
      <c r="AH15" s="2216" t="n">
        <v>0.137378570015069</v>
      </c>
      <c r="AI15" s="2216">
        <f t="array" ref="AI15">AI14/AH14-1</f>
        <v/>
      </c>
      <c r="AJ15" s="2217">
        <f t="array" ref="AJ15">AJ14/AI14-1</f>
        <v/>
      </c>
      <c r="AK15" s="2217">
        <f t="array" ref="AK15">AK14/AJ14-1</f>
        <v/>
      </c>
      <c r="AL15" s="2217">
        <f t="array" ref="AL15">AL14/AK14-1</f>
        <v/>
      </c>
      <c r="AM15" s="2217">
        <f t="array" ref="AM15">AM14/AL14-1</f>
        <v/>
      </c>
      <c r="AN15" s="2217">
        <f t="array" ref="AN15">AN14/AM14-1</f>
        <v/>
      </c>
      <c r="AO15" s="2218" t="n"/>
      <c r="AP15" s="701" t="n"/>
      <c r="AQ15" s="1013" t="inlineStr">
        <is>
          <t>Text_15</t>
        </is>
      </c>
      <c r="AR15" s="2214" t="n"/>
      <c r="AS15" s="2215" t="n">
        <v>0.184776418934501</v>
      </c>
      <c r="AT15" s="2216" t="n">
        <v>0.319047056094376</v>
      </c>
      <c r="AU15" s="2216" t="n">
        <v>0.147951522975979</v>
      </c>
      <c r="AV15" s="2216" t="n">
        <v>-0.0661654834401418</v>
      </c>
      <c r="AW15" s="2217">
        <f t="array" ref="AW15">AW14/AV14-1</f>
        <v/>
      </c>
      <c r="AX15" s="2217">
        <f t="array" ref="AX15">AX14/AW14-1</f>
        <v/>
      </c>
      <c r="AY15" s="2217">
        <f t="array" ref="AY15">AY14/AX14-1</f>
        <v/>
      </c>
      <c r="AZ15" s="2217">
        <f t="array" ref="AZ15">AZ14/AY14-1</f>
        <v/>
      </c>
      <c r="BA15" s="2217">
        <f t="array" ref="BA15">BA14/AZ14-1</f>
        <v/>
      </c>
      <c r="BB15" s="2218" t="n"/>
      <c r="BC15" s="2220" t="n"/>
    </row>
    <row r="16" ht="12.75" customHeight="1" s="1676">
      <c r="A16" s="967" t="n"/>
      <c r="B16" s="1021" t="inlineStr">
        <is>
          <t>Text_500</t>
        </is>
      </c>
      <c r="C16" s="2230" t="n"/>
      <c r="D16" s="2231">
        <f t="array" ref="D16">'Model'!AG217</f>
        <v/>
      </c>
      <c r="E16" s="2223">
        <f t="array" ref="E16">'Model'!AL217</f>
        <v/>
      </c>
      <c r="F16" s="2223">
        <f t="array" ref="F16">'Model'!AQ217</f>
        <v/>
      </c>
      <c r="G16" s="2223">
        <f t="array" ref="G16">'Model'!AV217</f>
        <v/>
      </c>
      <c r="H16" s="2223">
        <f t="array" ref="H16">'Model'!BA217</f>
        <v/>
      </c>
      <c r="I16" s="2223">
        <f t="array" ref="I16">'Model'!BF217</f>
        <v/>
      </c>
      <c r="J16" s="2223">
        <f t="array" ref="J16">'Model'!BK217</f>
        <v/>
      </c>
      <c r="K16" s="2223">
        <f t="array" ref="K16">'Model'!BP217</f>
        <v/>
      </c>
      <c r="L16" s="2223">
        <f t="array" ref="L16">'Model'!BU217</f>
        <v/>
      </c>
      <c r="M16" s="2223">
        <f t="array" ref="M16">'Model'!BZ217</f>
        <v/>
      </c>
      <c r="N16" s="2212" t="n"/>
      <c r="O16" s="2212" t="n"/>
      <c r="P16" s="2212" t="n"/>
      <c r="Q16" s="1021" t="inlineStr">
        <is>
          <t>Text_500</t>
        </is>
      </c>
      <c r="R16" s="2230" t="n"/>
      <c r="S16" s="2231" t="n">
        <v>4402.72581034761</v>
      </c>
      <c r="T16" s="2223" t="n">
        <v>5593.56201319117</v>
      </c>
      <c r="U16" s="2223" t="n">
        <v>6283.89759557379</v>
      </c>
      <c r="V16" s="2223" t="n">
        <v>6169.94546103581</v>
      </c>
      <c r="W16" s="2223" t="n">
        <v>8068.07107931204</v>
      </c>
      <c r="X16" s="2223" t="n">
        <v>8649.32391359346</v>
      </c>
      <c r="Y16" s="2223" t="n">
        <v>7495.83694335055</v>
      </c>
      <c r="Z16" s="2223" t="n">
        <v>9927.717513936541</v>
      </c>
      <c r="AA16" s="2223" t="n">
        <v>10898.540611512</v>
      </c>
      <c r="AB16" s="2212" t="n"/>
      <c r="AC16" s="701" t="n"/>
      <c r="AD16" s="1021" t="inlineStr">
        <is>
          <t>Text_500</t>
        </is>
      </c>
      <c r="AE16" s="2230" t="n"/>
      <c r="AF16" s="2231" t="n">
        <v>4942.80171880757</v>
      </c>
      <c r="AG16" s="2223" t="n">
        <v>6092.87052302694</v>
      </c>
      <c r="AH16" s="2223" t="n">
        <v>6551.81594518412</v>
      </c>
      <c r="AI16" s="2223" t="n">
        <v>5136.70111676596</v>
      </c>
      <c r="AJ16" s="2223" t="n">
        <v>1252.31680434752</v>
      </c>
      <c r="AK16" s="2223" t="n">
        <v>1139.95637911529</v>
      </c>
      <c r="AL16" s="2223" t="n">
        <v>1377.8939742606</v>
      </c>
      <c r="AM16" s="2223" t="n">
        <v>1264.16396724686</v>
      </c>
      <c r="AN16" s="2223" t="n">
        <v>1589.25857950118</v>
      </c>
      <c r="AO16" s="2212" t="n"/>
      <c r="AP16" s="701" t="n"/>
      <c r="AQ16" s="1021" t="inlineStr">
        <is>
          <t>Text_500</t>
        </is>
      </c>
      <c r="AR16" s="2230" t="n"/>
      <c r="AS16" s="2231" t="n">
        <v>3798.97728484491</v>
      </c>
      <c r="AT16" s="2223" t="n">
        <v>5538.18677543575</v>
      </c>
      <c r="AU16" s="2223" t="n">
        <v>7491.37126042977</v>
      </c>
      <c r="AV16" s="2223" t="n">
        <v>5352.62508590268</v>
      </c>
      <c r="AW16" s="2223" t="n">
        <v>1205.29657497377</v>
      </c>
      <c r="AX16" s="2223" t="n">
        <v>1302.59733394596</v>
      </c>
      <c r="AY16" s="2223" t="n">
        <v>1189.77970733898</v>
      </c>
      <c r="AZ16" s="2223" t="n">
        <v>1646.46318236885</v>
      </c>
      <c r="BA16" s="2223" t="n">
        <v>1219.8005587458</v>
      </c>
      <c r="BB16" s="2212" t="n"/>
      <c r="BC16" s="2232" t="n"/>
    </row>
    <row r="17" ht="12.75" customHeight="1" s="1676">
      <c r="A17" s="967" t="n"/>
      <c r="B17" s="1028" t="inlineStr">
        <is>
          <t>Text_501</t>
        </is>
      </c>
      <c r="C17" s="2225" t="n"/>
      <c r="D17" s="2226">
        <f t="array" ref="D17">D16/D14</f>
        <v/>
      </c>
      <c r="E17" s="2227">
        <f t="array" ref="E17">E16/E14</f>
        <v/>
      </c>
      <c r="F17" s="2227">
        <f t="array" ref="F17">F16/F14</f>
        <v/>
      </c>
      <c r="G17" s="2227">
        <f t="array" ref="G17">G16/G14</f>
        <v/>
      </c>
      <c r="H17" s="2227">
        <f t="array" ref="H17">H16/H14</f>
        <v/>
      </c>
      <c r="I17" s="2227">
        <f t="array" ref="I17">I16/I14</f>
        <v/>
      </c>
      <c r="J17" s="2227">
        <f t="array" ref="J17">J16/J14</f>
        <v/>
      </c>
      <c r="K17" s="2227">
        <f t="array" ref="K17">K16/K14</f>
        <v/>
      </c>
      <c r="L17" s="2227">
        <f t="array" ref="L17">L16/L14</f>
        <v/>
      </c>
      <c r="M17" s="2227">
        <f t="array" ref="M17">M16/M14</f>
        <v/>
      </c>
      <c r="N17" s="2211" t="n"/>
      <c r="O17" s="2211" t="n"/>
      <c r="P17" s="2211" t="n"/>
      <c r="Q17" s="1028" t="inlineStr">
        <is>
          <t>Text_501</t>
        </is>
      </c>
      <c r="R17" s="2225" t="n"/>
      <c r="S17" s="2226" t="n">
        <v>0.620056952128936</v>
      </c>
      <c r="T17" s="2227" t="n">
        <v>0.633465616875354</v>
      </c>
      <c r="U17" s="2227" t="n">
        <v>0.626756875841206</v>
      </c>
      <c r="V17" s="2227" t="n">
        <v>0.634112770716964</v>
      </c>
      <c r="W17" s="2227" t="n">
        <v>0.59776576278701</v>
      </c>
      <c r="X17" s="2227" t="n">
        <v>0.58005180511318</v>
      </c>
      <c r="Y17" s="2227" t="n">
        <v>0.641663069185735</v>
      </c>
      <c r="Z17" s="2227" t="n">
        <v>0.6285736208488339</v>
      </c>
      <c r="AA17" s="2227" t="n">
        <v>0.656248097773625</v>
      </c>
      <c r="AB17" s="2211" t="n"/>
      <c r="AC17" s="701" t="n"/>
      <c r="AD17" s="1028" t="inlineStr">
        <is>
          <t>Text_501</t>
        </is>
      </c>
      <c r="AE17" s="2225" t="n"/>
      <c r="AF17" s="2226" t="n">
        <v>0.648854797716419</v>
      </c>
      <c r="AG17" s="2227" t="n">
        <v>0.657147051549358</v>
      </c>
      <c r="AH17" s="2227" t="n">
        <v>0.614980634754187</v>
      </c>
      <c r="AI17" s="2227" t="n">
        <v>0.6049574901989661</v>
      </c>
      <c r="AJ17" s="2233" t="n">
        <v>0.644102144747553</v>
      </c>
      <c r="AK17" s="2233" t="n">
        <v>0.620941176085771</v>
      </c>
      <c r="AL17" s="2233" t="n">
        <v>0.601014663765754</v>
      </c>
      <c r="AM17" s="2233" t="n">
        <v>0.6598178176431641</v>
      </c>
      <c r="AN17" s="2233" t="n">
        <v>0.664762549607801</v>
      </c>
      <c r="AO17" s="2211" t="n"/>
      <c r="AP17" s="701" t="n"/>
      <c r="AQ17" s="1028" t="inlineStr">
        <is>
          <t>Text_501</t>
        </is>
      </c>
      <c r="AR17" s="2225" t="n"/>
      <c r="AS17" s="2226" t="n">
        <v>0.6193978206590131</v>
      </c>
      <c r="AT17" s="2227" t="n">
        <v>0.592832060528937</v>
      </c>
      <c r="AU17" s="2227" t="n">
        <v>0.606988980716922</v>
      </c>
      <c r="AV17" s="2227" t="n">
        <v>0.643720720812839</v>
      </c>
      <c r="AW17" s="2233" t="n">
        <v>0.653213319693155</v>
      </c>
      <c r="AX17" s="2233" t="n">
        <v>0.597408006111134</v>
      </c>
      <c r="AY17" s="2233" t="n">
        <v>0.587972204520503</v>
      </c>
      <c r="AZ17" s="2233" t="n">
        <v>0.667999318425665</v>
      </c>
      <c r="BA17" s="2233" t="n">
        <v>0.6187395068904979</v>
      </c>
      <c r="BB17" s="2211" t="n"/>
      <c r="BC17" s="2213" t="n"/>
    </row>
    <row r="18" hidden="1" ht="12.75" customHeight="1" s="1676">
      <c r="A18" s="967" t="n"/>
      <c r="B18" s="1038" t="inlineStr">
        <is>
          <t>Text_502</t>
        </is>
      </c>
      <c r="C18" s="2234" t="n"/>
      <c r="D18" s="2235">
        <f t="array" ref="D18">'Model'!AG230</f>
        <v/>
      </c>
      <c r="E18" s="2236">
        <f t="array" ref="E18">'Model'!AL230</f>
        <v/>
      </c>
      <c r="F18" s="2236">
        <f t="array" ref="F18">'Model'!AQ230</f>
        <v/>
      </c>
      <c r="G18" s="2236">
        <f t="array" ref="G18">'Model'!AV230</f>
        <v/>
      </c>
      <c r="H18" s="2236">
        <f t="array" ref="H18">'Model'!BA230</f>
        <v/>
      </c>
      <c r="I18" s="2236">
        <f t="array" ref="I18">'Model'!BF230</f>
        <v/>
      </c>
      <c r="J18" s="2236">
        <f t="array" ref="J18">'Model'!BK230</f>
        <v/>
      </c>
      <c r="K18" s="2236">
        <f t="array" ref="K18">'Model'!BP230</f>
        <v/>
      </c>
      <c r="L18" s="2236">
        <f t="array" ref="L18">'Model'!BU230</f>
        <v/>
      </c>
      <c r="M18" s="2236">
        <f t="array" ref="M18">'Model'!BZ230</f>
        <v/>
      </c>
      <c r="N18" s="2211" t="n"/>
      <c r="O18" s="2211" t="n"/>
      <c r="P18" s="2211" t="n"/>
      <c r="Q18" s="1038" t="inlineStr">
        <is>
          <t>Text_502</t>
        </is>
      </c>
      <c r="R18" s="2234" t="n"/>
      <c r="S18" s="2235" t="n">
        <v>3089.16172246293</v>
      </c>
      <c r="T18" s="2236" t="n">
        <v>5053.28638443864</v>
      </c>
      <c r="U18" s="2236" t="n">
        <v>3905.66184960104</v>
      </c>
      <c r="V18" s="2236" t="n">
        <v>4553.36120158709</v>
      </c>
      <c r="W18" s="2236" t="n">
        <v>4597.22096429085</v>
      </c>
      <c r="X18" s="2236" t="n">
        <v>5646.24786394983</v>
      </c>
      <c r="Y18" s="2236" t="n">
        <v>7213.03746312591</v>
      </c>
      <c r="Z18" s="2236" t="n">
        <v>7227.57058675036</v>
      </c>
      <c r="AA18" s="2236" t="n">
        <v>10193.8697632093</v>
      </c>
      <c r="AB18" s="2211" t="n"/>
      <c r="AC18" s="701" t="n"/>
      <c r="AD18" s="1038" t="inlineStr">
        <is>
          <t>Text_502</t>
        </is>
      </c>
      <c r="AE18" s="2234" t="n"/>
      <c r="AF18" s="2235" t="n">
        <v>3110.1854579187</v>
      </c>
      <c r="AG18" s="2236" t="n">
        <v>3951.89926529465</v>
      </c>
      <c r="AH18" s="2236" t="n">
        <v>4195.85411012264</v>
      </c>
      <c r="AI18" s="2236" t="n">
        <v>4041.345855836</v>
      </c>
      <c r="AJ18" s="2236" t="n">
        <v>1196.59203179541</v>
      </c>
      <c r="AK18" s="2236" t="n">
        <v>1175.31708130342</v>
      </c>
      <c r="AL18" s="2236" t="n">
        <v>1480.55726719017</v>
      </c>
      <c r="AM18" s="2236" t="n">
        <v>1540.69111985607</v>
      </c>
      <c r="AN18" s="2236" t="n">
        <v>1703.39909592628</v>
      </c>
      <c r="AO18" s="2211" t="n"/>
      <c r="AP18" s="701" t="n"/>
      <c r="AQ18" s="1038" t="inlineStr">
        <is>
          <t>Text_502</t>
        </is>
      </c>
      <c r="AR18" s="2234" t="n"/>
      <c r="AS18" s="2235" t="n">
        <v>3228.89018539381</v>
      </c>
      <c r="AT18" s="2236" t="n">
        <v>4611.81438384171</v>
      </c>
      <c r="AU18" s="2236" t="n">
        <v>3795.66596994406</v>
      </c>
      <c r="AV18" s="2236" t="n">
        <v>3812.92604092872</v>
      </c>
      <c r="AW18" s="2236" t="n">
        <v>1342.42594018814</v>
      </c>
      <c r="AX18" s="2236" t="n">
        <v>1411.25142915369</v>
      </c>
      <c r="AY18" s="2236" t="n">
        <v>1252.95989469896</v>
      </c>
      <c r="AZ18" s="2236" t="n">
        <v>1752.30424295335</v>
      </c>
      <c r="BA18" s="2236" t="n">
        <v>1732.50677917687</v>
      </c>
      <c r="BB18" s="2211" t="n"/>
      <c r="BC18" s="2213" t="n"/>
    </row>
    <row r="19" ht="12.75" customHeight="1" s="1676">
      <c r="A19" s="967" t="n"/>
      <c r="B19" s="1005" t="inlineStr">
        <is>
          <t>Text_503</t>
        </is>
      </c>
      <c r="C19" s="2207" t="n"/>
      <c r="D19" s="2208">
        <f t="array" ref="D19">'Model'!AG238</f>
        <v/>
      </c>
      <c r="E19" s="2209">
        <f t="array" ref="E19">'Model'!AL238</f>
        <v/>
      </c>
      <c r="F19" s="2209">
        <f t="array" ref="F19">'Model'!AQ238</f>
        <v/>
      </c>
      <c r="G19" s="2209">
        <f t="array" ref="G19">'Model'!AV238</f>
        <v/>
      </c>
      <c r="H19" s="2209">
        <f t="array" ref="H19">'Model'!BA238</f>
        <v/>
      </c>
      <c r="I19" s="2209">
        <f t="array" ref="I19">'Model'!BF238</f>
        <v/>
      </c>
      <c r="J19" s="2209">
        <f t="array" ref="J19">'Model'!BK238</f>
        <v/>
      </c>
      <c r="K19" s="2209">
        <f t="array" ref="K19">'Model'!BP238</f>
        <v/>
      </c>
      <c r="L19" s="2209">
        <f t="array" ref="L19">'Model'!BU238</f>
        <v/>
      </c>
      <c r="M19" s="2209">
        <f t="array" ref="M19">'Model'!BZ238</f>
        <v/>
      </c>
      <c r="N19" s="2211">
        <f t="array" ref="N19">(M19/H19)^(1/5)-1</f>
        <v/>
      </c>
      <c r="O19" s="2211" t="n"/>
      <c r="P19" s="2212" t="n"/>
      <c r="Q19" s="1005" t="inlineStr">
        <is>
          <t>Text_503</t>
        </is>
      </c>
      <c r="R19" s="2207" t="n"/>
      <c r="S19" s="2208" t="n">
        <v>2757.46292883093</v>
      </c>
      <c r="T19" s="2209" t="n">
        <v>3217.9264479707</v>
      </c>
      <c r="U19" s="2209" t="n">
        <v>4769.15213625445</v>
      </c>
      <c r="V19" s="2209" t="n">
        <v>4027.10208306119</v>
      </c>
      <c r="W19" s="2209" t="n">
        <v>5719.13036902219</v>
      </c>
      <c r="X19" s="2209" t="n">
        <v>6098.43879602651</v>
      </c>
      <c r="Y19" s="2209" t="n">
        <v>6760.52730171272</v>
      </c>
      <c r="Z19" s="2209" t="n">
        <v>7074.02375113375</v>
      </c>
      <c r="AA19" s="2209" t="n">
        <v>6935.63385007885</v>
      </c>
      <c r="AB19" s="2211">
        <f t="array" ref="AB19">(AA19/V19)^(1/5)-1</f>
        <v/>
      </c>
      <c r="AC19" s="701" t="n"/>
      <c r="AD19" s="1005" t="inlineStr">
        <is>
          <t>Text_503</t>
        </is>
      </c>
      <c r="AE19" s="2207" t="n"/>
      <c r="AF19" s="2208" t="n">
        <v>2890.26931553206</v>
      </c>
      <c r="AG19" s="2209" t="n">
        <v>4080.63951290543</v>
      </c>
      <c r="AH19" s="2209" t="n">
        <v>4727.32749026279</v>
      </c>
      <c r="AI19" s="2209" t="n">
        <v>3382.08242622377</v>
      </c>
      <c r="AJ19" s="2209">
        <f t="array" ref="AJ19">AJ20*AJ14</f>
        <v/>
      </c>
      <c r="AK19" s="2209">
        <f t="array" ref="AK19">AK20*AK14</f>
        <v/>
      </c>
      <c r="AL19" s="2209">
        <f t="array" ref="AL19">AL20*AL14</f>
        <v/>
      </c>
      <c r="AM19" s="2209">
        <f t="array" ref="AM19">AM20*AM14</f>
        <v/>
      </c>
      <c r="AN19" s="2209">
        <f t="array" ref="AN19">AN20*AN14</f>
        <v/>
      </c>
      <c r="AO19" s="2211">
        <f t="array" ref="AO19">(AN19/AI19)^(1/5)-1</f>
        <v/>
      </c>
      <c r="AP19" s="701" t="n"/>
      <c r="AQ19" s="1005" t="inlineStr">
        <is>
          <t>Text_503</t>
        </is>
      </c>
      <c r="AR19" s="2207" t="n"/>
      <c r="AS19" s="2208" t="n">
        <v>2375.02638157787</v>
      </c>
      <c r="AT19" s="2209" t="n">
        <v>4500.98732211099</v>
      </c>
      <c r="AU19" s="2209" t="n">
        <v>4740.64382709787</v>
      </c>
      <c r="AV19" s="2209" t="n">
        <v>4532.90684403857</v>
      </c>
      <c r="AW19" s="2209">
        <f t="array" ref="AW19">AW20*AW14</f>
        <v/>
      </c>
      <c r="AX19" s="2209">
        <f t="array" ref="AX19">AX20*AX14</f>
        <v/>
      </c>
      <c r="AY19" s="2209">
        <f t="array" ref="AY19">AY20*AY14</f>
        <v/>
      </c>
      <c r="AZ19" s="2209">
        <f t="array" ref="AZ19">AZ20*AZ14</f>
        <v/>
      </c>
      <c r="BA19" s="2209">
        <f t="array" ref="BA19">BA20*BA14</f>
        <v/>
      </c>
      <c r="BB19" s="2211">
        <f t="array" ref="BB19">(BA19/AV19)^(1/5)-1</f>
        <v/>
      </c>
      <c r="BC19" s="2213" t="n"/>
    </row>
    <row r="20" ht="12.75" customHeight="1" s="1676">
      <c r="A20" s="967" t="n"/>
      <c r="B20" s="1013" t="inlineStr">
        <is>
          <t>Text_504</t>
        </is>
      </c>
      <c r="C20" s="2214" t="n"/>
      <c r="D20" s="2215">
        <f t="array" ref="D20">D19/D14</f>
        <v/>
      </c>
      <c r="E20" s="2216">
        <f t="array" ref="E20">E19/E14</f>
        <v/>
      </c>
      <c r="F20" s="2216">
        <f t="array" ref="F20">F19/F14</f>
        <v/>
      </c>
      <c r="G20" s="2216">
        <f t="array" ref="G20">G19/G14</f>
        <v/>
      </c>
      <c r="H20" s="2216">
        <f t="array" ref="H20">H19/H14</f>
        <v/>
      </c>
      <c r="I20" s="2216">
        <f t="array" ref="I20">H20+0.2%</f>
        <v/>
      </c>
      <c r="J20" s="2216">
        <f t="array" ref="J20">I20+0.2%</f>
        <v/>
      </c>
      <c r="K20" s="2216">
        <f t="array" ref="K20">J20+0.2%</f>
        <v/>
      </c>
      <c r="L20" s="2216">
        <f t="array" ref="L20">K20+0.2%</f>
        <v/>
      </c>
      <c r="M20" s="2216">
        <f t="array" ref="M20">L20+0.2%</f>
        <v/>
      </c>
      <c r="N20" s="2218" t="n"/>
      <c r="O20" s="2218" t="n"/>
      <c r="P20" s="2218" t="n"/>
      <c r="Q20" s="1013" t="inlineStr">
        <is>
          <t>Text_504</t>
        </is>
      </c>
      <c r="R20" s="2214" t="n"/>
      <c r="S20" s="2215" t="n">
        <v>0.404464816275184</v>
      </c>
      <c r="T20" s="2216" t="n">
        <v>0.428084740891177</v>
      </c>
      <c r="U20" s="2216" t="n">
        <v>0.419041210047268</v>
      </c>
      <c r="V20" s="2216" t="n">
        <v>0.417639740321953</v>
      </c>
      <c r="W20" s="2217" t="n">
        <v>0.403232773318811</v>
      </c>
      <c r="X20" s="2217" t="n">
        <v>0.40811906139461</v>
      </c>
      <c r="Y20" s="2217" t="n">
        <v>0.384579359693587</v>
      </c>
      <c r="Z20" s="2217" t="n">
        <v>0.403631442777339</v>
      </c>
      <c r="AA20" s="2217" t="n">
        <v>0.418784134716728</v>
      </c>
      <c r="AB20" s="2218" t="n"/>
      <c r="AC20" s="701" t="n"/>
      <c r="AD20" s="1013" t="inlineStr">
        <is>
          <t>Text_504</t>
        </is>
      </c>
      <c r="AE20" s="2214" t="n"/>
      <c r="AF20" s="2215" t="n">
        <v>0.379037041686529</v>
      </c>
      <c r="AG20" s="2216" t="n">
        <v>0.405832840125195</v>
      </c>
      <c r="AH20" s="2216" t="n">
        <v>0.400410463352452</v>
      </c>
      <c r="AI20" s="2216" t="n">
        <v>0.38343336760434</v>
      </c>
      <c r="AJ20" s="2217" t="n">
        <v>0.39441522415799</v>
      </c>
      <c r="AK20" s="2217">
        <f t="array" ref="AK20">AJ20+1%</f>
        <v/>
      </c>
      <c r="AL20" s="2217">
        <f t="array" ref="AL20">AK20+1%</f>
        <v/>
      </c>
      <c r="AM20" s="2217">
        <f t="array" ref="AM20">AL20+1%</f>
        <v/>
      </c>
      <c r="AN20" s="2217">
        <f t="array" ref="AN20">AM20+1%</f>
        <v/>
      </c>
      <c r="AO20" s="2218" t="n"/>
      <c r="AP20" s="701" t="n"/>
      <c r="AQ20" s="1013" t="inlineStr">
        <is>
          <t>Text_504</t>
        </is>
      </c>
      <c r="AR20" s="2214" t="n"/>
      <c r="AS20" s="2215" t="n">
        <v>0.387060332506282</v>
      </c>
      <c r="AT20" s="2216" t="n">
        <v>0.445591127847008</v>
      </c>
      <c r="AU20" s="2216" t="n">
        <v>0.410989391789398</v>
      </c>
      <c r="AV20" s="2216" t="n">
        <v>0.380596323783212</v>
      </c>
      <c r="AW20" s="2237" t="n">
        <v>0.377438489033647</v>
      </c>
      <c r="AX20" s="2237" t="n">
        <v>0.413027046455735</v>
      </c>
      <c r="AY20" s="2237" t="n">
        <v>0.398671133279565</v>
      </c>
      <c r="AZ20" s="2237" t="n">
        <v>0.424986148097804</v>
      </c>
      <c r="BA20" s="2237" t="n">
        <v>0.418719922019029</v>
      </c>
      <c r="BB20" s="2218" t="n"/>
      <c r="BC20" s="2220" t="n"/>
    </row>
    <row r="21" ht="12.75" customHeight="1" s="1676">
      <c r="A21" s="967" t="n"/>
      <c r="B21" s="1021" t="inlineStr">
        <is>
          <t>Text_505</t>
        </is>
      </c>
      <c r="C21" s="2221" t="n"/>
      <c r="D21" s="2222" t="n"/>
      <c r="E21" s="2218" t="n"/>
      <c r="F21" s="2218">
        <f t="array" ref="F21">(F19-E19)/(F14-E14)</f>
        <v/>
      </c>
      <c r="G21" s="2218">
        <f t="array" ref="G21">(G19-F19)/(G14-F14)</f>
        <v/>
      </c>
      <c r="H21" s="2218">
        <f t="array" ref="H21">(H19-G19)/(H14-G14)</f>
        <v/>
      </c>
      <c r="I21" s="2218">
        <f t="array" ref="I21">(I19-H19)/(I14-H14)</f>
        <v/>
      </c>
      <c r="J21" s="2218">
        <f t="array" ref="J21">(J19-I19)/(J14-I14)</f>
        <v/>
      </c>
      <c r="K21" s="2218">
        <f t="array" ref="K21">(K19-J19)/(K14-J14)</f>
        <v/>
      </c>
      <c r="L21" s="2218">
        <f t="array" ref="L21">(L19-K19)/(L14-K14)</f>
        <v/>
      </c>
      <c r="M21" s="2218">
        <f t="array" ref="M21">(M19-L19)/(M14-L14)</f>
        <v/>
      </c>
      <c r="N21" s="2211" t="n"/>
      <c r="O21" s="2211" t="n"/>
      <c r="P21" s="2211" t="n"/>
      <c r="Q21" s="1021" t="inlineStr">
        <is>
          <t>Text_505</t>
        </is>
      </c>
      <c r="R21" s="2221" t="n"/>
      <c r="S21" s="2222" t="n"/>
      <c r="T21" s="2218" t="n">
        <v>0.538511550626143</v>
      </c>
      <c r="U21" s="2218" t="n">
        <v>0.314603314452148</v>
      </c>
      <c r="V21" s="2218" t="n">
        <v>0.621353930536427</v>
      </c>
      <c r="W21" s="2238" t="n">
        <v>0.526127829637187</v>
      </c>
      <c r="X21" s="2238" t="n">
        <v>0.535811309963957</v>
      </c>
      <c r="Y21" s="2238" t="n">
        <v>0.522051098235832</v>
      </c>
      <c r="Z21" s="2238" t="n">
        <v>0.480457860197725</v>
      </c>
      <c r="AA21" s="2238" t="n">
        <v>0.493530246235252</v>
      </c>
      <c r="AB21" s="2211" t="n"/>
      <c r="AC21" s="701" t="n"/>
      <c r="AD21" s="1021" t="inlineStr">
        <is>
          <t>Text_505</t>
        </is>
      </c>
      <c r="AE21" s="2221" t="n"/>
      <c r="AF21" s="2222" t="n"/>
      <c r="AG21" s="2218" t="n">
        <v>0.496700499892393</v>
      </c>
      <c r="AH21" s="2218" t="n">
        <v>0.332890196938371</v>
      </c>
      <c r="AI21" s="2218" t="n">
        <v>0.581389892427763</v>
      </c>
      <c r="AJ21" s="2238">
        <f t="array" ref="AJ21">(AJ19-AI19)/(AJ14-AI14)</f>
        <v/>
      </c>
      <c r="AK21" s="2238">
        <f t="array" ref="AK21">(AK19-AJ19)/(AK14-AJ14)</f>
        <v/>
      </c>
      <c r="AL21" s="2238">
        <f t="array" ref="AL21">(AL19-AK19)/(AL14-AK14)</f>
        <v/>
      </c>
      <c r="AM21" s="2238">
        <f t="array" ref="AM21">(AM19-AL19)/(AM14-AL14)</f>
        <v/>
      </c>
      <c r="AN21" s="2238">
        <f t="array" ref="AN21">(AN19-AM19)/(AN14-AM14)</f>
        <v/>
      </c>
      <c r="AO21" s="2211" t="n"/>
      <c r="AP21" s="701" t="n"/>
      <c r="AQ21" s="1021" t="inlineStr">
        <is>
          <t>Text_505</t>
        </is>
      </c>
      <c r="AR21" s="2221" t="n"/>
      <c r="AS21" s="2222" t="n"/>
      <c r="AT21" s="2218" t="n">
        <v>0.524632101911929</v>
      </c>
      <c r="AU21" s="2218" t="n">
        <v>0.31428702102122</v>
      </c>
      <c r="AV21" s="2218" t="n">
        <v>0.617089180321454</v>
      </c>
      <c r="AW21" s="2238">
        <f t="array" ref="AW21">(AW19-AV19)/(AW14-AV14)</f>
        <v/>
      </c>
      <c r="AX21" s="2238">
        <f t="array" ref="AX21">(AX19-AW19)/(AX14-AW14)</f>
        <v/>
      </c>
      <c r="AY21" s="2238">
        <f t="array" ref="AY21">(AY19-AX19)/(AY14-AX14)</f>
        <v/>
      </c>
      <c r="AZ21" s="2238">
        <f t="array" ref="AZ21">(AZ19-AY19)/(AZ14-AY14)</f>
        <v/>
      </c>
      <c r="BA21" s="2238">
        <f t="array" ref="BA21">(BA19-AZ19)/(BA14-AZ14)</f>
        <v/>
      </c>
      <c r="BB21" s="2211" t="n"/>
      <c r="BC21" s="2213" t="n"/>
    </row>
    <row r="22" ht="12.75" customHeight="1" s="1676">
      <c r="A22" s="967" t="n"/>
      <c r="B22" s="1021" t="inlineStr">
        <is>
          <t>Text_15</t>
        </is>
      </c>
      <c r="C22" s="2221" t="n"/>
      <c r="D22" s="2222" t="n"/>
      <c r="E22" s="2218" t="n"/>
      <c r="F22" s="2218">
        <f t="array" ref="F22">F19/E19-1</f>
        <v/>
      </c>
      <c r="G22" s="2218">
        <f t="array" ref="G22">G19/F19-1</f>
        <v/>
      </c>
      <c r="H22" s="2218">
        <f t="array" ref="H22">H19/G19-1</f>
        <v/>
      </c>
      <c r="I22" s="2218">
        <f t="array" ref="I22">I19/H19-1</f>
        <v/>
      </c>
      <c r="J22" s="2218">
        <f t="array" ref="J22">J19/I19-1</f>
        <v/>
      </c>
      <c r="K22" s="2218">
        <f t="array" ref="K22">K19/J19-1</f>
        <v/>
      </c>
      <c r="L22" s="2218">
        <f t="array" ref="L22">L19/K19-1</f>
        <v/>
      </c>
      <c r="M22" s="2218">
        <f t="array" ref="M22">M19/L19-1</f>
        <v/>
      </c>
      <c r="N22" s="2211" t="n"/>
      <c r="O22" s="2211" t="n"/>
      <c r="P22" s="2211" t="n"/>
      <c r="Q22" s="1021" t="inlineStr">
        <is>
          <t>Text_15</t>
        </is>
      </c>
      <c r="R22" s="2221" t="n"/>
      <c r="S22" s="2222" t="n"/>
      <c r="T22" s="2218" t="n">
        <v>0.45760295522268</v>
      </c>
      <c r="U22" s="2218" t="n">
        <v>0.110998499823353</v>
      </c>
      <c r="V22" s="2218" t="n">
        <v>-0.0991844484991489</v>
      </c>
      <c r="W22" s="2218" t="n">
        <v>0.305677200949312</v>
      </c>
      <c r="X22" s="2218" t="n">
        <v>0.0737480344143209</v>
      </c>
      <c r="Y22" s="2218" t="n">
        <v>0.090638056507228</v>
      </c>
      <c r="Z22" s="2218" t="n">
        <v>0.161909474635159</v>
      </c>
      <c r="AA22" s="2218" t="n">
        <v>0.152061490183978</v>
      </c>
      <c r="AB22" s="2211" t="n"/>
      <c r="AC22" s="701" t="n"/>
      <c r="AD22" s="1021" t="inlineStr">
        <is>
          <t>Text_15</t>
        </is>
      </c>
      <c r="AE22" s="2221" t="n"/>
      <c r="AF22" s="2222" t="n"/>
      <c r="AG22" s="2218" t="n">
        <v>0.411708178851738</v>
      </c>
      <c r="AH22" s="2218" t="n">
        <v>0.103599830295316</v>
      </c>
      <c r="AI22" s="2218" t="n">
        <v>-0.0898910809255377</v>
      </c>
      <c r="AJ22" s="2218">
        <f t="array" ref="AJ22">AJ19/AI19-1</f>
        <v/>
      </c>
      <c r="AK22" s="2218">
        <f t="array" ref="AK22">AK19/AJ19-1</f>
        <v/>
      </c>
      <c r="AL22" s="2218">
        <f t="array" ref="AL22">AL19/AK19-1</f>
        <v/>
      </c>
      <c r="AM22" s="2218">
        <f t="array" ref="AM22">AM19/AL19-1</f>
        <v/>
      </c>
      <c r="AN22" s="2218">
        <f t="array" ref="AN22">AN19/AM19-1</f>
        <v/>
      </c>
      <c r="AO22" s="2211" t="n"/>
      <c r="AP22" s="701" t="n"/>
      <c r="AQ22" s="1021" t="inlineStr">
        <is>
          <t>Text_15</t>
        </is>
      </c>
      <c r="AR22" s="2221" t="n"/>
      <c r="AS22" s="2222" t="n"/>
      <c r="AT22" s="2218" t="n">
        <v>0.461364875422291</v>
      </c>
      <c r="AU22" s="2218" t="n">
        <v>0.103368932386963</v>
      </c>
      <c r="AV22" s="2218" t="n">
        <v>-0.09658351736475281</v>
      </c>
      <c r="AW22" s="2218">
        <f t="array" ref="AW22">AW19/AV19-1</f>
        <v/>
      </c>
      <c r="AX22" s="2218">
        <f t="array" ref="AX22">AX19/AW19-1</f>
        <v/>
      </c>
      <c r="AY22" s="2218">
        <f t="array" ref="AY22">AY19/AX19-1</f>
        <v/>
      </c>
      <c r="AZ22" s="2218">
        <f t="array" ref="AZ22">AZ19/AY19-1</f>
        <v/>
      </c>
      <c r="BA22" s="2218">
        <f t="array" ref="BA22">BA19/AZ19-1</f>
        <v/>
      </c>
      <c r="BB22" s="2211" t="n"/>
      <c r="BC22" s="2213" t="n"/>
    </row>
    <row r="23" ht="12.75" customHeight="1" s="1676">
      <c r="A23" s="967" t="n"/>
      <c r="B23" s="1021" t="inlineStr">
        <is>
          <t>Text_506</t>
        </is>
      </c>
      <c r="C23" s="2221" t="n"/>
      <c r="D23" s="2222">
        <f t="array" ref="D23">'Model'!AG257</f>
        <v/>
      </c>
      <c r="E23" s="2218">
        <f t="array" ref="E23">'Model'!AL257</f>
        <v/>
      </c>
      <c r="F23" s="2218">
        <f t="array" ref="F23">'Model'!AQ257</f>
        <v/>
      </c>
      <c r="G23" s="2218">
        <f t="array" ref="G23">'Model'!AV257</f>
        <v/>
      </c>
      <c r="H23" s="2218">
        <f t="array" ref="H23">'Model'!BA257</f>
        <v/>
      </c>
      <c r="I23" s="2218">
        <f t="array" ref="I23">'Model'!BF257</f>
        <v/>
      </c>
      <c r="J23" s="2218">
        <f t="array" ref="J23">'Model'!BK257</f>
        <v/>
      </c>
      <c r="K23" s="2218">
        <f t="array" ref="K23">'Model'!BP257</f>
        <v/>
      </c>
      <c r="L23" s="2218">
        <f t="array" ref="L23">'Model'!BU257</f>
        <v/>
      </c>
      <c r="M23" s="2218">
        <f t="array" ref="M23">'Model'!BZ257</f>
        <v/>
      </c>
      <c r="N23" s="2211" t="n"/>
      <c r="O23" s="2211" t="n"/>
      <c r="P23" s="2239" t="n"/>
      <c r="Q23" s="1021" t="inlineStr">
        <is>
          <t>Text_506</t>
        </is>
      </c>
      <c r="R23" s="2221" t="n"/>
      <c r="S23" s="2222" t="n">
        <v>0.30671473979086</v>
      </c>
      <c r="T23" s="2218" t="n">
        <v>0.355746348197687</v>
      </c>
      <c r="U23" s="2218" t="n">
        <v>0.330969487833461</v>
      </c>
      <c r="V23" s="2218" t="n">
        <v>0.346974123340724</v>
      </c>
      <c r="W23" s="2218" t="n">
        <v>0.376284228782339</v>
      </c>
      <c r="X23" s="2218" t="n">
        <v>0.347427609771199</v>
      </c>
      <c r="Y23" s="2218" t="n">
        <v>0.380916967271967</v>
      </c>
      <c r="Z23" s="2218" t="n">
        <v>0.393853668472079</v>
      </c>
      <c r="AA23" s="2218" t="n">
        <v>0.393852259441327</v>
      </c>
      <c r="AB23" s="2211" t="n"/>
      <c r="AC23" s="701" t="n"/>
      <c r="AD23" s="1021" t="inlineStr">
        <is>
          <t>Text_506</t>
        </is>
      </c>
      <c r="AE23" s="2221" t="n"/>
      <c r="AF23" s="2222" t="n">
        <v>0.341830479179974</v>
      </c>
      <c r="AG23" s="2218" t="n">
        <v>0.33635838230566</v>
      </c>
      <c r="AH23" s="2218" t="n">
        <v>0.342434514309229</v>
      </c>
      <c r="AI23" s="2218" t="n">
        <v>0.310544421320163</v>
      </c>
      <c r="AJ23" s="2218">
        <f t="array" ref="AJ23">$W$23/$W$20*AJ20</f>
        <v/>
      </c>
      <c r="AK23" s="2218">
        <f t="array" ref="AK23">AJ23/AJ20*AK20</f>
        <v/>
      </c>
      <c r="AL23" s="2218">
        <f t="array" ref="AL23">AK23/AK20*AL20</f>
        <v/>
      </c>
      <c r="AM23" s="2218">
        <f t="array" ref="AM23">AL23/AL20*AM20</f>
        <v/>
      </c>
      <c r="AN23" s="2218">
        <f t="array" ref="AN23">AM23/AM20*AN20</f>
        <v/>
      </c>
      <c r="AO23" s="2211" t="n"/>
      <c r="AP23" s="701" t="n"/>
      <c r="AQ23" s="1021" t="inlineStr">
        <is>
          <t>Text_506</t>
        </is>
      </c>
      <c r="AR23" s="2221" t="n"/>
      <c r="AS23" s="2222" t="n">
        <v>0.309152195182948</v>
      </c>
      <c r="AT23" s="2218" t="n">
        <v>0.371153446928295</v>
      </c>
      <c r="AU23" s="2218" t="n">
        <v>0.331132730417698</v>
      </c>
      <c r="AV23" s="2218" t="n">
        <v>0.340465283632081</v>
      </c>
      <c r="AW23" s="2218">
        <f t="array" ref="AW23">$W$23/$W$20*AW20</f>
        <v/>
      </c>
      <c r="AX23" s="2218">
        <f t="array" ref="AX23">AW23/AW20*AX20</f>
        <v/>
      </c>
      <c r="AY23" s="2218">
        <f t="array" ref="AY23">AX23/AX20*AY20</f>
        <v/>
      </c>
      <c r="AZ23" s="2218">
        <f t="array" ref="AZ23">AY23/AY20*AZ20</f>
        <v/>
      </c>
      <c r="BA23" s="2218">
        <f t="array" ref="BA23">AZ23/AZ20*BA20</f>
        <v/>
      </c>
      <c r="BB23" s="2211" t="n"/>
      <c r="BC23" s="2213" t="n"/>
    </row>
    <row r="24" ht="12.75" customHeight="1" s="1676">
      <c r="A24" s="967" t="n"/>
      <c r="B24" s="1021" t="inlineStr">
        <is>
          <t>Text_507</t>
        </is>
      </c>
      <c r="C24" s="2230" t="n"/>
      <c r="D24" s="2231">
        <f t="array" ref="D24">'Model'!AG269</f>
        <v/>
      </c>
      <c r="E24" s="2223">
        <f t="array" ref="E24">'Model'!AL269</f>
        <v/>
      </c>
      <c r="F24" s="2223">
        <f t="array" ref="F24">'Model'!AQ269</f>
        <v/>
      </c>
      <c r="G24" s="2223">
        <f t="array" ref="G24">'Model'!AV269</f>
        <v/>
      </c>
      <c r="H24" s="2223">
        <f t="array" ref="H24">'Model'!BA269</f>
        <v/>
      </c>
      <c r="I24" s="2223">
        <f t="array" ref="I24">'Model'!BF269</f>
        <v/>
      </c>
      <c r="J24" s="2223">
        <f t="array" ref="J24">'Model'!BK269</f>
        <v/>
      </c>
      <c r="K24" s="2223">
        <f t="array" ref="K24">'Model'!BP269</f>
        <v/>
      </c>
      <c r="L24" s="2223">
        <f t="array" ref="L24">'Model'!BU269</f>
        <v/>
      </c>
      <c r="M24" s="2223">
        <f t="array" ref="M24">'Model'!BZ269</f>
        <v/>
      </c>
      <c r="N24" s="2211" t="n"/>
      <c r="O24" s="2211" t="n"/>
      <c r="P24" s="2211" t="n"/>
      <c r="Q24" s="1021" t="inlineStr">
        <is>
          <t>Text_507</t>
        </is>
      </c>
      <c r="R24" s="2230" t="n"/>
      <c r="S24" s="2231" t="n">
        <v>174.41851572132</v>
      </c>
      <c r="T24" s="2223" t="n">
        <v>173.20878552543</v>
      </c>
      <c r="U24" s="2223" t="n">
        <v>170.513490915467</v>
      </c>
      <c r="V24" s="2223" t="n">
        <v>122.105072735071</v>
      </c>
      <c r="W24" s="2223" t="n">
        <v>109.129254453938</v>
      </c>
      <c r="X24" s="2223" t="n">
        <v>126.888193618681</v>
      </c>
      <c r="Y24" s="2223" t="n">
        <v>110.062628176441</v>
      </c>
      <c r="Z24" s="2223" t="n">
        <v>102.434613124532</v>
      </c>
      <c r="AA24" s="2223" t="n">
        <v>117.03692754911</v>
      </c>
      <c r="AB24" s="2211" t="n"/>
      <c r="AC24" s="701" t="n"/>
      <c r="AD24" s="1021" t="inlineStr">
        <is>
          <t>Text_507</t>
        </is>
      </c>
      <c r="AE24" s="2230" t="n"/>
      <c r="AF24" s="2231" t="n">
        <v>172.99374337012</v>
      </c>
      <c r="AG24" s="2223" t="n">
        <v>155.521841083281</v>
      </c>
      <c r="AH24" s="2223" t="n">
        <v>129.707065413286</v>
      </c>
      <c r="AI24" s="2223" t="n">
        <v>144.594749880815</v>
      </c>
      <c r="AJ24" s="2223">
        <f t="array" ref="AJ24">AI24*(1+AJ25)</f>
        <v/>
      </c>
      <c r="AK24" s="2223">
        <f t="array" ref="AK24">AJ24*(1+AK25)</f>
        <v/>
      </c>
      <c r="AL24" s="2223">
        <f t="array" ref="AL24">AK24*(1+AL25)</f>
        <v/>
      </c>
      <c r="AM24" s="2223">
        <f t="array" ref="AM24">AL24*(1+AM25)</f>
        <v/>
      </c>
      <c r="AN24" s="2223">
        <f t="array" ref="AN24">AM24*(1+AN25)</f>
        <v/>
      </c>
      <c r="AO24" s="2211" t="n"/>
      <c r="AP24" s="701" t="n"/>
      <c r="AQ24" s="1021" t="inlineStr">
        <is>
          <t>Text_507</t>
        </is>
      </c>
      <c r="AR24" s="2230" t="n"/>
      <c r="AS24" s="2231" t="n">
        <v>138.707430604383</v>
      </c>
      <c r="AT24" s="2223" t="n">
        <v>122.080378910331</v>
      </c>
      <c r="AU24" s="2223" t="n">
        <v>155.032678100837</v>
      </c>
      <c r="AV24" s="2223" t="n">
        <v>142.92787979935</v>
      </c>
      <c r="AW24" s="2223">
        <f t="array" ref="AW24">AV24*(1+AW25)</f>
        <v/>
      </c>
      <c r="AX24" s="2223">
        <f t="array" ref="AX24">AW24*(1+AX25)</f>
        <v/>
      </c>
      <c r="AY24" s="2223">
        <f t="array" ref="AY24">AX24*(1+AY25)</f>
        <v/>
      </c>
      <c r="AZ24" s="2223">
        <f t="array" ref="AZ24">AY24*(1+AZ25)</f>
        <v/>
      </c>
      <c r="BA24" s="2223">
        <f t="array" ref="BA24">AZ24*(1+BA25)</f>
        <v/>
      </c>
      <c r="BB24" s="2211" t="n"/>
      <c r="BC24" s="2213" t="n"/>
    </row>
    <row r="25" ht="12.75" customHeight="1" s="1676">
      <c r="A25" s="967" t="n"/>
      <c r="B25" s="1028" t="inlineStr">
        <is>
          <t>Text_15</t>
        </is>
      </c>
      <c r="C25" s="2225" t="n"/>
      <c r="D25" s="2226" t="n"/>
      <c r="E25" s="2227" t="n"/>
      <c r="F25" s="2227">
        <f t="array" ref="F25">F24/E24-1</f>
        <v/>
      </c>
      <c r="G25" s="2227">
        <f t="array" ref="G25">G24/F24-1</f>
        <v/>
      </c>
      <c r="H25" s="2227">
        <f t="array" ref="H25">H24/G24-1</f>
        <v/>
      </c>
      <c r="I25" s="2227">
        <f t="array" ref="I25">I24/H24-1</f>
        <v/>
      </c>
      <c r="J25" s="2227">
        <f t="array" ref="J25">J24/I24-1</f>
        <v/>
      </c>
      <c r="K25" s="2227">
        <f t="array" ref="K25">K24/J24-1</f>
        <v/>
      </c>
      <c r="L25" s="2227">
        <f t="array" ref="L25">L24/K24-1</f>
        <v/>
      </c>
      <c r="M25" s="2227">
        <f t="array" ref="M25">M24/L24-1</f>
        <v/>
      </c>
      <c r="N25" s="2211" t="n"/>
      <c r="O25" s="2211" t="n"/>
      <c r="P25" s="2211" t="n"/>
      <c r="Q25" s="1028" t="inlineStr">
        <is>
          <t>Text_15</t>
        </is>
      </c>
      <c r="R25" s="2225" t="n"/>
      <c r="S25" s="2226" t="n"/>
      <c r="T25" s="2227" t="n">
        <v>-0.0256476765763425</v>
      </c>
      <c r="U25" s="2227" t="n">
        <v>-0.0576330249352739</v>
      </c>
      <c r="V25" s="2227" t="n">
        <v>-0.0442354784781249</v>
      </c>
      <c r="W25" s="2227" t="n">
        <v>-0.018449471989017</v>
      </c>
      <c r="X25" s="2227" t="n">
        <v>-0.0162310461042346</v>
      </c>
      <c r="Y25" s="2227" t="n">
        <v>-0.0184304764865298</v>
      </c>
      <c r="Z25" s="2227" t="n">
        <v>-0.0207252081354676</v>
      </c>
      <c r="AA25" s="2227" t="n">
        <v>-0.0212991458565459</v>
      </c>
      <c r="AB25" s="2211" t="n"/>
      <c r="AC25" s="701" t="n"/>
      <c r="AD25" s="1028" t="inlineStr">
        <is>
          <t>Text_15</t>
        </is>
      </c>
      <c r="AE25" s="2225" t="n"/>
      <c r="AF25" s="2226" t="n"/>
      <c r="AG25" s="2227" t="n">
        <v>-0.0250484647262993</v>
      </c>
      <c r="AH25" s="2227" t="n">
        <v>-0.0794896187440484</v>
      </c>
      <c r="AI25" s="2227" t="n">
        <v>-0.0296533508993755</v>
      </c>
      <c r="AJ25" s="2233" t="n">
        <v>-0.0198461168145364</v>
      </c>
      <c r="AK25" s="2233" t="n">
        <v>-0.0205530586667545</v>
      </c>
      <c r="AL25" s="2233" t="n">
        <v>-0.0197046145911781</v>
      </c>
      <c r="AM25" s="2233" t="n">
        <v>-0.0192770012332893</v>
      </c>
      <c r="AN25" s="2233" t="n">
        <v>-0.0202582716717007</v>
      </c>
      <c r="AO25" s="2211" t="n"/>
      <c r="AP25" s="701" t="n"/>
      <c r="AQ25" s="1028" t="inlineStr">
        <is>
          <t>Text_15</t>
        </is>
      </c>
      <c r="AR25" s="2225" t="n"/>
      <c r="AS25" s="2226" t="n"/>
      <c r="AT25" s="2227" t="n">
        <v>-0.0261957643404618</v>
      </c>
      <c r="AU25" s="2227" t="n">
        <v>-0.0788774351998687</v>
      </c>
      <c r="AV25" s="2227" t="n">
        <v>-0.0280675089622096</v>
      </c>
      <c r="AW25" s="2233">
        <f t="array" ref="AW25">AJ25</f>
        <v/>
      </c>
      <c r="AX25" s="2233">
        <f t="array" ref="AX25">AW25</f>
        <v/>
      </c>
      <c r="AY25" s="2233">
        <f t="array" ref="AY25">AX25</f>
        <v/>
      </c>
      <c r="AZ25" s="2233">
        <f t="array" ref="AZ25">AY25</f>
        <v/>
      </c>
      <c r="BA25" s="2233">
        <f t="array" ref="BA25">AZ25</f>
        <v/>
      </c>
      <c r="BB25" s="2211" t="n"/>
      <c r="BC25" s="2213" t="n"/>
    </row>
    <row r="26" ht="12.75" customHeight="1" s="1676">
      <c r="A26" s="967" t="n"/>
      <c r="B26" s="1005" t="inlineStr">
        <is>
          <t>Text_508</t>
        </is>
      </c>
      <c r="C26" s="2240" t="n"/>
      <c r="D26" s="2241">
        <f t="array" ref="D26">'Model'!AG274</f>
        <v/>
      </c>
      <c r="E26" s="2242">
        <f t="array" ref="E26">'Model'!AL274</f>
        <v/>
      </c>
      <c r="F26" s="2243">
        <f t="array" ref="F26">'Model'!AQ274</f>
        <v/>
      </c>
      <c r="G26" s="2243">
        <f t="array" ref="G26">'Model'!AV274</f>
        <v/>
      </c>
      <c r="H26" s="2243">
        <f t="array" ref="H26">(H23*H14)/H24</f>
        <v/>
      </c>
      <c r="I26" s="2243">
        <f t="array" ref="I26">'Model'!BF274</f>
        <v/>
      </c>
      <c r="J26" s="2243">
        <f t="array" ref="J26">'Model'!BK274</f>
        <v/>
      </c>
      <c r="K26" s="2243">
        <f t="array" ref="K26">'Model'!BP274</f>
        <v/>
      </c>
      <c r="L26" s="2243">
        <f t="array" ref="L26">'Model'!BU274</f>
        <v/>
      </c>
      <c r="M26" s="2243">
        <f t="array" ref="M26">'Model'!BZ274</f>
        <v/>
      </c>
      <c r="N26" s="2229">
        <f t="array" ref="N26">(M26/H26)^(1/5)-1</f>
        <v/>
      </c>
      <c r="O26" s="2211" t="n"/>
      <c r="P26" s="2244" t="n"/>
      <c r="Q26" s="1005" t="inlineStr">
        <is>
          <t>Text_508</t>
        </is>
      </c>
      <c r="R26" s="2240" t="n"/>
      <c r="S26" s="2241" t="n">
        <v>14.7147367035101</v>
      </c>
      <c r="T26" s="2243" t="n">
        <v>18.7181432265897</v>
      </c>
      <c r="U26" s="2243" t="n">
        <v>29.9786487241387</v>
      </c>
      <c r="V26" s="2243" t="n">
        <v>28.3141385294939</v>
      </c>
      <c r="W26" s="2245" t="n">
        <v>34.3174644333984</v>
      </c>
      <c r="X26" s="2245" t="n">
        <v>39.1088769138655</v>
      </c>
      <c r="Y26" s="2245" t="n">
        <v>42.0995914354966</v>
      </c>
      <c r="Z26" s="2245" t="n">
        <v>48.0201156116162</v>
      </c>
      <c r="AA26" s="2245" t="n">
        <v>44.9829142162973</v>
      </c>
      <c r="AB26" s="2229">
        <f t="array" ref="AB26">(AA26/V26)^(1/5)-1</f>
        <v/>
      </c>
      <c r="AC26" s="701" t="n"/>
      <c r="AD26" s="1005" t="inlineStr">
        <is>
          <t>Text_508</t>
        </is>
      </c>
      <c r="AE26" s="2240" t="n"/>
      <c r="AF26" s="2241" t="n">
        <v>14.290276925173</v>
      </c>
      <c r="AG26" s="2243" t="n">
        <v>22.638008876988</v>
      </c>
      <c r="AH26" s="2243" t="n">
        <v>27.1775063775627</v>
      </c>
      <c r="AI26" s="2243" t="n">
        <v>22.539505193051</v>
      </c>
      <c r="AJ26" s="2245">
        <f t="array" ref="AJ26">(AJ23*AJ14)/AJ24</f>
        <v/>
      </c>
      <c r="AK26" s="2245">
        <f t="array" ref="AK26">(AK23*AK14)/AK24</f>
        <v/>
      </c>
      <c r="AL26" s="2245">
        <f t="array" ref="AL26">(AL23*AL14)/AL24</f>
        <v/>
      </c>
      <c r="AM26" s="2245">
        <f t="array" ref="AM26">(AM23*AM14)/AM24</f>
        <v/>
      </c>
      <c r="AN26" s="2245">
        <f t="array" ref="AN26">(AN23*AN14)/AN24</f>
        <v/>
      </c>
      <c r="AO26" s="2229">
        <f t="array" ref="AO26">(AN26/AI26)^(1/5)-1</f>
        <v/>
      </c>
      <c r="AP26" s="701" t="n"/>
      <c r="AQ26" s="1005" t="inlineStr">
        <is>
          <t>Text_508</t>
        </is>
      </c>
      <c r="AR26" s="2240" t="n"/>
      <c r="AS26" s="2241" t="n">
        <v>17.1248996855606</v>
      </c>
      <c r="AT26" s="2243" t="n">
        <v>18.3433897861751</v>
      </c>
      <c r="AU26" s="2243" t="n">
        <v>25.3791717876891</v>
      </c>
      <c r="AV26" s="2243" t="n">
        <v>25.5575472133357</v>
      </c>
      <c r="AW26" s="2245">
        <f t="array" ref="AW26">(AW23*AW14)/AW24</f>
        <v/>
      </c>
      <c r="AX26" s="2245">
        <f t="array" ref="AX26">(AX23*AX14)/AX24</f>
        <v/>
      </c>
      <c r="AY26" s="2245">
        <f t="array" ref="AY26">(AY23*AY14)/AY24</f>
        <v/>
      </c>
      <c r="AZ26" s="2245">
        <f t="array" ref="AZ26">(AZ23*AZ14)/AZ24</f>
        <v/>
      </c>
      <c r="BA26" s="2245">
        <f t="array" ref="BA26">(BA23*BA14)/BA24</f>
        <v/>
      </c>
      <c r="BB26" s="2229">
        <f t="array" ref="BB26">(BA26/AV26)^(1/5)-1</f>
        <v/>
      </c>
      <c r="BC26" s="2213" t="n"/>
    </row>
    <row r="27" ht="12.75" customHeight="1" s="1676">
      <c r="A27" s="967" t="n"/>
      <c r="B27" s="1013" t="inlineStr">
        <is>
          <t>Text_15</t>
        </is>
      </c>
      <c r="C27" s="2214" t="n"/>
      <c r="D27" s="2215" t="n"/>
      <c r="E27" s="2216" t="n"/>
      <c r="F27" s="2216">
        <f t="array" ref="F27">F26/E26-1</f>
        <v/>
      </c>
      <c r="G27" s="2216">
        <f t="array" ref="G27">G26/F26-1</f>
        <v/>
      </c>
      <c r="H27" s="2216">
        <f t="array" ref="H27">H26/G26-1</f>
        <v/>
      </c>
      <c r="I27" s="2216">
        <f t="array" ref="I27">I26/H26-1</f>
        <v/>
      </c>
      <c r="J27" s="2216">
        <f t="array" ref="J27">J26/I26-1</f>
        <v/>
      </c>
      <c r="K27" s="2216">
        <f t="array" ref="K27">K26/J26-1</f>
        <v/>
      </c>
      <c r="L27" s="2216">
        <f t="array" ref="L27">L26/K26-1</f>
        <v/>
      </c>
      <c r="M27" s="2216">
        <f t="array" ref="M27">M26/L26-1</f>
        <v/>
      </c>
      <c r="N27" s="2218" t="n"/>
      <c r="O27" s="2218" t="n"/>
      <c r="P27" s="2246" t="n"/>
      <c r="Q27" s="1013" t="inlineStr">
        <is>
          <t>Text_15</t>
        </is>
      </c>
      <c r="R27" s="2214" t="n"/>
      <c r="S27" s="2215" t="n"/>
      <c r="T27" s="2216" t="n">
        <v>0.465774864431853</v>
      </c>
      <c r="U27" s="2216" t="n">
        <v>0.186043122585599</v>
      </c>
      <c r="V27" s="2216" t="n">
        <v>-0.0493993250007713</v>
      </c>
      <c r="W27" s="2216" t="n">
        <v>0.347048579378786</v>
      </c>
      <c r="X27" s="2216" t="n">
        <v>0.0780616715383364</v>
      </c>
      <c r="Y27" s="2216" t="n">
        <v>0.113363653332885</v>
      </c>
      <c r="Z27" s="2216" t="n">
        <v>0.185963510295185</v>
      </c>
      <c r="AA27" s="2216" t="n">
        <v>0.188022461852162</v>
      </c>
      <c r="AB27" s="2218" t="n"/>
      <c r="AC27" s="701" t="n"/>
      <c r="AD27" s="1013" t="inlineStr">
        <is>
          <t>Text_15</t>
        </is>
      </c>
      <c r="AE27" s="2214" t="n"/>
      <c r="AF27" s="2215" t="n"/>
      <c r="AG27" s="2216" t="n">
        <v>0.451132968331922</v>
      </c>
      <c r="AH27" s="2216" t="n">
        <v>0.203752396147398</v>
      </c>
      <c r="AI27" s="2216" t="n">
        <v>-0.06716405790544749</v>
      </c>
      <c r="AJ27" s="2216">
        <f t="array" ref="AJ27">AJ26/AI26-1</f>
        <v/>
      </c>
      <c r="AK27" s="2216">
        <f t="array" ref="AK27">AK26/AJ26-1</f>
        <v/>
      </c>
      <c r="AL27" s="2216">
        <f t="array" ref="AL27">AL26/AK26-1</f>
        <v/>
      </c>
      <c r="AM27" s="2216">
        <f t="array" ref="AM27">AM26/AL26-1</f>
        <v/>
      </c>
      <c r="AN27" s="2216">
        <f t="array" ref="AN27">AN26/AM26-1</f>
        <v/>
      </c>
      <c r="AO27" s="2218" t="n"/>
      <c r="AP27" s="701" t="n"/>
      <c r="AQ27" s="1013" t="inlineStr">
        <is>
          <t>Text_15</t>
        </is>
      </c>
      <c r="AR27" s="2214" t="n"/>
      <c r="AS27" s="2215" t="n"/>
      <c r="AT27" s="2216" t="n">
        <v>0.433859992996018</v>
      </c>
      <c r="AU27" s="2216" t="n">
        <v>0.186516984805996</v>
      </c>
      <c r="AV27" s="2216" t="n">
        <v>-0.0666647473886634</v>
      </c>
      <c r="AW27" s="2216">
        <f t="array" ref="AW27">AW26/AV26-1</f>
        <v/>
      </c>
      <c r="AX27" s="2216">
        <f t="array" ref="AX27">AX26/AW26-1</f>
        <v/>
      </c>
      <c r="AY27" s="2216">
        <f t="array" ref="AY27">AY26/AX26-1</f>
        <v/>
      </c>
      <c r="AZ27" s="2216">
        <f t="array" ref="AZ27">AZ26/AY26-1</f>
        <v/>
      </c>
      <c r="BA27" s="2216">
        <f t="array" ref="BA27">BA26/AZ26-1</f>
        <v/>
      </c>
      <c r="BB27" s="2218" t="n"/>
      <c r="BC27" s="2220" t="n"/>
    </row>
    <row r="28" ht="15" customHeight="1" s="1676">
      <c r="A28" s="967" t="n"/>
      <c r="B28" s="998" t="n"/>
      <c r="C28" s="2225" t="n"/>
      <c r="D28" s="2226" t="n"/>
      <c r="E28" s="2227" t="n"/>
      <c r="F28" s="2227" t="n"/>
      <c r="G28" s="2204" t="n"/>
      <c r="H28" s="2204" t="n"/>
      <c r="I28" s="2204" t="n"/>
      <c r="J28" s="2204" t="n"/>
      <c r="K28" s="2204" t="n"/>
      <c r="L28" s="2204" t="n"/>
      <c r="M28" s="2204" t="n"/>
      <c r="N28" s="2218" t="n"/>
      <c r="O28" s="2218" t="n"/>
      <c r="P28" s="2246" t="n"/>
      <c r="Q28" s="1052" t="n"/>
      <c r="R28" s="2225" t="n"/>
      <c r="S28" s="2226" t="n"/>
      <c r="T28" s="2227" t="n"/>
      <c r="U28" s="2227" t="n"/>
      <c r="V28" s="1053" t="n"/>
      <c r="W28" s="1053" t="n"/>
      <c r="X28" s="1053" t="n"/>
      <c r="Y28" s="1053" t="n"/>
      <c r="Z28" s="1053" t="n"/>
      <c r="AA28" s="1053" t="n"/>
      <c r="AB28" s="2218" t="n"/>
      <c r="AC28" s="701" t="n"/>
      <c r="AD28" s="1003" t="inlineStr">
        <is>
          <t>Text_509</t>
        </is>
      </c>
      <c r="AE28" s="2225" t="n"/>
      <c r="AF28" s="2226" t="n"/>
      <c r="AG28" s="2206" t="n"/>
      <c r="AH28" s="2206" t="n"/>
      <c r="AI28" s="2206">
        <f t="array" ref="AI28">AI26/$V$26-1</f>
        <v/>
      </c>
      <c r="AJ28" s="2206">
        <f t="array" ref="AJ28">AJ26/$W$26-1</f>
        <v/>
      </c>
      <c r="AK28" s="2206">
        <f t="array" ref="AK28">AK26/$X$26-1</f>
        <v/>
      </c>
      <c r="AL28" s="2206">
        <f t="array" ref="AL28">AL26/$Y$26-1</f>
        <v/>
      </c>
      <c r="AM28" s="2206">
        <f t="array" ref="AM28">AM26/$Z$26-1</f>
        <v/>
      </c>
      <c r="AN28" s="2206">
        <f t="array" ref="AN28">AN26/$AA$26-1</f>
        <v/>
      </c>
      <c r="AO28" s="2218" t="n"/>
      <c r="AP28" s="701" t="n"/>
      <c r="AQ28" s="1003" t="inlineStr">
        <is>
          <t>Text_509</t>
        </is>
      </c>
      <c r="AR28" s="2225" t="n"/>
      <c r="AS28" s="2226" t="n"/>
      <c r="AT28" s="2206" t="n"/>
      <c r="AU28" s="2206" t="n"/>
      <c r="AV28" s="2206">
        <f t="array" ref="AV28">AV26/$V$26-1</f>
        <v/>
      </c>
      <c r="AW28" s="2206">
        <f t="array" ref="AW28">AW26/$W$26-1</f>
        <v/>
      </c>
      <c r="AX28" s="2206">
        <f t="array" ref="AX28">AX26/$X$26-1</f>
        <v/>
      </c>
      <c r="AY28" s="2206">
        <f t="array" ref="AY28">AY26/$Y$26-1</f>
        <v/>
      </c>
      <c r="AZ28" s="2206">
        <f t="array" ref="AZ28">AZ26/$Z$26-1</f>
        <v/>
      </c>
      <c r="BA28" s="2206">
        <f t="array" ref="BA28">BA26/$AA$26-1</f>
        <v/>
      </c>
      <c r="BB28" s="2218" t="n"/>
      <c r="BC28" s="2220" t="n"/>
    </row>
    <row r="29" ht="12.75" customHeight="1" s="1676">
      <c r="A29" s="967" t="n"/>
      <c r="B29" s="1005" t="inlineStr">
        <is>
          <t>Text_276</t>
        </is>
      </c>
      <c r="C29" s="2240" t="n"/>
      <c r="D29" s="2241">
        <f t="array" ref="D29">'Model'!AG327</f>
        <v/>
      </c>
      <c r="E29" s="2242">
        <f t="array" ref="E29">'Model'!AL327</f>
        <v/>
      </c>
      <c r="F29" s="2243">
        <f t="array" ref="F29">'Model'!AQ327</f>
        <v/>
      </c>
      <c r="G29" s="2243">
        <f t="array" ref="G29">'Model'!AV327</f>
        <v/>
      </c>
      <c r="H29" s="2243">
        <f t="array" ref="H29">'Model'!BA327</f>
        <v/>
      </c>
      <c r="I29" s="2243">
        <f t="array" ref="I29">'Model'!BF327</f>
        <v/>
      </c>
      <c r="J29" s="2243">
        <f t="array" ref="J29">'Model'!BK327</f>
        <v/>
      </c>
      <c r="K29" s="2243">
        <f t="array" ref="K29">'Model'!BP327</f>
        <v/>
      </c>
      <c r="L29" s="2243">
        <f t="array" ref="L29">'Model'!BU327</f>
        <v/>
      </c>
      <c r="M29" s="2243">
        <f t="array" ref="M29">'Model'!BZ327</f>
        <v/>
      </c>
      <c r="N29" s="2211">
        <f t="array" ref="N29">(M29/H29)^(1/5)-1</f>
        <v/>
      </c>
      <c r="O29" s="2211" t="n"/>
      <c r="P29" s="2244" t="n"/>
      <c r="Q29" s="1005" t="inlineStr">
        <is>
          <t>Text_276</t>
        </is>
      </c>
      <c r="R29" s="2240" t="n"/>
      <c r="S29" s="2241" t="n">
        <v>13.1249801976065</v>
      </c>
      <c r="T29" s="2243" t="n">
        <v>21.4200900767075</v>
      </c>
      <c r="U29" s="2243" t="n">
        <v>26.5696825667565</v>
      </c>
      <c r="V29" s="2243" t="n">
        <v>24.9534985875057</v>
      </c>
      <c r="W29" s="2243" t="n">
        <v>38.0204087344573</v>
      </c>
      <c r="X29" s="2243" t="n">
        <v>35.1507649406537</v>
      </c>
      <c r="Y29" s="2243" t="n">
        <v>36.9308164208913</v>
      </c>
      <c r="Z29" s="2243" t="n">
        <v>41.5235845497692</v>
      </c>
      <c r="AA29" s="2243" t="n">
        <v>44.4145465723858</v>
      </c>
      <c r="AB29" s="2211">
        <f t="array" ref="AB29">(AA29/V29)^(1/5)-1</f>
        <v/>
      </c>
      <c r="AC29" s="701" t="n"/>
      <c r="AD29" s="1005" t="inlineStr">
        <is>
          <t>Text_276</t>
        </is>
      </c>
      <c r="AE29" s="2240" t="n"/>
      <c r="AF29" s="2241" t="n">
        <v>12.9384420823502</v>
      </c>
      <c r="AG29" s="2243" t="n">
        <v>18.0667871095402</v>
      </c>
      <c r="AH29" s="2243" t="n">
        <v>27.7382343547823</v>
      </c>
      <c r="AI29" s="2243" t="n">
        <v>22.9982148581215</v>
      </c>
      <c r="AJ29" s="2243">
        <f t="array" ref="AJ29">AJ31*AJ26</f>
        <v/>
      </c>
      <c r="AK29" s="2243">
        <f t="array" ref="AK29">AK31*AK26</f>
        <v/>
      </c>
      <c r="AL29" s="2243">
        <f t="array" ref="AL29">AL31*AL26</f>
        <v/>
      </c>
      <c r="AM29" s="2243">
        <f t="array" ref="AM29">AM31*AM26</f>
        <v/>
      </c>
      <c r="AN29" s="2243">
        <f t="array" ref="AN29">AN31*AN26</f>
        <v/>
      </c>
      <c r="AO29" s="2211">
        <f t="array" ref="AO29">(AN29/AI29)^(1/5)-1</f>
        <v/>
      </c>
      <c r="AP29" s="701" t="n"/>
      <c r="AQ29" s="1005" t="inlineStr">
        <is>
          <t>Text_276</t>
        </is>
      </c>
      <c r="AR29" s="2240" t="n"/>
      <c r="AS29" s="2241" t="n">
        <v>13.0401998701965</v>
      </c>
      <c r="AT29" s="2243" t="n">
        <v>18.6849751824115</v>
      </c>
      <c r="AU29" s="2243" t="n">
        <v>19.4839335813565</v>
      </c>
      <c r="AV29" s="2243" t="n">
        <v>18.0886675406749</v>
      </c>
      <c r="AW29" s="2243">
        <f t="array" ref="AW29">AW31*AW26</f>
        <v/>
      </c>
      <c r="AX29" s="2243">
        <f t="array" ref="AX29">AX31*AX26</f>
        <v/>
      </c>
      <c r="AY29" s="2243">
        <f t="array" ref="AY29">AY31*AY26</f>
        <v/>
      </c>
      <c r="AZ29" s="2243">
        <f t="array" ref="AZ29">AZ31*AZ26</f>
        <v/>
      </c>
      <c r="BA29" s="2243">
        <f t="array" ref="BA29">BA31*BA26</f>
        <v/>
      </c>
      <c r="BB29" s="2211">
        <f t="array" ref="BB29">(BA29/AV29)^(1/5)-1</f>
        <v/>
      </c>
      <c r="BC29" s="2213" t="n"/>
    </row>
    <row r="30" ht="12.75" customHeight="1" s="1676">
      <c r="A30" s="967" t="n"/>
      <c r="B30" s="1013" t="inlineStr">
        <is>
          <t>Text_15</t>
        </is>
      </c>
      <c r="C30" s="2214" t="n"/>
      <c r="D30" s="2215" t="n"/>
      <c r="E30" s="2216" t="n"/>
      <c r="F30" s="2216">
        <f t="array" ref="F30">F29/E29-1</f>
        <v/>
      </c>
      <c r="G30" s="2216">
        <f t="array" ref="G30">G29/F29-1</f>
        <v/>
      </c>
      <c r="H30" s="2216">
        <f t="array" ref="H30">H29/G29-1</f>
        <v/>
      </c>
      <c r="I30" s="2216">
        <f t="array" ref="I30">I29/H29-1</f>
        <v/>
      </c>
      <c r="J30" s="2216">
        <f t="array" ref="J30">J29/I29-1</f>
        <v/>
      </c>
      <c r="K30" s="2216">
        <f t="array" ref="K30">K29/J29-1</f>
        <v/>
      </c>
      <c r="L30" s="2216">
        <f t="array" ref="L30">L29/K29-1</f>
        <v/>
      </c>
      <c r="M30" s="2216">
        <f t="array" ref="M30">M29/L29-1</f>
        <v/>
      </c>
      <c r="N30" s="2218" t="n"/>
      <c r="O30" s="2218" t="n"/>
      <c r="P30" s="2246" t="n"/>
      <c r="Q30" s="1013" t="inlineStr">
        <is>
          <t>Text_15</t>
        </is>
      </c>
      <c r="R30" s="2214" t="n"/>
      <c r="S30" s="2215" t="n"/>
      <c r="T30" s="2216" t="n">
        <v>0.571732135233205</v>
      </c>
      <c r="U30" s="2216" t="n">
        <v>0.169908292885575</v>
      </c>
      <c r="V30" s="2216" t="n">
        <v>-0.0496828214244067</v>
      </c>
      <c r="W30" s="2216" t="n">
        <v>0.464756226934486</v>
      </c>
      <c r="X30" s="2216" t="n">
        <v>0.0835168782650253</v>
      </c>
      <c r="Y30" s="2216" t="n">
        <v>0.0721679835754656</v>
      </c>
      <c r="Z30" s="2216" t="n">
        <v>0.15855496992845</v>
      </c>
      <c r="AA30" s="2216" t="n">
        <v>0.202223500954598</v>
      </c>
      <c r="AB30" s="2218" t="n"/>
      <c r="AC30" s="701" t="n"/>
      <c r="AD30" s="1013" t="inlineStr">
        <is>
          <t>Text_15</t>
        </is>
      </c>
      <c r="AE30" s="2214" t="n"/>
      <c r="AF30" s="2215" t="n"/>
      <c r="AG30" s="2216" t="n">
        <v>0.607372959844252</v>
      </c>
      <c r="AH30" s="2216" t="n">
        <v>0.18874618835083</v>
      </c>
      <c r="AI30" s="2216" t="n">
        <v>-0.064334169533945</v>
      </c>
      <c r="AJ30" s="2216">
        <f t="array" ref="AJ30">AJ29/AI29-1</f>
        <v/>
      </c>
      <c r="AK30" s="2216">
        <f t="array" ref="AK30">AK29/AJ29-1</f>
        <v/>
      </c>
      <c r="AL30" s="2216">
        <f t="array" ref="AL30">AL29/AK29-1</f>
        <v/>
      </c>
      <c r="AM30" s="2216">
        <f t="array" ref="AM30">AM29/AL29-1</f>
        <v/>
      </c>
      <c r="AN30" s="2216">
        <f t="array" ref="AN30">AN29/AM29-1</f>
        <v/>
      </c>
      <c r="AO30" s="2218" t="n"/>
      <c r="AP30" s="701" t="n"/>
      <c r="AQ30" s="1013" t="inlineStr">
        <is>
          <t>Text_15</t>
        </is>
      </c>
      <c r="AR30" s="2214" t="n"/>
      <c r="AS30" s="2215" t="n"/>
      <c r="AT30" s="2216" t="n">
        <v>0.561194840220543</v>
      </c>
      <c r="AU30" s="2216" t="n">
        <v>0.204639364760916</v>
      </c>
      <c r="AV30" s="2216" t="n">
        <v>-0.06649441986940061</v>
      </c>
      <c r="AW30" s="2216">
        <f t="array" ref="AW30">AW29/AV29-1</f>
        <v/>
      </c>
      <c r="AX30" s="2216">
        <f t="array" ref="AX30">AX29/AW29-1</f>
        <v/>
      </c>
      <c r="AY30" s="2216">
        <f t="array" ref="AY30">AY29/AX29-1</f>
        <v/>
      </c>
      <c r="AZ30" s="2216">
        <f t="array" ref="AZ30">AZ29/AY29-1</f>
        <v/>
      </c>
      <c r="BA30" s="2216">
        <f t="array" ref="BA30">BA29/AZ29-1</f>
        <v/>
      </c>
      <c r="BB30" s="2218" t="n"/>
      <c r="BC30" s="2220" t="n"/>
    </row>
    <row r="31" ht="12.75" customHeight="1" s="1676">
      <c r="A31" s="967" t="n"/>
      <c r="B31" s="1021" t="inlineStr">
        <is>
          <t>Text_510</t>
        </is>
      </c>
      <c r="C31" s="2221" t="n"/>
      <c r="D31" s="2222" t="n"/>
      <c r="E31" s="2218" t="n"/>
      <c r="F31" s="1054">
        <f t="array" ref="F31">F29/F26</f>
        <v/>
      </c>
      <c r="G31" s="1054">
        <f t="array" ref="G31">G29/G26</f>
        <v/>
      </c>
      <c r="H31" s="1054">
        <f t="array" ref="H31">H29/H26</f>
        <v/>
      </c>
      <c r="I31" s="1054">
        <f t="array" ref="I31">I29/I26</f>
        <v/>
      </c>
      <c r="J31" s="1054">
        <f t="array" ref="J31">J29/J26</f>
        <v/>
      </c>
      <c r="K31" s="1054">
        <f t="array" ref="K31">K29/K26</f>
        <v/>
      </c>
      <c r="L31" s="1054">
        <f t="array" ref="L31">L29/L26</f>
        <v/>
      </c>
      <c r="M31" s="1054">
        <f t="array" ref="M31">M29/M26</f>
        <v/>
      </c>
      <c r="N31" s="2218" t="n"/>
      <c r="O31" s="2247" t="n"/>
      <c r="P31" s="2246" t="n"/>
      <c r="Q31" s="1021" t="inlineStr">
        <is>
          <t>Text_510</t>
        </is>
      </c>
      <c r="R31" s="2221" t="n"/>
      <c r="S31" s="2222" t="n"/>
      <c r="T31" s="1054" t="n">
        <v>0.878743327684109</v>
      </c>
      <c r="U31" s="1054" t="n">
        <v>0.985025635979106</v>
      </c>
      <c r="V31" s="1054" t="n">
        <v>0.952701937904152</v>
      </c>
      <c r="W31" s="1054" t="n">
        <v>1.05395391974863</v>
      </c>
      <c r="X31" s="1054" t="n">
        <v>0.989310327686849</v>
      </c>
      <c r="Y31" s="1054" t="n">
        <v>1.00143752049448</v>
      </c>
      <c r="Z31" s="1054" t="n">
        <v>0.879100905006329</v>
      </c>
      <c r="AA31" s="1054" t="n">
        <v>0.920687355463721</v>
      </c>
      <c r="AB31" s="2218" t="n"/>
      <c r="AC31" s="701" t="n"/>
      <c r="AD31" s="1021" t="inlineStr">
        <is>
          <t>Text_510</t>
        </is>
      </c>
      <c r="AE31" s="2221" t="n"/>
      <c r="AF31" s="2222" t="n"/>
      <c r="AG31" s="1054" t="n">
        <v>0.883367092024172</v>
      </c>
      <c r="AH31" s="1054" t="n">
        <v>0.9947516141092489</v>
      </c>
      <c r="AI31" s="1054" t="n">
        <v>0.976991624765028</v>
      </c>
      <c r="AJ31" s="1056" t="n">
        <v>1.0470063228328</v>
      </c>
      <c r="AK31" s="1056" t="n">
        <v>1.05839536419119</v>
      </c>
      <c r="AL31" s="1056" t="n">
        <v>0.944680464815971</v>
      </c>
      <c r="AM31" s="1056" t="n">
        <v>0.984746345668444</v>
      </c>
      <c r="AN31" s="1056" t="n">
        <v>0.942804651872534</v>
      </c>
      <c r="AO31" s="2218" t="n"/>
      <c r="AP31" s="701" t="n"/>
      <c r="AQ31" s="1021" t="inlineStr">
        <is>
          <t>Text_510</t>
        </is>
      </c>
      <c r="AR31" s="2221" t="n"/>
      <c r="AS31" s="2222" t="n"/>
      <c r="AT31" s="1054" t="n">
        <v>0.901338959556352</v>
      </c>
      <c r="AU31" s="1054" t="n">
        <v>0.901707068314851</v>
      </c>
      <c r="AV31" s="1054" t="n">
        <v>0.933514077983195</v>
      </c>
      <c r="AW31" s="1056" t="n">
        <v>0.920684541210795</v>
      </c>
      <c r="AX31" s="1056" t="n">
        <v>0.899457226863583</v>
      </c>
      <c r="AY31" s="1056" t="n">
        <v>0.907882204618587</v>
      </c>
      <c r="AZ31" s="1056" t="n">
        <v>0.905321571383265</v>
      </c>
      <c r="BA31" s="1056" t="n">
        <v>1.00992306106889</v>
      </c>
      <c r="BB31" s="2218" t="n"/>
      <c r="BC31" s="30" t="n"/>
    </row>
    <row r="32" ht="12.75" customHeight="1" s="1676">
      <c r="A32" s="1057" t="n"/>
      <c r="B32" s="1001" t="n"/>
      <c r="C32" s="2248" t="n"/>
      <c r="D32" s="2249" t="n"/>
      <c r="E32" s="2250" t="n"/>
      <c r="F32" s="1061" t="n"/>
      <c r="G32" s="1061" t="n"/>
      <c r="H32" s="1061" t="n"/>
      <c r="I32" s="1061" t="n"/>
      <c r="J32" s="1061" t="n"/>
      <c r="K32" s="1061" t="n"/>
      <c r="L32" s="1061" t="n"/>
      <c r="M32" s="1061" t="n"/>
      <c r="N32" s="2251" t="n"/>
      <c r="O32" s="2252" t="n"/>
      <c r="P32" s="2246" t="n"/>
      <c r="Q32" s="1001" t="n"/>
      <c r="R32" s="2248" t="n"/>
      <c r="S32" s="2249" t="n"/>
      <c r="T32" s="1061" t="n"/>
      <c r="U32" s="1061" t="n"/>
      <c r="V32" s="1061" t="n"/>
      <c r="W32" s="1061" t="n"/>
      <c r="X32" s="1061" t="n"/>
      <c r="Y32" s="1061" t="n"/>
      <c r="Z32" s="1061" t="n"/>
      <c r="AA32" s="1061" t="n"/>
      <c r="AB32" s="701" t="n"/>
      <c r="AC32" s="701" t="n"/>
      <c r="AD32" s="1001" t="n"/>
      <c r="AE32" s="2248" t="n"/>
      <c r="AF32" s="2249" t="n"/>
      <c r="AG32" s="1061" t="n"/>
      <c r="AH32" s="1061" t="n"/>
      <c r="AI32" s="1061" t="n"/>
      <c r="AJ32" s="1061" t="n"/>
      <c r="AK32" s="1061" t="n"/>
      <c r="AL32" s="1061" t="n"/>
      <c r="AM32" s="1061" t="n"/>
      <c r="AN32" s="1026" t="n"/>
      <c r="AO32" s="701" t="n"/>
      <c r="AP32" s="701" t="n"/>
      <c r="AQ32" s="1001" t="n"/>
      <c r="AR32" s="2248" t="n"/>
      <c r="AS32" s="2249" t="n"/>
      <c r="AT32" s="1061" t="n"/>
      <c r="AU32" s="1061" t="n"/>
      <c r="AV32" s="1061" t="n"/>
      <c r="AW32" s="1061" t="n"/>
      <c r="AX32" s="1061" t="n"/>
      <c r="AY32" s="1061" t="n"/>
      <c r="AZ32" s="1061" t="n"/>
      <c r="BA32" s="1061" t="n"/>
      <c r="BB32" s="701" t="n"/>
      <c r="BC32" s="30" t="n"/>
    </row>
    <row r="33" ht="12.75" customHeight="1" s="1676">
      <c r="A33" s="967" t="n"/>
      <c r="B33" s="1005" t="inlineStr">
        <is>
          <t>Text_300</t>
        </is>
      </c>
      <c r="C33" s="2207" t="n"/>
      <c r="D33" s="2253">
        <f t="array" ref="D33">'Model'!AG355</f>
        <v/>
      </c>
      <c r="E33" s="2254">
        <f t="array" ref="E33">'Model'!AL355</f>
        <v/>
      </c>
      <c r="F33" s="2254">
        <f t="array" ref="F33">'Model'!AQ355</f>
        <v/>
      </c>
      <c r="G33" s="2254">
        <f t="array" ref="G33">'Model'!AV355</f>
        <v/>
      </c>
      <c r="H33" s="2254">
        <f t="array" ref="H33">'Model'!BA355</f>
        <v/>
      </c>
      <c r="I33" s="2254">
        <f t="array" ref="I33">'Model'!BF355</f>
        <v/>
      </c>
      <c r="J33" s="2254">
        <f t="array" ref="J33">'Model'!BK355</f>
        <v/>
      </c>
      <c r="K33" s="2254">
        <f t="array" ref="K33">'Model'!BP355</f>
        <v/>
      </c>
      <c r="L33" s="2254">
        <f t="array" ref="L33">'Model'!BU355</f>
        <v/>
      </c>
      <c r="M33" s="2254">
        <f t="array" ref="M33">'Model'!BZ355</f>
        <v/>
      </c>
      <c r="N33" s="2218" t="n"/>
      <c r="O33" s="2247" t="n"/>
      <c r="P33" s="2246" t="n"/>
      <c r="Q33" s="1005" t="inlineStr">
        <is>
          <t>Text_300</t>
        </is>
      </c>
      <c r="R33" s="2207" t="n"/>
      <c r="S33" s="2253" t="n">
        <v>-1046.59412928916</v>
      </c>
      <c r="T33" s="2254" t="n">
        <v>-4692.28016855426</v>
      </c>
      <c r="U33" s="2254" t="n">
        <v>-2583.76031921886</v>
      </c>
      <c r="V33" s="2254" t="n">
        <v>-1937.6521454409</v>
      </c>
      <c r="W33" s="2254" t="n">
        <v>-3493.78755551713</v>
      </c>
      <c r="X33" s="2254" t="n">
        <v>-2381.4075405044</v>
      </c>
      <c r="Y33" s="2254" t="n">
        <v>-2173.28784907459</v>
      </c>
      <c r="Z33" s="2254" t="n">
        <v>-1898.6086434016</v>
      </c>
      <c r="AA33" s="2254" t="n">
        <v>-1385.66090862785</v>
      </c>
      <c r="AB33" s="701" t="n"/>
      <c r="AC33" s="701" t="n"/>
      <c r="AD33" s="1005" t="inlineStr">
        <is>
          <t>Text_300</t>
        </is>
      </c>
      <c r="AE33" s="2207" t="n"/>
      <c r="AF33" s="2253" t="n">
        <v>-855.871926117537</v>
      </c>
      <c r="AG33" s="2254" t="n">
        <v>-3723.95836919609</v>
      </c>
      <c r="AH33" s="2254" t="n">
        <v>-2831.84222544794</v>
      </c>
      <c r="AI33" s="2254" t="n">
        <v>-1754.12064545458</v>
      </c>
      <c r="AJ33" s="2254" t="n"/>
      <c r="AK33" s="2254" t="n"/>
      <c r="AL33" s="2254" t="n"/>
      <c r="AM33" s="2254" t="n"/>
      <c r="AN33" s="2255" t="n"/>
      <c r="AO33" s="701" t="n"/>
      <c r="AP33" s="701" t="n"/>
      <c r="AQ33" s="1005" t="inlineStr">
        <is>
          <t>Text_300</t>
        </is>
      </c>
      <c r="AR33" s="2207" t="n"/>
      <c r="AS33" s="2253" t="n">
        <v>-838.440861201185</v>
      </c>
      <c r="AT33" s="2254" t="n">
        <v>-4441.30233328693</v>
      </c>
      <c r="AU33" s="2254" t="n">
        <v>-2273.65644227046</v>
      </c>
      <c r="AV33" s="2254" t="n">
        <v>-1992.31662073096</v>
      </c>
      <c r="AW33" s="2254" t="n"/>
      <c r="AX33" s="2254" t="n"/>
      <c r="AY33" s="2254" t="n"/>
      <c r="AZ33" s="2254" t="n"/>
      <c r="BA33" s="2254" t="n"/>
      <c r="BB33" s="701" t="n"/>
      <c r="BC33" s="30" t="n"/>
    </row>
    <row r="34" ht="12.75" customHeight="1" s="1676">
      <c r="A34" s="967" t="n"/>
      <c r="B34" s="1067" t="inlineStr">
        <is>
          <t>Text_511</t>
        </is>
      </c>
      <c r="C34" s="2256" t="n"/>
      <c r="D34" s="2257">
        <f t="array" ref="D34">-D33/D18</f>
        <v/>
      </c>
      <c r="E34" s="2258">
        <f t="array" ref="E34">-E33/E18</f>
        <v/>
      </c>
      <c r="F34" s="2258">
        <f t="array" ref="F34">-F33/F18</f>
        <v/>
      </c>
      <c r="G34" s="2258">
        <f t="array" ref="G34">-G33/G18</f>
        <v/>
      </c>
      <c r="H34" s="2258">
        <f t="array" ref="H34">-H33/H18</f>
        <v/>
      </c>
      <c r="I34" s="2258">
        <f t="array" ref="I34">-I33/I18</f>
        <v/>
      </c>
      <c r="J34" s="2258">
        <f t="array" ref="J34">-J33/J18</f>
        <v/>
      </c>
      <c r="K34" s="2258">
        <f t="array" ref="K34">-K33/K18</f>
        <v/>
      </c>
      <c r="L34" s="2258">
        <f t="array" ref="L34">-L33/L18</f>
        <v/>
      </c>
      <c r="M34" s="2258">
        <f t="array" ref="M34">-M33/M18</f>
        <v/>
      </c>
      <c r="N34" s="2218" t="n"/>
      <c r="O34" s="2247" t="n"/>
      <c r="P34" s="2246" t="n"/>
      <c r="Q34" s="1067" t="inlineStr">
        <is>
          <t>Text_511</t>
        </is>
      </c>
      <c r="R34" s="2256" t="n"/>
      <c r="S34" s="2257" t="n">
        <v>0.327260238642919</v>
      </c>
      <c r="T34" s="2258" t="n">
        <v>0.885927942730984</v>
      </c>
      <c r="U34" s="2258" t="n">
        <v>0.5291792496548871</v>
      </c>
      <c r="V34" s="2258" t="n">
        <v>0.493620985061543</v>
      </c>
      <c r="W34" s="2258" t="n">
        <v>0.548459092487531</v>
      </c>
      <c r="X34" s="2258" t="n">
        <v>0.434332480098272</v>
      </c>
      <c r="Y34" s="2258" t="n">
        <v>0.382280460895833</v>
      </c>
      <c r="Z34" s="2258" t="n">
        <v>0.272483583779008</v>
      </c>
      <c r="AA34" s="2258" t="n">
        <v>0.193359227173766</v>
      </c>
      <c r="AB34" s="701" t="n"/>
      <c r="AC34" s="701" t="n"/>
      <c r="AD34" s="1067" t="inlineStr">
        <is>
          <t>Text_511</t>
        </is>
      </c>
      <c r="AE34" s="2256" t="n"/>
      <c r="AF34" s="2257" t="n">
        <v>0.312315462433479</v>
      </c>
      <c r="AG34" s="2258" t="n">
        <v>0.884584918272092</v>
      </c>
      <c r="AH34" s="2258" t="n">
        <v>0.569619045797864</v>
      </c>
      <c r="AI34" s="2258" t="n">
        <v>0.479711847332202</v>
      </c>
      <c r="AJ34" s="2258" t="n"/>
      <c r="AK34" s="2258" t="n"/>
      <c r="AL34" s="2258" t="n"/>
      <c r="AM34" s="2258" t="n"/>
      <c r="AN34" s="2259" t="n"/>
      <c r="AO34" s="701" t="n"/>
      <c r="AP34" s="701" t="n"/>
      <c r="AQ34" s="1067" t="inlineStr">
        <is>
          <t>Text_511</t>
        </is>
      </c>
      <c r="AR34" s="2256" t="n"/>
      <c r="AS34" s="2257" t="n">
        <v>0.311580002432756</v>
      </c>
      <c r="AT34" s="2258" t="n">
        <v>0.876931998204834</v>
      </c>
      <c r="AU34" s="2258" t="n">
        <v>0.557334994331936</v>
      </c>
      <c r="AV34" s="2258" t="n">
        <v>0.481876596362034</v>
      </c>
      <c r="AW34" s="2258" t="n"/>
      <c r="AX34" s="2258" t="n"/>
      <c r="AY34" s="2258" t="n"/>
      <c r="AZ34" s="2258" t="n"/>
      <c r="BA34" s="2258" t="n"/>
      <c r="BB34" s="701" t="n"/>
      <c r="BC34" s="30" t="n"/>
    </row>
    <row r="35" ht="12.75" customHeight="1" s="1676">
      <c r="A35" s="967" t="n"/>
      <c r="B35" s="938" t="n"/>
      <c r="C35" s="2260" t="n"/>
      <c r="D35" s="2261" t="n"/>
      <c r="E35" s="2212" t="n"/>
      <c r="F35" s="2212" t="n"/>
      <c r="G35" s="2212" t="n"/>
      <c r="H35" s="2212" t="n"/>
      <c r="I35" s="2212" t="n"/>
      <c r="J35" s="2212" t="n"/>
      <c r="K35" s="2212" t="n"/>
      <c r="L35" s="2212" t="n"/>
      <c r="M35" s="2212" t="n"/>
      <c r="N35" s="2218" t="n"/>
      <c r="O35" s="2218" t="n"/>
      <c r="P35" s="2246" t="n"/>
      <c r="Q35" s="938" t="n"/>
      <c r="R35" s="2260" t="n"/>
      <c r="S35" s="2262" t="n"/>
      <c r="T35" s="2239" t="n"/>
      <c r="U35" s="2239" t="n"/>
      <c r="V35" s="2239" t="n"/>
      <c r="W35" s="2239" t="n"/>
      <c r="X35" s="2239" t="n"/>
      <c r="Y35" s="2239" t="n"/>
      <c r="Z35" s="2239" t="n"/>
      <c r="AA35" s="2239" t="n"/>
      <c r="AB35" s="701" t="n"/>
      <c r="AC35" s="701" t="n"/>
      <c r="AD35" s="1075" t="n"/>
      <c r="AE35" s="2263" t="n"/>
      <c r="AF35" s="2264" t="n"/>
      <c r="AG35" s="2265" t="n"/>
      <c r="AH35" s="1026" t="n"/>
      <c r="AI35" s="2239" t="n"/>
      <c r="AJ35" s="1026" t="n"/>
      <c r="AK35" s="1026" t="n"/>
      <c r="AL35" s="2239" t="n"/>
      <c r="AM35" s="2239" t="n"/>
      <c r="AN35" s="2239" t="n"/>
      <c r="AO35" s="701" t="n"/>
      <c r="AP35" s="701" t="n"/>
      <c r="AQ35" s="938" t="n"/>
      <c r="AR35" s="2260" t="n"/>
      <c r="AS35" s="2262" t="n"/>
      <c r="AT35" s="2239" t="n"/>
      <c r="AU35" s="2239" t="n"/>
      <c r="AV35" s="2239" t="n"/>
      <c r="AW35" s="2239" t="n"/>
      <c r="AX35" s="2239" t="n"/>
      <c r="AY35" s="2239" t="n"/>
      <c r="AZ35" s="2239" t="n"/>
      <c r="BA35" s="2239" t="n"/>
      <c r="BB35" s="701" t="n"/>
      <c r="BC35" s="30" t="n"/>
    </row>
    <row r="36" ht="12.75" customHeight="1" s="1676">
      <c r="A36" s="967" t="n"/>
      <c r="B36" s="938" t="n"/>
      <c r="C36" s="2212" t="n"/>
      <c r="D36" s="2212" t="n"/>
      <c r="E36" s="2212" t="n"/>
      <c r="F36" s="2212" t="n"/>
      <c r="G36" s="2212" t="n"/>
      <c r="H36" s="2212" t="n"/>
      <c r="I36" s="2212" t="n"/>
      <c r="J36" s="2212" t="n"/>
      <c r="K36" s="2212" t="n"/>
      <c r="L36" s="2212" t="n"/>
      <c r="M36" s="2212" t="n"/>
      <c r="N36" s="2218" t="n"/>
      <c r="O36" s="2218" t="n"/>
      <c r="P36" s="2246" t="n"/>
      <c r="Q36" s="1021" t="inlineStr">
        <is>
          <t>Text_512</t>
        </is>
      </c>
      <c r="R36" s="2266" t="n"/>
      <c r="S36" s="2267">
        <f t="array" ref="S36">$R$3/S26</f>
        <v/>
      </c>
      <c r="T36" s="2268">
        <f t="array" ref="T36">$R$3/T26</f>
        <v/>
      </c>
      <c r="U36" s="2268">
        <f t="array" ref="U36">$R$3/U26</f>
        <v/>
      </c>
      <c r="V36" s="2268">
        <f t="array" ref="V36">$C$3/V26</f>
        <v/>
      </c>
      <c r="W36" s="2268">
        <f t="array" ref="W36">$C$3/W26</f>
        <v/>
      </c>
      <c r="X36" s="2268">
        <f t="array" ref="X36">$C$3/X26</f>
        <v/>
      </c>
      <c r="Y36" s="2268">
        <f t="array" ref="Y36">$C$3/Y26</f>
        <v/>
      </c>
      <c r="Z36" s="2268">
        <f t="array" ref="Z36">$C$3/Z26</f>
        <v/>
      </c>
      <c r="AA36" s="2268">
        <f t="array" ref="AA36">$C$3/AA26</f>
        <v/>
      </c>
      <c r="AB36" s="701" t="n"/>
      <c r="AC36" s="701" t="n"/>
      <c r="AD36" s="1021" t="inlineStr">
        <is>
          <t>Text_513</t>
        </is>
      </c>
      <c r="AE36" s="2266" t="n"/>
      <c r="AF36" s="2267" t="n">
        <v>43.1369963458265</v>
      </c>
      <c r="AG36" s="2268" t="n">
        <v>21.6244829896954</v>
      </c>
      <c r="AH36" s="2268" t="n">
        <v>21.2009549807602</v>
      </c>
      <c r="AI36" s="2268">
        <f t="array" ref="AI36">$C$3/AI26</f>
        <v/>
      </c>
      <c r="AJ36" s="2268">
        <f t="array" ref="AJ36">$AE$3/AJ26</f>
        <v/>
      </c>
      <c r="AK36" s="2268">
        <f t="array" ref="AK36">$AE$3/AK26</f>
        <v/>
      </c>
      <c r="AL36" s="2268">
        <f t="array" ref="AL36">$AE$3/AL26</f>
        <v/>
      </c>
      <c r="AM36" s="2268">
        <f t="array" ref="AM36">$AE$3/AM26</f>
        <v/>
      </c>
      <c r="AN36" s="2268">
        <f t="array" ref="AN36">$AE$3/AN26</f>
        <v/>
      </c>
      <c r="AO36" s="701" t="n"/>
      <c r="AP36" s="701" t="n"/>
      <c r="AQ36" s="1021" t="inlineStr">
        <is>
          <t>Text_514</t>
        </is>
      </c>
      <c r="AR36" s="2266" t="n"/>
      <c r="AS36" s="2267">
        <f t="array" ref="AS36">$AR$3/AS26</f>
        <v/>
      </c>
      <c r="AT36" s="2268" t="n">
        <v>23.3822144774844</v>
      </c>
      <c r="AU36" s="2268" t="n">
        <v>23.7078469555671</v>
      </c>
      <c r="AV36" s="2268">
        <f t="array" ref="AV36">$C$3/AV26</f>
        <v/>
      </c>
      <c r="AW36" s="2268">
        <f t="array" ref="AW36">$C$3/AW26</f>
        <v/>
      </c>
      <c r="AX36" s="2268">
        <f t="array" ref="AX36">$C$3/AX26</f>
        <v/>
      </c>
      <c r="AY36" s="2268">
        <f t="array" ref="AY36">$C$3/AY26</f>
        <v/>
      </c>
      <c r="AZ36" s="2268">
        <f t="array" ref="AZ36">$C$3/AZ26</f>
        <v/>
      </c>
      <c r="BA36" s="2268">
        <f t="array" ref="BA36">$C$3/BA26</f>
        <v/>
      </c>
      <c r="BB36" s="701" t="n"/>
      <c r="BC36" s="30" t="n"/>
    </row>
    <row r="37" ht="12.75" customHeight="1" s="1676">
      <c r="A37" s="967" t="n"/>
      <c r="B37" s="938" t="n"/>
      <c r="C37" s="2212" t="n"/>
      <c r="D37" s="2212" t="n"/>
      <c r="E37" s="2212" t="n"/>
      <c r="F37" s="2212" t="n"/>
      <c r="G37" s="2212" t="n"/>
      <c r="H37" s="2212" t="n"/>
      <c r="I37" s="2212" t="n"/>
      <c r="J37" s="2212" t="n"/>
      <c r="K37" s="2212" t="n"/>
      <c r="L37" s="2212" t="n"/>
      <c r="M37" s="2212" t="n"/>
      <c r="N37" s="2218" t="n"/>
      <c r="O37" s="2218" t="n"/>
      <c r="P37" s="2246" t="n"/>
      <c r="Q37" s="1021" t="inlineStr">
        <is>
          <t>Text_515</t>
        </is>
      </c>
      <c r="R37" s="2266" t="n"/>
      <c r="S37" s="2269">
        <f t="array" ref="S37">S29/$R$3</f>
        <v/>
      </c>
      <c r="T37" s="2270">
        <f t="array" ref="T37">T29/$R$3</f>
        <v/>
      </c>
      <c r="U37" s="2270">
        <f t="array" ref="U37">U29/$R$3</f>
        <v/>
      </c>
      <c r="V37" s="2270">
        <f t="array" ref="V37">V29/$R$3</f>
        <v/>
      </c>
      <c r="W37" s="2270">
        <f t="array" ref="W37">W29/$R$3</f>
        <v/>
      </c>
      <c r="X37" s="2270">
        <f t="array" ref="X37">X29/$R$3</f>
        <v/>
      </c>
      <c r="Y37" s="2270">
        <f t="array" ref="Y37">Y29/$R$3</f>
        <v/>
      </c>
      <c r="Z37" s="2270">
        <f t="array" ref="Z37">Z29/$R$3</f>
        <v/>
      </c>
      <c r="AA37" s="2270">
        <f t="array" ref="AA37">AA29/$R$3</f>
        <v/>
      </c>
      <c r="AB37" s="701" t="n"/>
      <c r="AC37" s="701" t="n"/>
      <c r="AD37" s="1021" t="inlineStr">
        <is>
          <t>Text_516</t>
        </is>
      </c>
      <c r="AE37" s="2266" t="n"/>
      <c r="AF37" s="2269" t="n">
        <v>0.0228341026859513</v>
      </c>
      <c r="AG37" s="2270" t="n">
        <v>0.0364658766391258</v>
      </c>
      <c r="AH37" s="2270" t="n">
        <v>0.0442639379850095</v>
      </c>
      <c r="AI37" s="2270">
        <f t="array" ref="AI37">AI29/$R$3</f>
        <v/>
      </c>
      <c r="AJ37" s="2270">
        <f t="array" ref="AJ37">AJ29/$AE$3</f>
        <v/>
      </c>
      <c r="AK37" s="2270">
        <f t="array" ref="AK37">AK29/$AE$3</f>
        <v/>
      </c>
      <c r="AL37" s="2270">
        <f t="array" ref="AL37">AL29/$AE$3</f>
        <v/>
      </c>
      <c r="AM37" s="2270">
        <f t="array" ref="AM37">AM29/$AE$3</f>
        <v/>
      </c>
      <c r="AN37" s="2270">
        <f t="array" ref="AN37">AN29/$AE$3</f>
        <v/>
      </c>
      <c r="AO37" s="701" t="n"/>
      <c r="AP37" s="701" t="n"/>
      <c r="AQ37" s="1021" t="inlineStr">
        <is>
          <t>Text_516</t>
        </is>
      </c>
      <c r="AR37" s="2266" t="n"/>
      <c r="AS37" s="2269">
        <f t="array" ref="AS37">AS29/$AR$3</f>
        <v/>
      </c>
      <c r="AT37" s="2270" t="n">
        <v>0.0521477460821266</v>
      </c>
      <c r="AU37" s="2270" t="n">
        <v>0.0485159935665809</v>
      </c>
      <c r="AV37" s="2270">
        <f t="array" ref="AV37">AV29/$R$3</f>
        <v/>
      </c>
      <c r="AW37" s="2270">
        <f t="array" ref="AW37">AW29/$R$3</f>
        <v/>
      </c>
      <c r="AX37" s="2270">
        <f t="array" ref="AX37">AX29/$R$3</f>
        <v/>
      </c>
      <c r="AY37" s="2270">
        <f t="array" ref="AY37">AY29/$R$3</f>
        <v/>
      </c>
      <c r="AZ37" s="2270">
        <f t="array" ref="AZ37">AZ29/$R$3</f>
        <v/>
      </c>
      <c r="BA37" s="2270">
        <f t="array" ref="BA37">BA29/$R$3</f>
        <v/>
      </c>
      <c r="BB37" s="701" t="n"/>
      <c r="BC37" s="30" t="n"/>
    </row>
    <row r="38" ht="12.75" customHeight="1" s="1676">
      <c r="A38" s="967" t="n"/>
      <c r="B38" s="701" t="n"/>
      <c r="C38" s="2212" t="n"/>
      <c r="D38" s="2212" t="n"/>
      <c r="E38" s="2212" t="n"/>
      <c r="F38" s="2212" t="n"/>
      <c r="G38" s="2212" t="n"/>
      <c r="H38" s="2212" t="n"/>
      <c r="I38" s="2212" t="n"/>
      <c r="J38" s="2212" t="n"/>
      <c r="K38" s="2212" t="n"/>
      <c r="L38" s="2212" t="n"/>
      <c r="M38" s="2212" t="n"/>
      <c r="N38" s="2218" t="n"/>
      <c r="O38" s="2218" t="n"/>
      <c r="P38" s="2246" t="n"/>
      <c r="Q38" s="701" t="n"/>
      <c r="R38" s="381" t="n"/>
      <c r="S38" s="456" t="n"/>
      <c r="T38" s="701" t="n"/>
      <c r="U38" s="701" t="n"/>
      <c r="V38" s="701" t="n"/>
      <c r="W38" s="701" t="n"/>
      <c r="X38" s="701" t="n"/>
      <c r="Y38" s="701" t="n"/>
      <c r="Z38" s="701" t="n"/>
      <c r="AA38" s="701" t="n"/>
      <c r="AB38" s="701" t="n"/>
      <c r="AC38" s="701" t="n"/>
      <c r="AD38" s="1084" t="n"/>
      <c r="AE38" s="2271" t="n"/>
      <c r="AF38" s="456" t="n"/>
      <c r="AG38" s="701" t="n"/>
      <c r="AH38" s="701" t="n"/>
      <c r="AI38" s="701" t="n"/>
      <c r="AJ38" s="701" t="n"/>
      <c r="AK38" s="701" t="n"/>
      <c r="AL38" s="701" t="n"/>
      <c r="AM38" s="701" t="n"/>
      <c r="AN38" s="701" t="n"/>
      <c r="AO38" s="701" t="n"/>
      <c r="AP38" s="701" t="n"/>
      <c r="AQ38" s="1084" t="n"/>
      <c r="AR38" s="2271" t="n"/>
      <c r="AS38" s="456" t="n"/>
      <c r="AT38" s="701" t="n"/>
      <c r="AU38" s="701" t="n"/>
      <c r="AV38" s="701" t="n"/>
      <c r="AW38" s="701" t="n"/>
      <c r="AX38" s="701" t="n"/>
      <c r="AY38" s="701" t="n"/>
      <c r="AZ38" s="701" t="n"/>
      <c r="BA38" s="701" t="n"/>
      <c r="BB38" s="701" t="n"/>
      <c r="BC38" s="30" t="n"/>
    </row>
    <row r="39" ht="12.75" customHeight="1" s="1676">
      <c r="A39" s="1086" t="n"/>
      <c r="B39" s="701" t="n"/>
      <c r="C39" s="2212" t="n"/>
      <c r="D39" s="2212" t="n"/>
      <c r="E39" s="2212" t="n"/>
      <c r="F39" s="2212" t="n"/>
      <c r="G39" s="2212" t="n"/>
      <c r="H39" s="2212" t="n"/>
      <c r="I39" s="2212" t="n"/>
      <c r="J39" s="2212" t="n"/>
      <c r="K39" s="2212" t="n"/>
      <c r="L39" s="2212" t="n"/>
      <c r="M39" s="2212" t="n"/>
      <c r="N39" s="2218" t="n"/>
      <c r="O39" s="2218" t="n"/>
      <c r="P39" s="2246" t="n"/>
      <c r="Q39" s="1087" t="inlineStr">
        <is>
          <t>Text_517</t>
        </is>
      </c>
      <c r="R39" s="1088" t="n"/>
      <c r="S39" s="2272" t="n"/>
      <c r="T39" s="2273" t="n"/>
      <c r="U39" s="2273" t="n"/>
      <c r="V39" s="2273" t="n"/>
      <c r="W39" s="2273" t="n"/>
      <c r="X39" s="2274" t="n">
        <v>23.3498088893479</v>
      </c>
      <c r="Y39" s="2274" t="n">
        <v>24.992951090265</v>
      </c>
      <c r="Z39" s="2274" t="n">
        <v>25.1113895001065</v>
      </c>
      <c r="AA39" s="2274" t="n">
        <v>23.1161544883501</v>
      </c>
      <c r="AB39" s="701" t="n"/>
      <c r="AC39" s="701" t="n"/>
      <c r="AD39" s="1087" t="inlineStr">
        <is>
          <t>Text_518</t>
        </is>
      </c>
      <c r="AE39" s="1088" t="n"/>
      <c r="AF39" s="2272" t="n"/>
      <c r="AG39" s="2273" t="n"/>
      <c r="AH39" s="2273" t="n"/>
      <c r="AI39" s="2273" t="n"/>
      <c r="AJ39" s="2273" t="n"/>
      <c r="AK39" s="2274" t="n">
        <v>21.8174988161443</v>
      </c>
      <c r="AL39" s="2274" t="n">
        <v>19.3174653515241</v>
      </c>
      <c r="AM39" s="2274" t="n">
        <v>20.9108973142153</v>
      </c>
      <c r="AN39" s="2274" t="n">
        <v>21.9331316146883</v>
      </c>
      <c r="AO39" s="701" t="n"/>
      <c r="AP39" s="701" t="n"/>
      <c r="AQ39" s="1087" t="inlineStr">
        <is>
          <t>Text_519</t>
        </is>
      </c>
      <c r="AR39" s="1088" t="n"/>
      <c r="AS39" s="2272" t="n"/>
      <c r="AT39" s="2273" t="n"/>
      <c r="AU39" s="2273" t="n"/>
      <c r="AV39" s="2273" t="n"/>
      <c r="AW39" s="2273" t="n"/>
      <c r="AX39" s="2274" t="n">
        <v>20.9375801943277</v>
      </c>
      <c r="AY39" s="2274" t="n">
        <v>19.8654469065094</v>
      </c>
      <c r="AZ39" s="2274" t="n">
        <v>21.5705512002217</v>
      </c>
      <c r="BA39" s="2274" t="n">
        <v>17.0021072092837</v>
      </c>
      <c r="BB39" s="701" t="n"/>
      <c r="BC39" s="30" t="n"/>
    </row>
    <row r="40" ht="12.75" customHeight="1" s="1676">
      <c r="A40" s="967" t="n"/>
      <c r="B40" s="1087" t="inlineStr">
        <is>
          <t>Text_520</t>
        </is>
      </c>
      <c r="C40" s="1092" t="n"/>
      <c r="D40" s="2273" t="n"/>
      <c r="E40" s="2273" t="n"/>
      <c r="F40" s="2259" t="n"/>
      <c r="G40" s="2273" t="n"/>
      <c r="H40" s="2273" t="n"/>
      <c r="I40" s="2273" t="n"/>
      <c r="J40" s="2259" t="n"/>
      <c r="K40" s="2273" t="n"/>
      <c r="L40" s="2273" t="n"/>
      <c r="M40" s="2273" t="n"/>
      <c r="N40" s="2275" t="n"/>
      <c r="O40" s="2265" t="n"/>
      <c r="P40" s="2276" t="n"/>
      <c r="Q40" s="1005" t="inlineStr">
        <is>
          <t>Text_521</t>
        </is>
      </c>
      <c r="R40" s="1095" t="n"/>
      <c r="S40" s="2277" t="n"/>
      <c r="T40" s="2278" t="n"/>
      <c r="U40" s="2278" t="n"/>
      <c r="V40" s="2278" t="n"/>
      <c r="W40" s="2278" t="n"/>
      <c r="X40" s="2278">
        <f t="array" ref="X40">X39*X26</f>
        <v/>
      </c>
      <c r="Y40" s="2278">
        <f t="array" ref="Y40">Y39*Y26</f>
        <v/>
      </c>
      <c r="Z40" s="2278">
        <f t="array" ref="Z40">Z39*Z26</f>
        <v/>
      </c>
      <c r="AA40" s="2278">
        <f t="array" ref="AA40">AA39*AA26</f>
        <v/>
      </c>
      <c r="AB40" s="701" t="n"/>
      <c r="AC40" s="701" t="n"/>
      <c r="AD40" s="1005" t="inlineStr">
        <is>
          <t>Text_522</t>
        </is>
      </c>
      <c r="AE40" s="1095" t="n"/>
      <c r="AF40" s="2277" t="n"/>
      <c r="AG40" s="2278" t="n"/>
      <c r="AH40" s="2278" t="n"/>
      <c r="AI40" s="2278" t="n"/>
      <c r="AJ40" s="2278" t="n"/>
      <c r="AK40" s="2278">
        <f t="array" ref="AK40">AK39*AK26</f>
        <v/>
      </c>
      <c r="AL40" s="2278">
        <f t="array" ref="AL40">AL39*AL26</f>
        <v/>
      </c>
      <c r="AM40" s="2278">
        <f t="array" ref="AM40">AM39*AM26</f>
        <v/>
      </c>
      <c r="AN40" s="2278">
        <f t="array" ref="AN40">AN39*AN26</f>
        <v/>
      </c>
      <c r="AO40" s="701" t="n"/>
      <c r="AP40" s="701" t="n"/>
      <c r="AQ40" s="1005" t="inlineStr">
        <is>
          <t>Text_523</t>
        </is>
      </c>
      <c r="AR40" s="1095" t="n"/>
      <c r="AS40" s="2277" t="n"/>
      <c r="AT40" s="2278" t="n"/>
      <c r="AU40" s="2278" t="n"/>
      <c r="AV40" s="2278" t="n"/>
      <c r="AW40" s="2278" t="n"/>
      <c r="AX40" s="2278">
        <f t="array" ref="AX40">AX39*AX26</f>
        <v/>
      </c>
      <c r="AY40" s="2278">
        <f t="array" ref="AY40">AY39*AY26</f>
        <v/>
      </c>
      <c r="AZ40" s="2278">
        <f t="array" ref="AZ40">AZ39*AZ26</f>
        <v/>
      </c>
      <c r="BA40" s="2278">
        <f t="array" ref="BA40">BA39*BA26</f>
        <v/>
      </c>
      <c r="BB40" s="701" t="n"/>
      <c r="BC40" s="30" t="n"/>
    </row>
    <row r="41" ht="12.75" customHeight="1" s="1676">
      <c r="A41" s="967" t="n"/>
      <c r="B41" s="2279">
        <f t="array" ref="B41">C3</f>
        <v/>
      </c>
      <c r="C41" s="1099" t="n"/>
      <c r="D41" s="1099" t="n"/>
      <c r="E41" s="1099" t="n"/>
      <c r="F41" s="701" t="n"/>
      <c r="G41" s="1100" t="inlineStr">
        <is>
          <t>Text_483</t>
        </is>
      </c>
      <c r="H41" s="1100" t="inlineStr">
        <is>
          <t>Text_484</t>
        </is>
      </c>
      <c r="I41" s="1100" t="inlineStr">
        <is>
          <t>Text_485</t>
        </is>
      </c>
      <c r="J41" s="701" t="n"/>
      <c r="K41" s="1005" t="inlineStr">
        <is>
          <t>Text_524</t>
        </is>
      </c>
      <c r="L41" s="2280" t="n"/>
      <c r="M41" s="2280" t="n"/>
      <c r="N41" s="2280" t="n"/>
      <c r="O41" s="2281" t="n"/>
      <c r="P41" s="2276" t="n"/>
      <c r="Q41" s="1013" t="inlineStr">
        <is>
          <t>Text_525</t>
        </is>
      </c>
      <c r="R41" s="1103" t="n"/>
      <c r="S41" s="1104" t="n"/>
      <c r="T41" s="1105" t="n"/>
      <c r="U41" s="1105" t="n"/>
      <c r="V41" s="1105" t="n"/>
      <c r="W41" s="1105" t="n"/>
      <c r="X41" s="1105">
        <f t="array" ref="X41">X40/$C$3-1</f>
        <v/>
      </c>
      <c r="Y41" s="1105">
        <f t="array" ref="Y41">Y40/$C$3-1</f>
        <v/>
      </c>
      <c r="Z41" s="1105">
        <f t="array" ref="Z41">Z40/$C$3-1</f>
        <v/>
      </c>
      <c r="AA41" s="1105">
        <f t="array" ref="AA41">AA40/$C$3-1</f>
        <v/>
      </c>
      <c r="AB41" s="701" t="n"/>
      <c r="AC41" s="701" t="n"/>
      <c r="AD41" s="1013" t="inlineStr">
        <is>
          <t>Text_525</t>
        </is>
      </c>
      <c r="AE41" s="1103" t="n"/>
      <c r="AF41" s="1104" t="n"/>
      <c r="AG41" s="1105" t="n"/>
      <c r="AH41" s="1105" t="n"/>
      <c r="AI41" s="1105" t="n"/>
      <c r="AJ41" s="1105" t="n"/>
      <c r="AK41" s="1105">
        <f t="array" ref="AK41">AK40/$C$3-1</f>
        <v/>
      </c>
      <c r="AL41" s="1105">
        <f t="array" ref="AL41">AL40/$C$3-1</f>
        <v/>
      </c>
      <c r="AM41" s="1105">
        <f t="array" ref="AM41">AM40/$C$3-1</f>
        <v/>
      </c>
      <c r="AN41" s="1105">
        <f t="array" ref="AN41">AN40/$C$3-1</f>
        <v/>
      </c>
      <c r="AO41" s="701" t="n"/>
      <c r="AP41" s="701" t="n"/>
      <c r="AQ41" s="1013" t="inlineStr">
        <is>
          <t>Text_525</t>
        </is>
      </c>
      <c r="AR41" s="1103" t="n"/>
      <c r="AS41" s="1104" t="n"/>
      <c r="AT41" s="1105" t="n"/>
      <c r="AU41" s="1105" t="n"/>
      <c r="AV41" s="1105" t="n"/>
      <c r="AW41" s="1105" t="n"/>
      <c r="AX41" s="1105">
        <f t="array" ref="AX41">AX40/$C$3-1</f>
        <v/>
      </c>
      <c r="AY41" s="1105">
        <f t="array" ref="AY41">AY40/$C$3-1</f>
        <v/>
      </c>
      <c r="AZ41" s="1105">
        <f t="array" ref="AZ41">AZ40/$C$3-1</f>
        <v/>
      </c>
      <c r="BA41" s="1105">
        <f t="array" ref="BA41">BA40/$C$3-1</f>
        <v/>
      </c>
      <c r="BB41" s="701" t="n"/>
      <c r="BC41" s="30" t="n"/>
    </row>
    <row r="42" ht="12.75" customHeight="1" s="1676">
      <c r="A42" s="967" t="n"/>
      <c r="B42" s="995" t="n"/>
      <c r="C42" s="995" t="n"/>
      <c r="D42" s="995" t="n"/>
      <c r="E42" s="995" t="n"/>
      <c r="F42" s="701" t="n"/>
      <c r="G42" s="995" t="n"/>
      <c r="H42" s="995" t="n"/>
      <c r="I42" s="995" t="n"/>
      <c r="J42" s="701" t="n"/>
      <c r="K42" s="2282" t="n"/>
      <c r="L42" s="1107" t="inlineStr">
        <is>
          <t>Text_526</t>
        </is>
      </c>
      <c r="M42" s="2282" t="n"/>
      <c r="N42" s="2282" t="n"/>
      <c r="O42" s="2251" t="n"/>
      <c r="P42" s="2246" t="n"/>
      <c r="Q42" s="1108" t="inlineStr">
        <is>
          <t>Text_527</t>
        </is>
      </c>
      <c r="R42" s="989" t="n"/>
      <c r="S42" s="2283" t="n"/>
      <c r="T42" s="2259" t="n"/>
      <c r="U42" s="2259" t="n"/>
      <c r="V42" s="2259" t="n"/>
      <c r="W42" s="2259" t="n"/>
      <c r="X42" s="2284">
        <f t="array" ref="X42">X40/X29</f>
        <v/>
      </c>
      <c r="Y42" s="2284">
        <f t="array" ref="Y42">Y40/Y29</f>
        <v/>
      </c>
      <c r="Z42" s="2284">
        <f t="array" ref="Z42">Z40/Z29</f>
        <v/>
      </c>
      <c r="AA42" s="2284">
        <f t="array" ref="AA42">AA40/AA29</f>
        <v/>
      </c>
      <c r="AB42" s="701" t="n"/>
      <c r="AC42" s="701" t="n"/>
      <c r="AD42" s="1108" t="inlineStr">
        <is>
          <t>Text_527</t>
        </is>
      </c>
      <c r="AE42" s="989" t="n"/>
      <c r="AF42" s="2283" t="n"/>
      <c r="AG42" s="2259" t="n"/>
      <c r="AH42" s="2259" t="n"/>
      <c r="AI42" s="2259" t="n"/>
      <c r="AJ42" s="2259" t="n"/>
      <c r="AK42" s="2259">
        <f t="array" ref="AK42">AK40/AK29</f>
        <v/>
      </c>
      <c r="AL42" s="2259">
        <f t="array" ref="AL42">AL40/AL29</f>
        <v/>
      </c>
      <c r="AM42" s="2259">
        <f t="array" ref="AM42">AM40/AM29</f>
        <v/>
      </c>
      <c r="AN42" s="2259">
        <f t="array" ref="AN42">AN40/AN29</f>
        <v/>
      </c>
      <c r="AO42" s="701" t="n"/>
      <c r="AP42" s="701" t="n"/>
      <c r="AQ42" s="1108" t="inlineStr">
        <is>
          <t>Text_527</t>
        </is>
      </c>
      <c r="AR42" s="989" t="n"/>
      <c r="AS42" s="2283" t="n"/>
      <c r="AT42" s="2259" t="n"/>
      <c r="AU42" s="2259" t="n"/>
      <c r="AV42" s="2259" t="n"/>
      <c r="AW42" s="2259" t="n"/>
      <c r="AX42" s="2259">
        <f t="array" ref="AX42">AX40/AX29</f>
        <v/>
      </c>
      <c r="AY42" s="2259">
        <f t="array" ref="AY42">AY40/AY29</f>
        <v/>
      </c>
      <c r="AZ42" s="2259">
        <f t="array" ref="AZ42">AZ40/AZ29</f>
        <v/>
      </c>
      <c r="BA42" s="2259">
        <f t="array" ref="BA42">BA40/BA29</f>
        <v/>
      </c>
      <c r="BB42" s="701" t="n"/>
      <c r="BC42" s="30" t="n"/>
    </row>
    <row r="43" ht="12.75" customHeight="1" s="1676">
      <c r="A43" s="1057" t="n"/>
      <c r="B43" s="1108" t="inlineStr">
        <is>
          <t>Text_528</t>
        </is>
      </c>
      <c r="C43" s="701" t="n"/>
      <c r="D43" s="701" t="n"/>
      <c r="E43" s="701" t="n"/>
      <c r="F43" s="1111" t="n"/>
      <c r="G43" s="2270">
        <f t="array" ref="G43">O7</f>
        <v/>
      </c>
      <c r="H43" s="2270">
        <f t="array" ref="H43">AO7</f>
        <v/>
      </c>
      <c r="I43" s="2270">
        <f t="array" ref="I43">BB7</f>
        <v/>
      </c>
      <c r="J43" s="705" t="n"/>
      <c r="K43" s="1108" t="inlineStr">
        <is>
          <t>Text_529</t>
        </is>
      </c>
      <c r="L43" s="2259" t="n"/>
      <c r="M43" s="2259" t="n"/>
      <c r="N43" s="2285">
        <f t="array" ref="N43">(1/2*E26)+(1/2*D26)</f>
        <v/>
      </c>
      <c r="O43" s="2286" t="n"/>
      <c r="P43" s="2212" t="n"/>
      <c r="Q43" s="906" t="n"/>
      <c r="R43" s="906" t="n"/>
      <c r="S43" s="906" t="n"/>
      <c r="T43" s="701" t="n"/>
      <c r="U43" s="701" t="n"/>
      <c r="V43" s="701" t="n"/>
      <c r="W43" s="701" t="n"/>
      <c r="X43" s="390" t="n"/>
      <c r="Y43" s="390" t="n"/>
      <c r="Z43" s="390" t="n"/>
      <c r="AA43" s="390" t="n"/>
      <c r="AB43" s="701" t="n"/>
      <c r="AC43" s="701" t="n"/>
      <c r="AD43" s="1114" t="n"/>
      <c r="AE43" s="1114" t="n"/>
      <c r="AF43" s="906" t="n"/>
      <c r="AG43" s="701" t="n"/>
      <c r="AH43" s="701" t="n"/>
      <c r="AI43" s="179" t="n"/>
      <c r="AJ43" s="179" t="n"/>
      <c r="AK43" s="179" t="n"/>
      <c r="AL43" s="179" t="n"/>
      <c r="AM43" s="701" t="n"/>
      <c r="AN43" s="701" t="n"/>
      <c r="AO43" s="701" t="n"/>
      <c r="AP43" s="701" t="n"/>
      <c r="AQ43" s="179" t="n"/>
      <c r="AR43" s="179" t="n"/>
      <c r="AS43" s="701" t="n"/>
      <c r="AT43" s="701" t="n"/>
      <c r="AU43" s="701" t="n"/>
      <c r="AV43" s="179" t="n"/>
      <c r="AW43" s="179" t="n"/>
      <c r="AX43" s="179" t="n"/>
      <c r="AY43" s="179" t="n"/>
      <c r="AZ43" s="701" t="n"/>
      <c r="BA43" s="701" t="n"/>
      <c r="BB43" s="701" t="n"/>
      <c r="BC43" s="30" t="n"/>
    </row>
    <row r="44" ht="12.75" customHeight="1" s="1676">
      <c r="A44" s="967" t="n"/>
      <c r="B44" s="1021" t="inlineStr">
        <is>
          <t>Text_530</t>
        </is>
      </c>
      <c r="C44" s="701" t="n"/>
      <c r="D44" s="701" t="n"/>
      <c r="E44" s="701" t="n"/>
      <c r="F44" s="1115" t="n"/>
      <c r="G44" s="2270">
        <f t="array" ref="G44">O9</f>
        <v/>
      </c>
      <c r="H44" s="2270">
        <f t="array" ref="H44">AO9</f>
        <v/>
      </c>
      <c r="I44" s="2270">
        <f t="array" ref="I44">BB9</f>
        <v/>
      </c>
      <c r="J44" s="701" t="n"/>
      <c r="K44" s="1108" t="inlineStr">
        <is>
          <t>Text_531</t>
        </is>
      </c>
      <c r="L44" s="2259" t="n"/>
      <c r="M44" s="2259" t="n"/>
      <c r="N44" s="2285">
        <f t="array" ref="N44">(1/2*F26)+(1/2*E26)</f>
        <v/>
      </c>
      <c r="O44" s="1054">
        <f t="array" ref="O44">N44/N43-1</f>
        <v/>
      </c>
      <c r="P44" s="1054" t="n"/>
      <c r="Q44" s="701" t="n"/>
      <c r="R44" s="701" t="n"/>
      <c r="S44" s="701" t="n"/>
      <c r="T44" s="701" t="n"/>
      <c r="U44" s="701" t="n"/>
      <c r="V44" s="701" t="n"/>
      <c r="W44" s="701" t="n"/>
      <c r="X44" s="701" t="n"/>
      <c r="Y44" s="701" t="n"/>
      <c r="Z44" s="701" t="n"/>
      <c r="AA44" s="701" t="n"/>
      <c r="AB44" s="701" t="n"/>
      <c r="AC44" s="381" t="n"/>
      <c r="AD44" s="1116" t="inlineStr">
        <is>
          <t>Text_532</t>
        </is>
      </c>
      <c r="AE44" s="1117" t="n"/>
      <c r="AF44" s="1118" t="n"/>
      <c r="AG44" s="701" t="n"/>
      <c r="AH44" s="381" t="n"/>
      <c r="AI44" s="1116" t="inlineStr">
        <is>
          <t>Text_533</t>
        </is>
      </c>
      <c r="AJ44" s="1119" t="n"/>
      <c r="AK44" s="1119" t="n"/>
      <c r="AL44" s="1120" t="n"/>
      <c r="AM44" s="1121" t="n"/>
      <c r="AN44" s="938" t="n"/>
      <c r="AO44" s="701" t="n"/>
      <c r="AP44" s="381" t="n"/>
      <c r="AQ44" s="1116" t="inlineStr">
        <is>
          <t>Text_534</t>
        </is>
      </c>
      <c r="AR44" s="1117" t="n"/>
      <c r="AS44" s="456" t="n"/>
      <c r="AT44" s="701" t="n"/>
      <c r="AU44" s="381" t="n"/>
      <c r="AV44" s="1116" t="inlineStr">
        <is>
          <t>Text_535</t>
        </is>
      </c>
      <c r="AW44" s="1119" t="n"/>
      <c r="AX44" s="1119" t="n"/>
      <c r="AY44" s="1120" t="n"/>
      <c r="AZ44" s="1121" t="n"/>
      <c r="BA44" s="938" t="n"/>
      <c r="BB44" s="701" t="n"/>
      <c r="BC44" s="30" t="n"/>
    </row>
    <row r="45" ht="12.75" customHeight="1" s="1676">
      <c r="A45" s="1057" t="n"/>
      <c r="B45" s="1021" t="inlineStr">
        <is>
          <t>Text_536</t>
        </is>
      </c>
      <c r="C45" s="701" t="n"/>
      <c r="D45" s="701" t="n"/>
      <c r="E45" s="701" t="n"/>
      <c r="F45" s="1115" t="n"/>
      <c r="G45" s="2270">
        <f t="array" ref="G45">O12</f>
        <v/>
      </c>
      <c r="H45" s="2270">
        <f t="array" ref="H45">AO12</f>
        <v/>
      </c>
      <c r="I45" s="2270">
        <f t="array" ref="I45">BB12</f>
        <v/>
      </c>
      <c r="J45" s="701" t="n"/>
      <c r="K45" s="1108" t="inlineStr">
        <is>
          <t>Text_537</t>
        </is>
      </c>
      <c r="L45" s="2259" t="n"/>
      <c r="M45" s="2259" t="n"/>
      <c r="N45" s="2285">
        <f t="array" ref="N45">(1/2*G26)+(1/2*F26)</f>
        <v/>
      </c>
      <c r="O45" s="1054">
        <f t="array" ref="O45">N45/N44-1</f>
        <v/>
      </c>
      <c r="P45" s="906" t="n"/>
      <c r="Q45" s="1122" t="inlineStr">
        <is>
          <t>Text_538</t>
        </is>
      </c>
      <c r="R45" s="701" t="n"/>
      <c r="S45" s="701" t="n"/>
      <c r="T45" s="701" t="n"/>
      <c r="U45" s="701" t="n"/>
      <c r="V45" s="701" t="n"/>
      <c r="W45" s="701" t="n"/>
      <c r="X45" s="2287" t="n">
        <v>0</v>
      </c>
      <c r="Y45" s="2288" t="n">
        <v>0</v>
      </c>
      <c r="Z45" s="2283">
        <f t="array" ref="Z45">(AA45+Y45)/2</f>
        <v/>
      </c>
      <c r="AA45" s="2289">
        <f t="array" ref="AA45">R55</f>
        <v/>
      </c>
      <c r="AB45" s="701" t="n"/>
      <c r="AC45" s="381" t="n"/>
      <c r="AD45" s="1126" t="inlineStr">
        <is>
          <t>Text_539</t>
        </is>
      </c>
      <c r="AE45" s="1127">
        <f t="array" ref="AE45">TODAY()</f>
        <v/>
      </c>
      <c r="AF45" s="1118" t="n"/>
      <c r="AG45" s="701" t="n"/>
      <c r="AH45" s="381" t="n"/>
      <c r="AI45" s="1126" t="inlineStr">
        <is>
          <t>Text_540</t>
        </is>
      </c>
      <c r="AJ45" s="266" t="n"/>
      <c r="AK45" s="266" t="n"/>
      <c r="AL45" s="1127">
        <f t="array" ref="AL45">AE45+(2*365)</f>
        <v/>
      </c>
      <c r="AM45" s="1128" t="n"/>
      <c r="AN45" s="1129" t="n"/>
      <c r="AO45" s="701" t="n"/>
      <c r="AP45" s="381" t="n"/>
      <c r="AQ45" s="1126" t="inlineStr">
        <is>
          <t>Text_539</t>
        </is>
      </c>
      <c r="AR45" s="1127">
        <f t="array" ref="AR45">TODAY()</f>
        <v/>
      </c>
      <c r="AS45" s="456" t="n"/>
      <c r="AT45" s="701" t="n"/>
      <c r="AU45" s="381" t="n"/>
      <c r="AV45" s="1126" t="inlineStr">
        <is>
          <t>Text_540</t>
        </is>
      </c>
      <c r="AW45" s="266" t="n"/>
      <c r="AX45" s="266" t="n"/>
      <c r="AY45" s="1127">
        <f t="array" ref="AY45">AR45+(2*365)</f>
        <v/>
      </c>
      <c r="AZ45" s="1128" t="n"/>
      <c r="BA45" s="1129" t="n"/>
      <c r="BB45" s="701" t="n"/>
      <c r="BC45" s="30" t="n"/>
    </row>
    <row r="46" ht="12.75" customHeight="1" s="1676">
      <c r="A46" s="967" t="n"/>
      <c r="B46" s="1108" t="inlineStr">
        <is>
          <t>Text_541</t>
        </is>
      </c>
      <c r="C46" s="701" t="n"/>
      <c r="D46" s="701" t="n"/>
      <c r="E46" s="701" t="n"/>
      <c r="F46" s="1115" t="n"/>
      <c r="G46" s="2290">
        <f t="array" ref="G46">O14</f>
        <v/>
      </c>
      <c r="H46" s="2290">
        <f t="array" ref="H46">AO14</f>
        <v/>
      </c>
      <c r="I46" s="2290">
        <f t="array" ref="I46">BB14</f>
        <v/>
      </c>
      <c r="J46" s="701" t="n"/>
      <c r="K46" s="1108" t="inlineStr">
        <is>
          <t>Text_542</t>
        </is>
      </c>
      <c r="L46" s="2259" t="n"/>
      <c r="M46" s="2259" t="n"/>
      <c r="N46" s="2285">
        <f t="array" ref="N46">(1/2*H26)+(1/2*G26)</f>
        <v/>
      </c>
      <c r="O46" s="1054">
        <f t="array" ref="O46">N46/N45-1</f>
        <v/>
      </c>
      <c r="P46" s="906" t="n"/>
      <c r="Q46" s="1131" t="inlineStr">
        <is>
          <t>Text_543</t>
        </is>
      </c>
      <c r="R46" s="701" t="n"/>
      <c r="S46" s="701" t="n"/>
      <c r="T46" s="701" t="n"/>
      <c r="U46" s="701" t="n"/>
      <c r="V46" s="701" t="n"/>
      <c r="W46" s="390" t="n"/>
      <c r="X46" s="390">
        <f t="array" ref="X46">X39/X45</f>
        <v/>
      </c>
      <c r="Y46" s="390">
        <f t="array" ref="Y46">Y39/Y45</f>
        <v/>
      </c>
      <c r="Z46" s="390">
        <f t="array" ref="Z46">Z39/Z45</f>
        <v/>
      </c>
      <c r="AA46" s="390">
        <f t="array" ref="AA46">Z39/AA45</f>
        <v/>
      </c>
      <c r="AB46" s="701" t="n"/>
      <c r="AC46" s="381" t="n"/>
      <c r="AD46" s="1132" t="inlineStr">
        <is>
          <t>Text_544</t>
        </is>
      </c>
      <c r="AE46" s="1133">
        <f t="array" ref="AE46">R52</f>
        <v/>
      </c>
      <c r="AF46" s="1118" t="n"/>
      <c r="AG46" s="701" t="n"/>
      <c r="AH46" s="381" t="n"/>
      <c r="AI46" s="1134" t="inlineStr">
        <is>
          <t>Text_545</t>
        </is>
      </c>
      <c r="AJ46" s="701" t="n"/>
      <c r="AK46" s="701" t="n"/>
      <c r="AL46" s="2291">
        <f t="array" ref="AL46">365-AL47</f>
        <v/>
      </c>
      <c r="AM46" s="2292" t="n"/>
      <c r="AN46" s="2293" t="n"/>
      <c r="AO46" s="701" t="n"/>
      <c r="AP46" s="381" t="n"/>
      <c r="AQ46" s="1132" t="inlineStr">
        <is>
          <t>Text_544</t>
        </is>
      </c>
      <c r="AR46" s="1133">
        <f t="array" ref="AR46">AE46</f>
        <v/>
      </c>
      <c r="AS46" s="456" t="n"/>
      <c r="AT46" s="701" t="n"/>
      <c r="AU46" s="381" t="n"/>
      <c r="AV46" s="1134" t="inlineStr">
        <is>
          <t>Text_545</t>
        </is>
      </c>
      <c r="AW46" s="701" t="n"/>
      <c r="AX46" s="701" t="n"/>
      <c r="AY46" s="2291">
        <f t="array" ref="AY46">365-AY47</f>
        <v/>
      </c>
      <c r="AZ46" s="2292" t="n"/>
      <c r="BA46" s="2293" t="n"/>
      <c r="BB46" s="701" t="n"/>
      <c r="BC46" s="30" t="n"/>
    </row>
    <row r="47" ht="12.75" customHeight="1" s="1676">
      <c r="A47" s="967" t="n"/>
      <c r="B47" s="1021" t="inlineStr">
        <is>
          <t>Text_546</t>
        </is>
      </c>
      <c r="C47" s="701" t="n"/>
      <c r="D47" s="701" t="n"/>
      <c r="E47" s="701" t="n"/>
      <c r="F47" s="1115" t="n"/>
      <c r="G47" s="2270">
        <f t="array" ref="G47">O19</f>
        <v/>
      </c>
      <c r="H47" s="2270">
        <f t="array" ref="H47">AO19</f>
        <v/>
      </c>
      <c r="I47" s="2270">
        <f t="array" ref="I47">BB19</f>
        <v/>
      </c>
      <c r="J47" s="1750">
        <f t="array" ref="J47">N47/L47-1</f>
        <v/>
      </c>
      <c r="K47" s="1108" t="inlineStr">
        <is>
          <t>Text_547</t>
        </is>
      </c>
      <c r="L47" s="2294" t="n">
        <v>28.6437034629134</v>
      </c>
      <c r="M47" s="2294" t="n"/>
      <c r="N47" s="2285">
        <f t="array" ref="N47">(1/2*I26)+(1/2*H26)</f>
        <v/>
      </c>
      <c r="O47" s="1054">
        <f t="array" ref="O47">N47/N46-1</f>
        <v/>
      </c>
      <c r="P47" s="2295">
        <f t="array" ref="P47">$C$3/N47</f>
        <v/>
      </c>
      <c r="Q47" s="701" t="n"/>
      <c r="R47" s="701" t="n"/>
      <c r="S47" s="701" t="n"/>
      <c r="T47" s="701" t="n"/>
      <c r="U47" s="701" t="n"/>
      <c r="V47" s="701" t="n"/>
      <c r="W47" s="701" t="n"/>
      <c r="X47" s="701" t="n"/>
      <c r="Y47" s="701" t="n"/>
      <c r="Z47" s="701" t="n"/>
      <c r="AA47" s="701" t="n"/>
      <c r="AB47" s="701" t="n"/>
      <c r="AC47" s="381" t="n"/>
      <c r="AD47" s="1126" t="inlineStr">
        <is>
          <t>Text_548</t>
        </is>
      </c>
      <c r="AE47" s="2296">
        <f t="array" ref="AE47">AE64</f>
        <v/>
      </c>
      <c r="AF47" s="1118" t="n"/>
      <c r="AG47" s="701" t="n"/>
      <c r="AH47" s="1141" t="inlineStr">
        <is>
          <t>CY29</t>
        </is>
      </c>
      <c r="AI47" s="1132" t="inlineStr">
        <is>
          <t>Text_549</t>
        </is>
      </c>
      <c r="AJ47" s="179" t="n"/>
      <c r="AK47" s="179" t="n"/>
      <c r="AL47" s="1142">
        <f t="array" ref="AL47">AL45-AK5</f>
        <v/>
      </c>
      <c r="AM47" s="2292" t="n"/>
      <c r="AN47" s="2293" t="n"/>
      <c r="AO47" s="701" t="n"/>
      <c r="AP47" s="381" t="n"/>
      <c r="AQ47" s="1126" t="inlineStr">
        <is>
          <t>Text_548</t>
        </is>
      </c>
      <c r="AR47" s="2296">
        <f t="array" ref="AR47">AR64</f>
        <v/>
      </c>
      <c r="AS47" s="456" t="n"/>
      <c r="AT47" s="701" t="n"/>
      <c r="AU47" s="1141" t="inlineStr">
        <is>
          <t>CY29</t>
        </is>
      </c>
      <c r="AV47" s="1132" t="inlineStr">
        <is>
          <t>Text_549</t>
        </is>
      </c>
      <c r="AW47" s="179" t="n"/>
      <c r="AX47" s="179" t="n"/>
      <c r="AY47" s="1142">
        <f t="array" ref="AY47">AY45-AX5</f>
        <v/>
      </c>
      <c r="AZ47" s="2292" t="n"/>
      <c r="BA47" s="2293" t="n"/>
      <c r="BB47" s="701" t="n"/>
      <c r="BC47" s="30" t="n"/>
    </row>
    <row r="48" ht="12.75" customHeight="1" s="1676">
      <c r="A48" s="967" t="n"/>
      <c r="B48" s="1108" t="inlineStr">
        <is>
          <t>Text_550</t>
        </is>
      </c>
      <c r="C48" s="701" t="n"/>
      <c r="D48" s="701" t="n"/>
      <c r="E48" s="701" t="n"/>
      <c r="F48" s="1115" t="n"/>
      <c r="G48" s="2290">
        <f t="array" ref="G48">O26</f>
        <v/>
      </c>
      <c r="H48" s="2290">
        <f t="array" ref="H48">AO26</f>
        <v/>
      </c>
      <c r="I48" s="2290">
        <f t="array" ref="I48">BB26</f>
        <v/>
      </c>
      <c r="J48" s="1750">
        <f t="array" ref="J48">N48/L48-1</f>
        <v/>
      </c>
      <c r="K48" s="1108" t="inlineStr">
        <is>
          <t>Text_551</t>
        </is>
      </c>
      <c r="L48" s="2294" t="n">
        <v>29.4207818868339</v>
      </c>
      <c r="M48" s="2294">
        <f t="array" ref="M48">N48/L48-1</f>
        <v/>
      </c>
      <c r="N48" s="2285">
        <f t="array" ref="N48">(1/2*J26)+(1/2*I26)</f>
        <v/>
      </c>
      <c r="O48" s="1054">
        <f t="array" ref="O48">N48/N47-1</f>
        <v/>
      </c>
      <c r="P48" s="2295">
        <f t="array" ref="P48">$C$3/N48</f>
        <v/>
      </c>
      <c r="Q48" s="701" t="n"/>
      <c r="R48" s="701" t="n"/>
      <c r="S48" s="701" t="n"/>
      <c r="T48" s="701" t="n"/>
      <c r="U48" s="701" t="n"/>
      <c r="V48" s="701" t="n"/>
      <c r="W48" s="701" t="n"/>
      <c r="X48" s="701" t="n"/>
      <c r="Y48" s="701" t="n"/>
      <c r="Z48" s="701" t="n"/>
      <c r="AA48" s="701" t="n"/>
      <c r="AB48" s="701" t="n"/>
      <c r="AC48" s="381" t="n"/>
      <c r="AD48" s="1143" t="inlineStr">
        <is>
          <t>Text_552</t>
        </is>
      </c>
      <c r="AE48" s="2297">
        <f t="array" ref="AE48">AN39</f>
        <v/>
      </c>
      <c r="AF48" s="1118" t="n"/>
      <c r="AG48" s="701" t="n"/>
      <c r="AH48" s="381" t="n"/>
      <c r="AI48" s="1145" t="inlineStr">
        <is>
          <t>Text_553</t>
        </is>
      </c>
      <c r="AJ48" s="1146" t="n"/>
      <c r="AK48" s="266" t="n"/>
      <c r="AL48" s="2298">
        <f t="array" ref="AL48">((AL46*AK39)+(AL47*AL39))/365</f>
        <v/>
      </c>
      <c r="AM48" s="2283" t="n"/>
      <c r="AN48" s="2259" t="n"/>
      <c r="AO48" s="701" t="n"/>
      <c r="AP48" s="381" t="n"/>
      <c r="AQ48" s="1143" t="inlineStr">
        <is>
          <t>Text_552</t>
        </is>
      </c>
      <c r="AR48" s="2297">
        <f t="array" ref="AR48">BA39</f>
        <v/>
      </c>
      <c r="AS48" s="456" t="n"/>
      <c r="AT48" s="701" t="n"/>
      <c r="AU48" s="381" t="n"/>
      <c r="AV48" s="1148" t="inlineStr">
        <is>
          <t>Text_553</t>
        </is>
      </c>
      <c r="AW48" s="266" t="n"/>
      <c r="AX48" s="266" t="n"/>
      <c r="AY48" s="2298">
        <f t="array" ref="AY48">((AY46*AX39)+(AY47*AY39))/365</f>
        <v/>
      </c>
      <c r="AZ48" s="2283" t="n"/>
      <c r="BA48" s="2259" t="n"/>
      <c r="BB48" s="701" t="n"/>
      <c r="BC48" s="30" t="n"/>
    </row>
    <row r="49" ht="12.75" customHeight="1" s="1676">
      <c r="A49" s="967" t="n"/>
      <c r="B49" s="938" t="n"/>
      <c r="C49" s="701" t="n"/>
      <c r="D49" s="701" t="n"/>
      <c r="E49" s="701" t="n"/>
      <c r="F49" s="1115" t="n"/>
      <c r="G49" s="2290" t="n"/>
      <c r="H49" s="2290" t="n"/>
      <c r="I49" s="2290" t="n"/>
      <c r="J49" s="1750">
        <f t="array" ref="J49">N49/L49-1</f>
        <v/>
      </c>
      <c r="K49" s="1108" t="inlineStr">
        <is>
          <t>Text_554</t>
        </is>
      </c>
      <c r="L49" s="2294" t="n">
        <v>34.4485370316167</v>
      </c>
      <c r="M49" s="2294">
        <f t="array" ref="M49">N49/L49-1</f>
        <v/>
      </c>
      <c r="N49" s="2285">
        <f t="array" ref="N49">(1/2*K26)+(1/2*J26)</f>
        <v/>
      </c>
      <c r="O49" s="1054">
        <f t="array" ref="O49">N49/N48-1</f>
        <v/>
      </c>
      <c r="P49" s="2295">
        <f t="array" ref="P49">$C$3/N49</f>
        <v/>
      </c>
      <c r="Q49" s="179" t="n"/>
      <c r="R49" s="179" t="n"/>
      <c r="S49" s="701" t="n"/>
      <c r="T49" s="701" t="n"/>
      <c r="U49" s="701" t="n"/>
      <c r="V49" s="179" t="n"/>
      <c r="W49" s="179" t="n"/>
      <c r="X49" s="179" t="n"/>
      <c r="Y49" s="179" t="n"/>
      <c r="Z49" s="701" t="n"/>
      <c r="AA49" s="701" t="n"/>
      <c r="AB49" s="701" t="n"/>
      <c r="AC49" s="381" t="n"/>
      <c r="AD49" s="1134" t="inlineStr">
        <is>
          <t>Text_555</t>
        </is>
      </c>
      <c r="AE49" s="2299" t="n">
        <v>15.7055354316781</v>
      </c>
      <c r="AF49" s="1118" t="n"/>
      <c r="AG49" s="701" t="n"/>
      <c r="AH49" s="381" t="n"/>
      <c r="AI49" s="1134" t="inlineStr">
        <is>
          <t>Text_556</t>
        </is>
      </c>
      <c r="AJ49" s="701" t="n"/>
      <c r="AK49" s="701" t="n"/>
      <c r="AL49" s="2299">
        <f t="array" ref="AL49">Y55</f>
        <v/>
      </c>
      <c r="AM49" s="2300" t="n"/>
      <c r="AN49" s="2301" t="n"/>
      <c r="AO49" s="701" t="n"/>
      <c r="AP49" s="381" t="n"/>
      <c r="AQ49" s="1134" t="inlineStr">
        <is>
          <t>Text_555</t>
        </is>
      </c>
      <c r="AR49" s="2299" t="n">
        <v>17.6796605355192</v>
      </c>
      <c r="AS49" s="456" t="n"/>
      <c r="AT49" s="701" t="n"/>
      <c r="AU49" s="381" t="n"/>
      <c r="AV49" s="1134" t="inlineStr">
        <is>
          <t>Text_556</t>
        </is>
      </c>
      <c r="AW49" s="701" t="n"/>
      <c r="AX49" s="701" t="n"/>
      <c r="AY49" s="2299">
        <f t="array" ref="AY49">AL49</f>
        <v/>
      </c>
      <c r="AZ49" s="2300" t="n"/>
      <c r="BA49" s="2301" t="n"/>
      <c r="BB49" s="701" t="n"/>
      <c r="BC49" s="30" t="n"/>
    </row>
    <row r="50" ht="12.75" customHeight="1" s="1676">
      <c r="A50" s="967" t="n"/>
      <c r="B50" s="1021" t="inlineStr">
        <is>
          <t>Text_557</t>
        </is>
      </c>
      <c r="C50" s="701" t="n"/>
      <c r="D50" s="701" t="n"/>
      <c r="E50" s="701" t="n"/>
      <c r="F50" s="1115" t="n"/>
      <c r="G50" s="1152" t="n">
        <v>0.9501336037151989</v>
      </c>
      <c r="H50" s="1152">
        <f t="array" ref="H50">G50</f>
        <v/>
      </c>
      <c r="I50" s="1152">
        <f t="array" ref="I50">H50</f>
        <v/>
      </c>
      <c r="J50" s="701" t="n"/>
      <c r="K50" s="1108" t="inlineStr">
        <is>
          <t>Text_558</t>
        </is>
      </c>
      <c r="L50" s="2290" t="n"/>
      <c r="M50" s="2259" t="n"/>
      <c r="N50" s="2285">
        <f t="array" ref="N50">(1/2*L26)+(1/2*K26)</f>
        <v/>
      </c>
      <c r="O50" s="1054">
        <f t="array" ref="O50">N50/N49-1</f>
        <v/>
      </c>
      <c r="P50" s="2302">
        <f t="array" ref="P50">$C$3/N50</f>
        <v/>
      </c>
      <c r="Q50" s="1116" t="inlineStr">
        <is>
          <t>Text_559</t>
        </is>
      </c>
      <c r="R50" s="1117" t="n"/>
      <c r="S50" s="1118" t="n"/>
      <c r="T50" s="701" t="n"/>
      <c r="U50" s="381" t="n"/>
      <c r="V50" s="1116" t="inlineStr">
        <is>
          <t>Text_560</t>
        </is>
      </c>
      <c r="W50" s="1119" t="n"/>
      <c r="X50" s="1119" t="n"/>
      <c r="Y50" s="1120" t="n"/>
      <c r="Z50" s="1121" t="n"/>
      <c r="AA50" s="938" t="n"/>
      <c r="AB50" s="701" t="n"/>
      <c r="AC50" s="1154" t="n"/>
      <c r="AD50" s="1143" t="inlineStr">
        <is>
          <t>Text_561</t>
        </is>
      </c>
      <c r="AE50" s="1155">
        <f t="array" ref="AE50">AE48/AE49</f>
        <v/>
      </c>
      <c r="AF50" s="1156" t="n"/>
      <c r="AG50" s="701" t="n"/>
      <c r="AH50" s="381" t="n"/>
      <c r="AI50" s="1143" t="inlineStr">
        <is>
          <t>Text_561</t>
        </is>
      </c>
      <c r="AJ50" s="705" t="n"/>
      <c r="AK50" s="705" t="n"/>
      <c r="AL50" s="1155">
        <f t="array" ref="AL50">AL48/AL49</f>
        <v/>
      </c>
      <c r="AM50" s="1157" t="n"/>
      <c r="AN50" s="1158" t="n"/>
      <c r="AO50" s="705" t="n"/>
      <c r="AP50" s="1154" t="n"/>
      <c r="AQ50" s="1143" t="inlineStr">
        <is>
          <t>Text_561</t>
        </is>
      </c>
      <c r="AR50" s="1155">
        <f t="array" ref="AR50">AR48/AR49</f>
        <v/>
      </c>
      <c r="AS50" s="456" t="n"/>
      <c r="AT50" s="701" t="n"/>
      <c r="AU50" s="381" t="n"/>
      <c r="AV50" s="1143" t="inlineStr">
        <is>
          <t>Text_561</t>
        </is>
      </c>
      <c r="AW50" s="701" t="n"/>
      <c r="AX50" s="701" t="n"/>
      <c r="AY50" s="1155">
        <f t="array" ref="AY50">AY48/AY49</f>
        <v/>
      </c>
      <c r="AZ50" s="1157" t="n"/>
      <c r="BA50" s="1158" t="n"/>
      <c r="BB50" s="701" t="n"/>
      <c r="BC50" s="30" t="n"/>
    </row>
    <row r="51" ht="12.75" customHeight="1" s="1676">
      <c r="A51" s="967" t="n"/>
      <c r="B51" s="1108" t="inlineStr">
        <is>
          <t>Text_562</t>
        </is>
      </c>
      <c r="C51" s="701" t="n"/>
      <c r="D51" s="701" t="n"/>
      <c r="E51" s="701" t="n"/>
      <c r="F51" s="1115" t="n"/>
      <c r="G51" s="2259">
        <f t="array" ref="G51">Y54</f>
        <v/>
      </c>
      <c r="H51" s="2259">
        <f t="array" ref="H51">AL48</f>
        <v/>
      </c>
      <c r="I51" s="2259">
        <f t="array" ref="I51">AY48</f>
        <v/>
      </c>
      <c r="J51" s="701" t="n"/>
      <c r="K51" s="1108" t="inlineStr">
        <is>
          <t>Text_563</t>
        </is>
      </c>
      <c r="L51" s="2259" t="n"/>
      <c r="M51" s="2259" t="n"/>
      <c r="N51" s="2285">
        <f t="array" ref="N51">(1/2*M26)+(1/2*L26)</f>
        <v/>
      </c>
      <c r="O51" s="1054">
        <f t="array" ref="O51">N51/N50-1</f>
        <v/>
      </c>
      <c r="P51" s="2302">
        <f t="array" ref="P51">$C$3/N51</f>
        <v/>
      </c>
      <c r="Q51" s="1126" t="inlineStr">
        <is>
          <t>Text_539</t>
        </is>
      </c>
      <c r="R51" s="1127">
        <f t="array" ref="R51">TODAY()</f>
        <v/>
      </c>
      <c r="S51" s="1118" t="n"/>
      <c r="T51" s="701" t="n"/>
      <c r="U51" s="381" t="n"/>
      <c r="V51" s="1126" t="inlineStr">
        <is>
          <t>Text_540</t>
        </is>
      </c>
      <c r="W51" s="266" t="n"/>
      <c r="X51" s="266" t="n"/>
      <c r="Y51" s="1127">
        <f t="array" ref="Y51">R51+(2*365)</f>
        <v/>
      </c>
      <c r="Z51" s="1128" t="n"/>
      <c r="AA51" s="1129" t="n"/>
      <c r="AB51" s="701" t="n"/>
      <c r="AC51" s="381" t="n"/>
      <c r="AD51" s="1134" t="inlineStr">
        <is>
          <t>Text_564</t>
        </is>
      </c>
      <c r="AE51" s="2303">
        <f t="array" ref="AE51">AE48*AE47</f>
        <v/>
      </c>
      <c r="AF51" s="1118" t="n"/>
      <c r="AG51" s="701" t="n"/>
      <c r="AH51" s="381" t="n"/>
      <c r="AI51" s="1134" t="inlineStr">
        <is>
          <t>Text_565</t>
        </is>
      </c>
      <c r="AJ51" s="701" t="n"/>
      <c r="AK51" s="701" t="n"/>
      <c r="AL51" s="2303">
        <f t="array" ref="AL51">((AK40*AL46)+(AL40*AL47))/365</f>
        <v/>
      </c>
      <c r="AM51" s="2304" t="n"/>
      <c r="AN51" s="2305" t="n"/>
      <c r="AO51" s="701" t="n"/>
      <c r="AP51" s="381" t="n"/>
      <c r="AQ51" s="1134" t="inlineStr">
        <is>
          <t>Text_564</t>
        </is>
      </c>
      <c r="AR51" s="2303">
        <f t="array" ref="AR51">AR48*AR47</f>
        <v/>
      </c>
      <c r="AS51" s="456" t="n"/>
      <c r="AT51" s="701" t="n"/>
      <c r="AU51" s="381" t="n"/>
      <c r="AV51" s="1134" t="inlineStr">
        <is>
          <t>Text_566</t>
        </is>
      </c>
      <c r="AW51" s="701" t="n"/>
      <c r="AX51" s="701" t="n"/>
      <c r="AY51" s="2303">
        <f t="array" ref="AY51">((AX40*AY46)+(AY40*AY47))/365</f>
        <v/>
      </c>
      <c r="AZ51" s="2304" t="n"/>
      <c r="BA51" s="2305" t="n"/>
      <c r="BB51" s="701" t="n"/>
      <c r="BC51" s="30" t="n"/>
    </row>
    <row r="52" ht="12.75" customHeight="1" s="1676">
      <c r="A52" s="967" t="n"/>
      <c r="B52" s="1021" t="inlineStr">
        <is>
          <t>Text_567</t>
        </is>
      </c>
      <c r="C52" s="701" t="n"/>
      <c r="D52" s="701" t="n"/>
      <c r="E52" s="701" t="n"/>
      <c r="F52" s="1115" t="n"/>
      <c r="G52" s="2268">
        <f t="array" ref="G52">Y55</f>
        <v/>
      </c>
      <c r="H52" s="2268">
        <f t="array" ref="H52">AL49</f>
        <v/>
      </c>
      <c r="I52" s="2268">
        <f t="array" ref="I52">AY49</f>
        <v/>
      </c>
      <c r="J52" s="701" t="n"/>
      <c r="K52" s="385" t="inlineStr">
        <is>
          <t>Text_568</t>
        </is>
      </c>
      <c r="L52" s="701" t="n"/>
      <c r="M52" s="701" t="n"/>
      <c r="N52" s="2306">
        <f t="array" ref="N52">N51*(1+M27)</f>
        <v/>
      </c>
      <c r="O52" s="1054">
        <f t="array" ref="O52">N52/N51-1</f>
        <v/>
      </c>
      <c r="P52" s="989" t="n"/>
      <c r="Q52" s="1132" t="inlineStr">
        <is>
          <t>Text_544</t>
        </is>
      </c>
      <c r="R52" s="1133" t="n">
        <v>47118</v>
      </c>
      <c r="S52" s="1118" t="n"/>
      <c r="T52" s="701" t="n"/>
      <c r="U52" s="381" t="n"/>
      <c r="V52" s="1134" t="inlineStr">
        <is>
          <t>Text_545</t>
        </is>
      </c>
      <c r="W52" s="701" t="n"/>
      <c r="X52" s="701" t="n"/>
      <c r="Y52" s="2291">
        <f t="array" ref="Y52">365-Y53</f>
        <v/>
      </c>
      <c r="Z52" s="2292" t="n"/>
      <c r="AA52" s="2293" t="n"/>
      <c r="AB52" s="701" t="n"/>
      <c r="AC52" s="381" t="n"/>
      <c r="AD52" s="1143" t="inlineStr">
        <is>
          <t>Text_525</t>
        </is>
      </c>
      <c r="AE52" s="1163">
        <f t="array" ref="AE52">(AE51)/AE3-1</f>
        <v/>
      </c>
      <c r="AF52" s="1118" t="n"/>
      <c r="AG52" s="701" t="n"/>
      <c r="AH52" s="381" t="n"/>
      <c r="AI52" s="1143" t="inlineStr">
        <is>
          <t>Text_569</t>
        </is>
      </c>
      <c r="AJ52" s="701" t="n"/>
      <c r="AK52" s="701" t="n"/>
      <c r="AL52" s="2307">
        <f t="array" ref="AL52">AL51/AE3-1</f>
        <v/>
      </c>
      <c r="AM52" s="2308" t="n"/>
      <c r="AN52" s="2290" t="n"/>
      <c r="AO52" s="701" t="n"/>
      <c r="AP52" s="381" t="n"/>
      <c r="AQ52" s="1143" t="inlineStr">
        <is>
          <t>Text_525</t>
        </is>
      </c>
      <c r="AR52" s="1163">
        <f t="array" ref="AR52">(AR51)/AR3-1</f>
        <v/>
      </c>
      <c r="AS52" s="456" t="n"/>
      <c r="AT52" s="701" t="n"/>
      <c r="AU52" s="381" t="n"/>
      <c r="AV52" s="1143" t="inlineStr">
        <is>
          <t>Text_569</t>
        </is>
      </c>
      <c r="AW52" s="701" t="n"/>
      <c r="AX52" s="701" t="n"/>
      <c r="AY52" s="1166">
        <f t="array" ref="AY52">AY51/AR3-1</f>
        <v/>
      </c>
      <c r="AZ52" s="1157" t="n"/>
      <c r="BA52" s="1158" t="n"/>
      <c r="BB52" s="701" t="n"/>
      <c r="BC52" s="30" t="n"/>
    </row>
    <row r="53" ht="12.75" customHeight="1" s="1676">
      <c r="A53" s="967" t="n"/>
      <c r="B53" s="1108" t="inlineStr">
        <is>
          <t>Text_570</t>
        </is>
      </c>
      <c r="C53" s="701" t="n"/>
      <c r="D53" s="701" t="n"/>
      <c r="E53" s="701" t="n"/>
      <c r="F53" s="1115" t="n"/>
      <c r="G53" s="1158">
        <f t="array" ref="G53">Y56</f>
        <v/>
      </c>
      <c r="H53" s="1158">
        <f t="array" ref="H53">AL50</f>
        <v/>
      </c>
      <c r="I53" s="1158">
        <f t="array" ref="I53">AY50</f>
        <v/>
      </c>
      <c r="J53" s="701" t="n"/>
      <c r="K53" s="1108" t="inlineStr">
        <is>
          <t>Text_571</t>
        </is>
      </c>
      <c r="L53" s="2259" t="n"/>
      <c r="M53" s="2259" t="n"/>
      <c r="N53" s="2285">
        <f t="array" ref="N53">(1/2*E29)+(1/2*D29)</f>
        <v/>
      </c>
      <c r="O53" s="2281" t="n"/>
      <c r="P53" s="989" t="n"/>
      <c r="Q53" s="1126" t="inlineStr">
        <is>
          <t>Text_548</t>
        </is>
      </c>
      <c r="R53" s="2296">
        <f t="array" ref="R53">N52</f>
        <v/>
      </c>
      <c r="S53" s="1118" t="n"/>
      <c r="T53" s="701" t="n"/>
      <c r="U53" s="1141" t="inlineStr">
        <is>
          <t>CY29</t>
        </is>
      </c>
      <c r="V53" s="1132" t="inlineStr">
        <is>
          <t>Text_549</t>
        </is>
      </c>
      <c r="W53" s="179" t="n"/>
      <c r="X53" s="179" t="n"/>
      <c r="Y53" s="1142">
        <f t="array" ref="Y53">Y51-X5</f>
        <v/>
      </c>
      <c r="Z53" s="2292" t="n"/>
      <c r="AA53" s="2293" t="n"/>
      <c r="AB53" s="701" t="n"/>
      <c r="AC53" s="381" t="n"/>
      <c r="AD53" s="1134" t="inlineStr">
        <is>
          <t>Text_572</t>
        </is>
      </c>
      <c r="AE53" s="2309">
        <f t="array" ref="AE53">(AE46-AE45)/365</f>
        <v/>
      </c>
      <c r="AF53" s="1118" t="n"/>
      <c r="AG53" s="701" t="n"/>
      <c r="AH53" s="381" t="n"/>
      <c r="AI53" s="1132" t="inlineStr">
        <is>
          <t>Text_573</t>
        </is>
      </c>
      <c r="AJ53" s="179" t="n"/>
      <c r="AK53" s="179" t="n"/>
      <c r="AL53" s="2310">
        <f t="array" ref="AL53">AE54</f>
        <v/>
      </c>
      <c r="AM53" s="2269" t="n"/>
      <c r="AN53" s="2270" t="n"/>
      <c r="AO53" s="701" t="n"/>
      <c r="AP53" s="381" t="n"/>
      <c r="AQ53" s="1134" t="inlineStr">
        <is>
          <t>Text_572</t>
        </is>
      </c>
      <c r="AR53" s="2309">
        <f t="array" ref="AR53">(AR46-AR45)/365</f>
        <v/>
      </c>
      <c r="AS53" s="456" t="n"/>
      <c r="AT53" s="701" t="n"/>
      <c r="AU53" s="381" t="n"/>
      <c r="AV53" s="1132" t="inlineStr">
        <is>
          <t>Text_573</t>
        </is>
      </c>
      <c r="AW53" s="179" t="n"/>
      <c r="AX53" s="179" t="n"/>
      <c r="AY53" s="2310">
        <f t="array" ref="AY53">AR54</f>
        <v/>
      </c>
      <c r="AZ53" s="2269" t="n"/>
      <c r="BA53" s="2270" t="n"/>
      <c r="BB53" s="701" t="n"/>
      <c r="BC53" s="30" t="n"/>
    </row>
    <row r="54" ht="12.75" customHeight="1" s="1676">
      <c r="A54" s="967" t="n"/>
      <c r="B54" s="1021" t="inlineStr">
        <is>
          <t>Text_574</t>
        </is>
      </c>
      <c r="C54" s="701" t="n"/>
      <c r="D54" s="701" t="n"/>
      <c r="E54" s="701" t="n"/>
      <c r="F54" s="1115" t="n"/>
      <c r="G54" s="2311">
        <f t="array" ref="G54">Y57</f>
        <v/>
      </c>
      <c r="H54" s="2311">
        <f t="array" ref="H54">AL51</f>
        <v/>
      </c>
      <c r="I54" s="2311">
        <f t="array" ref="I54">AY51</f>
        <v/>
      </c>
      <c r="J54" s="701" t="n"/>
      <c r="K54" s="1108" t="inlineStr">
        <is>
          <t>Text_575</t>
        </is>
      </c>
      <c r="L54" s="2259" t="n"/>
      <c r="M54" s="2259" t="n"/>
      <c r="N54" s="2285">
        <f t="array" ref="N54">(1/2*F29)+(1/2*E29)</f>
        <v/>
      </c>
      <c r="O54" s="906" t="n"/>
      <c r="P54" s="989" t="n"/>
      <c r="Q54" s="1143" t="inlineStr">
        <is>
          <t>Text_552</t>
        </is>
      </c>
      <c r="R54" s="2297">
        <f t="array" ref="R54">AA39</f>
        <v/>
      </c>
      <c r="S54" s="1170" t="n"/>
      <c r="T54" s="1171" t="n"/>
      <c r="U54" s="1172" t="n"/>
      <c r="V54" s="1148" t="inlineStr">
        <is>
          <t>Text_553</t>
        </is>
      </c>
      <c r="W54" s="266" t="n"/>
      <c r="X54" s="266" t="n"/>
      <c r="Y54" s="2298">
        <f t="array" ref="Y54">((Y52*X39)+(Y53*Y39))/365</f>
        <v/>
      </c>
      <c r="Z54" s="2283">
        <f t="array" ref="Z54">R54</f>
        <v/>
      </c>
      <c r="AA54" s="2259" t="n"/>
      <c r="AB54" s="701" t="n"/>
      <c r="AC54" s="381" t="n"/>
      <c r="AD54" s="1134" t="inlineStr">
        <is>
          <t>Text_576</t>
        </is>
      </c>
      <c r="AE54" s="2312">
        <f t="array" ref="AE54">R60</f>
        <v/>
      </c>
      <c r="AF54" s="2222" t="n"/>
      <c r="AG54" s="1750" t="n"/>
      <c r="AH54" s="2313" t="n"/>
      <c r="AI54" s="2314" t="n"/>
      <c r="AJ54" s="266" t="n"/>
      <c r="AK54" s="266" t="n"/>
      <c r="AL54" s="266" t="n"/>
      <c r="AM54" s="701" t="n"/>
      <c r="AN54" s="701" t="n"/>
      <c r="AO54" s="701" t="n"/>
      <c r="AP54" s="381" t="n"/>
      <c r="AQ54" s="1134" t="inlineStr">
        <is>
          <t>Text_576</t>
        </is>
      </c>
      <c r="AR54" s="2312">
        <f t="array" ref="AR54">AE54</f>
        <v/>
      </c>
      <c r="AS54" s="456" t="n"/>
      <c r="AT54" s="701" t="n"/>
      <c r="AU54" s="701" t="n"/>
      <c r="AV54" s="266" t="n"/>
      <c r="AW54" s="266" t="n"/>
      <c r="AX54" s="266" t="n"/>
      <c r="AY54" s="266" t="n"/>
      <c r="AZ54" s="701" t="n"/>
      <c r="BA54" s="701" t="n"/>
      <c r="BB54" s="701" t="n"/>
      <c r="BC54" s="30" t="n"/>
    </row>
    <row r="55" ht="12.75" customHeight="1" s="1676">
      <c r="A55" s="967" t="n"/>
      <c r="B55" s="1108" t="inlineStr">
        <is>
          <t>Text_577</t>
        </is>
      </c>
      <c r="C55" s="701" t="n"/>
      <c r="D55" s="701" t="n"/>
      <c r="E55" s="701" t="n"/>
      <c r="F55" s="1176" t="n"/>
      <c r="G55" s="1177">
        <f t="array" ref="G55">Y58+Y59</f>
        <v/>
      </c>
      <c r="H55" s="1177">
        <f t="array" ref="H55">AL52+AL53</f>
        <v/>
      </c>
      <c r="I55" s="1177">
        <f t="array" ref="I55">AY52+AY53</f>
        <v/>
      </c>
      <c r="J55" s="456" t="n"/>
      <c r="K55" s="1108" t="inlineStr">
        <is>
          <t>Text_578</t>
        </is>
      </c>
      <c r="L55" s="2259" t="n"/>
      <c r="M55" s="2259" t="n"/>
      <c r="N55" s="2285">
        <f t="array" ref="N55">(1/2*G29)+(1/2*F29)</f>
        <v/>
      </c>
      <c r="O55" s="906" t="n"/>
      <c r="P55" s="989" t="n"/>
      <c r="Q55" s="1134" t="inlineStr">
        <is>
          <t>Text_555</t>
        </is>
      </c>
      <c r="R55" s="2299" t="n">
        <v>14.0570829815809</v>
      </c>
      <c r="S55" s="1118" t="n"/>
      <c r="T55" s="701" t="n"/>
      <c r="U55" s="381" t="n"/>
      <c r="V55" s="1134" t="inlineStr">
        <is>
          <t>Text_556</t>
        </is>
      </c>
      <c r="W55" s="701" t="n"/>
      <c r="X55" s="701" t="n"/>
      <c r="Y55" s="2299">
        <f t="array" ref="Y55">((Y52*X45)+(Y53*Y45))/365</f>
        <v/>
      </c>
      <c r="Z55" s="2300">
        <f t="array" ref="Z55">R55</f>
        <v/>
      </c>
      <c r="AA55" s="2301" t="n"/>
      <c r="AB55" s="701" t="n"/>
      <c r="AC55" s="381" t="n"/>
      <c r="AD55" s="1178" t="inlineStr">
        <is>
          <t>Text_579</t>
        </is>
      </c>
      <c r="AE55" s="2315">
        <f t="array" ref="AE55">((AE51/AE3)^(1/AE53)-1)+AE54</f>
        <v/>
      </c>
      <c r="AF55" s="1118" t="n"/>
      <c r="AG55" s="1075" t="n"/>
      <c r="AH55" s="1180" t="n"/>
      <c r="AI55" s="701" t="n"/>
      <c r="AJ55" s="701" t="n"/>
      <c r="AK55" s="701" t="n"/>
      <c r="AL55" s="701" t="n"/>
      <c r="AM55" s="701" t="n"/>
      <c r="AN55" s="701" t="n"/>
      <c r="AO55" s="701" t="n"/>
      <c r="AP55" s="381" t="n"/>
      <c r="AQ55" s="1178" t="inlineStr">
        <is>
          <t>Text_579</t>
        </is>
      </c>
      <c r="AR55" s="1181">
        <f t="array" ref="AR55">((AR51/AR3)^(1/AR53)-1)+AR54</f>
        <v/>
      </c>
      <c r="AS55" s="456" t="n"/>
      <c r="AT55" s="701" t="n"/>
      <c r="AU55" s="701" t="n"/>
      <c r="AV55" s="701" t="n"/>
      <c r="AW55" s="701" t="n"/>
      <c r="AX55" s="701" t="n"/>
      <c r="AY55" s="701" t="n"/>
      <c r="AZ55" s="701" t="n"/>
      <c r="BA55" s="701" t="n"/>
      <c r="BB55" s="701" t="n"/>
      <c r="BC55" s="30" t="n"/>
    </row>
    <row r="56" ht="12.75" customHeight="1" s="1676">
      <c r="A56" s="1057" t="n"/>
      <c r="B56" s="970" t="n"/>
      <c r="C56" s="701" t="n"/>
      <c r="D56" s="701" t="n"/>
      <c r="E56" s="701" t="n"/>
      <c r="F56" s="1115" t="n"/>
      <c r="G56" s="995" t="n"/>
      <c r="H56" s="995" t="n"/>
      <c r="I56" s="995" t="n"/>
      <c r="J56" s="449" t="n"/>
      <c r="K56" s="1108" t="inlineStr">
        <is>
          <t>Text_580</t>
        </is>
      </c>
      <c r="L56" s="2259" t="n"/>
      <c r="M56" s="2259" t="n"/>
      <c r="N56" s="2285">
        <f t="array" ref="N56">(1/2*H29)+(1/2*G29)</f>
        <v/>
      </c>
      <c r="O56" s="906" t="n"/>
      <c r="P56" s="989" t="n"/>
      <c r="Q56" s="1143" t="inlineStr">
        <is>
          <t>Text_561</t>
        </is>
      </c>
      <c r="R56" s="1155">
        <f t="array" ref="R56">R54/R55</f>
        <v/>
      </c>
      <c r="S56" s="1156" t="n"/>
      <c r="T56" s="449" t="n"/>
      <c r="U56" s="678" t="n"/>
      <c r="V56" s="1143" t="inlineStr">
        <is>
          <t>Text_561</t>
        </is>
      </c>
      <c r="W56" s="705" t="n"/>
      <c r="X56" s="705" t="n"/>
      <c r="Y56" s="1155">
        <f t="array" ref="Y56">Y54/Y55</f>
        <v/>
      </c>
      <c r="Z56" s="1182">
        <f t="array" ref="Z56">Z54/Z55</f>
        <v/>
      </c>
      <c r="AA56" s="1157" t="n"/>
      <c r="AB56" s="705" t="n"/>
      <c r="AC56" s="701" t="n"/>
      <c r="AD56" s="266" t="n"/>
      <c r="AE56" s="266" t="n"/>
      <c r="AF56" s="1183" t="n"/>
      <c r="AG56" s="1075" t="n"/>
      <c r="AH56" s="1180" t="n"/>
      <c r="AI56" s="701" t="n"/>
      <c r="AJ56" s="701" t="n"/>
      <c r="AK56" s="701" t="n"/>
      <c r="AL56" s="701" t="n"/>
      <c r="AM56" s="701" t="n"/>
      <c r="AN56" s="701" t="n"/>
      <c r="AO56" s="701" t="n"/>
      <c r="AP56" s="701" t="n"/>
      <c r="AQ56" s="266" t="n"/>
      <c r="AR56" s="266" t="n"/>
      <c r="AS56" s="701" t="n"/>
      <c r="AT56" s="701" t="n"/>
      <c r="AU56" s="701" t="n"/>
      <c r="AV56" s="701" t="n"/>
      <c r="AW56" s="701" t="n"/>
      <c r="AX56" s="701" t="n"/>
      <c r="AY56" s="701" t="n"/>
      <c r="AZ56" s="701" t="n"/>
      <c r="BA56" s="701" t="n"/>
      <c r="BB56" s="701" t="n"/>
      <c r="BC56" s="30" t="n"/>
    </row>
    <row r="57" ht="12.75" customHeight="1" s="1676">
      <c r="A57" s="1057" t="n"/>
      <c r="B57" s="1108" t="inlineStr">
        <is>
          <t>Text_581</t>
        </is>
      </c>
      <c r="C57" s="701" t="n"/>
      <c r="D57" s="701" t="n"/>
      <c r="E57" s="701" t="n"/>
      <c r="F57" s="1115" t="n"/>
      <c r="G57" s="2259">
        <f t="array" ref="G57">R54</f>
        <v/>
      </c>
      <c r="H57" s="2259">
        <f t="array" ref="H57">AE48</f>
        <v/>
      </c>
      <c r="I57" s="2259">
        <f t="array" ref="I57">AR48</f>
        <v/>
      </c>
      <c r="J57" s="449" t="n"/>
      <c r="K57" s="1108" t="inlineStr">
        <is>
          <t>Text_582</t>
        </is>
      </c>
      <c r="L57" s="2259" t="n"/>
      <c r="M57" s="2259" t="n"/>
      <c r="N57" s="2285">
        <f t="array" ref="N57">(1/2*I29)+(1/2*H29)</f>
        <v/>
      </c>
      <c r="O57" s="2281" t="n"/>
      <c r="P57" s="989" t="n"/>
      <c r="Q57" s="1134" t="inlineStr">
        <is>
          <t>Text_564</t>
        </is>
      </c>
      <c r="R57" s="2303">
        <f t="array" ref="R57">R54*R53</f>
        <v/>
      </c>
      <c r="S57" s="1118" t="n"/>
      <c r="T57" s="449" t="n"/>
      <c r="U57" s="678" t="n"/>
      <c r="V57" s="1134" t="inlineStr">
        <is>
          <t>Text_583</t>
        </is>
      </c>
      <c r="W57" s="449" t="n"/>
      <c r="X57" s="449" t="n"/>
      <c r="Y57" s="2303">
        <f t="array" ref="Y57">Y54*(((X26*Y52)+(Y26*Y53))/365)</f>
        <v/>
      </c>
      <c r="Z57" s="2316">
        <f t="array" ref="Z57">Z54*(((X26*Y52)+(Y26*Y53))/365)</f>
        <v/>
      </c>
      <c r="AA57" s="2304" t="n"/>
      <c r="AB57" s="449" t="n"/>
      <c r="AC57" s="701" t="n"/>
      <c r="AD57" s="701" t="n"/>
      <c r="AE57" s="701" t="n"/>
      <c r="AF57" s="1183" t="n"/>
      <c r="AG57" s="701" t="n"/>
      <c r="AH57" s="701" t="n"/>
      <c r="AI57" s="701" t="n"/>
      <c r="AJ57" s="701" t="n"/>
      <c r="AK57" s="701" t="n"/>
      <c r="AL57" s="701" t="n"/>
      <c r="AM57" s="701" t="n"/>
      <c r="AN57" s="701" t="n"/>
      <c r="AO57" s="701" t="n"/>
      <c r="AP57" s="701" t="n"/>
      <c r="AQ57" s="1075" t="n"/>
      <c r="AR57" s="1180" t="n"/>
      <c r="AS57" s="701" t="n"/>
      <c r="AT57" s="701" t="n"/>
      <c r="AU57" s="701" t="n"/>
      <c r="AV57" s="701" t="n"/>
      <c r="AW57" s="701" t="n"/>
      <c r="AX57" s="701" t="n"/>
      <c r="AY57" s="701" t="n"/>
      <c r="AZ57" s="701" t="n"/>
      <c r="BA57" s="701" t="n"/>
      <c r="BB57" s="701" t="n"/>
      <c r="BC57" s="30" t="n"/>
    </row>
    <row r="58" ht="12.75" customHeight="1" s="1676">
      <c r="A58" s="1057" t="n"/>
      <c r="B58" s="1021" t="inlineStr">
        <is>
          <t>Text_584</t>
        </is>
      </c>
      <c r="C58" s="701" t="n"/>
      <c r="D58" s="701" t="n"/>
      <c r="E58" s="701" t="n"/>
      <c r="F58" s="1115" t="n"/>
      <c r="G58" s="2268">
        <f t="array" ref="G58">R55</f>
        <v/>
      </c>
      <c r="H58" s="2268">
        <f t="array" ref="H58">AE49</f>
        <v/>
      </c>
      <c r="I58" s="2268">
        <f t="array" ref="I58">AR49</f>
        <v/>
      </c>
      <c r="J58" s="449" t="n"/>
      <c r="K58" s="1108" t="inlineStr">
        <is>
          <t>Text_585</t>
        </is>
      </c>
      <c r="L58" s="2259" t="n"/>
      <c r="M58" s="2259" t="n"/>
      <c r="N58" s="2285">
        <f t="array" ref="N58">(1/2*J29)+(1/2*I29)</f>
        <v/>
      </c>
      <c r="O58" s="2281" t="n"/>
      <c r="P58" s="989" t="n"/>
      <c r="Q58" s="1143" t="inlineStr">
        <is>
          <t>Text_525</t>
        </is>
      </c>
      <c r="R58" s="1163">
        <f t="array" ref="R58">(R57)/R3-1</f>
        <v/>
      </c>
      <c r="S58" s="1118" t="n"/>
      <c r="T58" s="449" t="n"/>
      <c r="U58" s="678" t="n"/>
      <c r="V58" s="1143" t="inlineStr">
        <is>
          <t>Text_569</t>
        </is>
      </c>
      <c r="W58" s="449" t="n"/>
      <c r="X58" s="449" t="n"/>
      <c r="Y58" s="2307">
        <f t="array" ref="Y58">Y57/R3-1</f>
        <v/>
      </c>
      <c r="Z58" s="2317">
        <f t="array" ref="Z58">Z57/R3-1</f>
        <v/>
      </c>
      <c r="AA58" s="2308" t="n"/>
      <c r="AB58" s="449" t="n"/>
      <c r="AC58" s="701" t="n"/>
      <c r="AD58" s="1186" t="inlineStr">
        <is>
          <t>Text_586</t>
        </is>
      </c>
      <c r="AE58" s="1186" t="inlineStr">
        <is>
          <t>Text_163</t>
        </is>
      </c>
      <c r="AF58" s="1183" t="n"/>
      <c r="AG58" s="701" t="n"/>
      <c r="AH58" s="701" t="n"/>
      <c r="AI58" s="701" t="n"/>
      <c r="AJ58" s="701" t="n"/>
      <c r="AK58" s="701" t="n"/>
      <c r="AL58" s="701" t="n"/>
      <c r="AM58" s="701" t="n"/>
      <c r="AN58" s="701" t="n"/>
      <c r="AO58" s="701" t="n"/>
      <c r="AP58" s="701" t="n"/>
      <c r="AQ58" s="1186" t="inlineStr">
        <is>
          <t>Text_586</t>
        </is>
      </c>
      <c r="AR58" s="1186" t="inlineStr">
        <is>
          <t>Text_164</t>
        </is>
      </c>
      <c r="AS58" s="701" t="n"/>
      <c r="AT58" s="701" t="n"/>
      <c r="AU58" s="701" t="n"/>
      <c r="AV58" s="385" t="inlineStr">
        <is>
          <t>Text_587</t>
        </is>
      </c>
      <c r="AW58" s="701" t="n"/>
      <c r="AX58" s="385" t="inlineStr">
        <is>
          <t>Text_588</t>
        </is>
      </c>
      <c r="AY58" s="385" t="inlineStr">
        <is>
          <t>Text_497</t>
        </is>
      </c>
      <c r="AZ58" s="701" t="n"/>
      <c r="BA58" s="701" t="n"/>
      <c r="BB58" s="701" t="n"/>
      <c r="BC58" s="30" t="n"/>
    </row>
    <row r="59" ht="12.75" customHeight="1" s="1676">
      <c r="A59" s="967" t="n"/>
      <c r="B59" s="1108" t="inlineStr">
        <is>
          <t>Text_570</t>
        </is>
      </c>
      <c r="C59" s="701" t="n"/>
      <c r="D59" s="701" t="n"/>
      <c r="E59" s="701" t="n"/>
      <c r="F59" s="1115" t="n"/>
      <c r="G59" s="1158">
        <f t="array" ref="G59">R56</f>
        <v/>
      </c>
      <c r="H59" s="1158">
        <f t="array" ref="H59">AE50</f>
        <v/>
      </c>
      <c r="I59" s="1158">
        <f t="array" ref="I59">AR50</f>
        <v/>
      </c>
      <c r="J59" s="701" t="n"/>
      <c r="K59" s="1108" t="inlineStr">
        <is>
          <t>Text_589</t>
        </is>
      </c>
      <c r="L59" s="2259" t="n"/>
      <c r="M59" s="2259" t="n"/>
      <c r="N59" s="2285">
        <f t="array" ref="N59">(1/2*K29)+(1/2*J29)</f>
        <v/>
      </c>
      <c r="O59" s="906" t="n"/>
      <c r="P59" s="989" t="n"/>
      <c r="Q59" s="1134" t="inlineStr">
        <is>
          <t>Text_572</t>
        </is>
      </c>
      <c r="R59" s="2309">
        <f t="array" ref="R59">(R52-R51)/365</f>
        <v/>
      </c>
      <c r="S59" s="1118" t="n"/>
      <c r="T59" s="701" t="n"/>
      <c r="U59" s="381" t="n"/>
      <c r="V59" s="1132" t="inlineStr">
        <is>
          <t>Text_573</t>
        </is>
      </c>
      <c r="W59" s="179" t="n"/>
      <c r="X59" s="179" t="n"/>
      <c r="Y59" s="2310">
        <f t="array" ref="Y59">R60</f>
        <v/>
      </c>
      <c r="Z59" s="2269" t="n">
        <v>0.0137825043644827</v>
      </c>
      <c r="AA59" s="2270" t="n"/>
      <c r="AB59" s="701" t="n"/>
      <c r="AC59" s="701" t="n"/>
      <c r="AD59" s="701" t="n">
        <v>1761.27802152795</v>
      </c>
      <c r="AE59" s="2281">
        <f t="array" ref="AE59">(0.5*AI26)+(0.5*AJ26)</f>
        <v/>
      </c>
      <c r="AF59" s="1183" t="n"/>
      <c r="AG59" s="802" t="n"/>
      <c r="AH59" s="701" t="n"/>
      <c r="AI59" s="701" t="n"/>
      <c r="AJ59" s="701" t="n"/>
      <c r="AK59" s="701" t="n"/>
      <c r="AL59" s="701" t="n"/>
      <c r="AM59" s="701" t="n"/>
      <c r="AN59" s="701" t="n"/>
      <c r="AO59" s="701" t="n"/>
      <c r="AP59" s="701" t="n"/>
      <c r="AQ59" s="701" t="n">
        <v>2078.83203659698</v>
      </c>
      <c r="AR59" s="2281">
        <f t="array" ref="AR59">(0.5*AV26)+(0.5*AW26)</f>
        <v/>
      </c>
      <c r="AS59" s="2281">
        <f t="array" ref="AS59">(0.5*AW26)+(0.5*AX26)</f>
        <v/>
      </c>
      <c r="AT59" s="2281">
        <f t="array" ref="AT59">(0.5*AX26)+(0.5*AY26)</f>
        <v/>
      </c>
      <c r="AU59" s="701" t="n">
        <v>2088.21299220951</v>
      </c>
      <c r="AV59" s="2223">
        <f t="array" ref="AV59">(0.5*AV14)+(0.5*AW14)</f>
        <v/>
      </c>
      <c r="AW59" s="2223" t="n"/>
      <c r="AX59" s="2223">
        <f t="array" ref="AX59">(0.5*AV9)+(0.5*AW9)</f>
        <v/>
      </c>
      <c r="AY59" s="390">
        <f t="array" ref="AY59">AX59/AV59</f>
        <v/>
      </c>
      <c r="AZ59" s="701" t="n"/>
      <c r="BA59" s="701" t="n"/>
      <c r="BB59" s="701" t="n"/>
      <c r="BC59" s="30" t="n"/>
    </row>
    <row r="60" ht="12.75" customHeight="1" s="1676">
      <c r="A60" s="967" t="n"/>
      <c r="B60" s="1021" t="inlineStr">
        <is>
          <t>Text_573</t>
        </is>
      </c>
      <c r="C60" s="701" t="n"/>
      <c r="D60" s="701" t="n"/>
      <c r="E60" s="701" t="n"/>
      <c r="F60" s="1187" t="n"/>
      <c r="G60" s="1188">
        <f t="array" ref="G60">R60</f>
        <v/>
      </c>
      <c r="H60" s="2311">
        <f t="array" ref="H60">AE54</f>
        <v/>
      </c>
      <c r="I60" s="1188">
        <f t="array" ref="I60">AR54</f>
        <v/>
      </c>
      <c r="J60" s="802" t="n"/>
      <c r="K60" s="1108" t="inlineStr">
        <is>
          <t>Text_590</t>
        </is>
      </c>
      <c r="L60" s="2259" t="n"/>
      <c r="M60" s="2259" t="n"/>
      <c r="N60" s="2285">
        <f t="array" ref="N60">(1/2*L29)+(1/2*K29)</f>
        <v/>
      </c>
      <c r="O60" s="1183" t="n"/>
      <c r="P60" s="1189" t="n"/>
      <c r="Q60" s="1134" t="inlineStr">
        <is>
          <t>Text_573</t>
        </is>
      </c>
      <c r="R60" s="2312">
        <f t="array" ref="R60">'Model'!BA412</f>
        <v/>
      </c>
      <c r="S60" s="1118" t="n"/>
      <c r="T60" s="701" t="n"/>
      <c r="U60" s="701" t="n"/>
      <c r="V60" s="266" t="n"/>
      <c r="W60" s="266" t="n"/>
      <c r="X60" s="266" t="n"/>
      <c r="Y60" s="266" t="n"/>
      <c r="Z60" s="701" t="n"/>
      <c r="AA60" s="701" t="n"/>
      <c r="AB60" s="701" t="n"/>
      <c r="AC60" s="701" t="n"/>
      <c r="AD60" s="701" t="n">
        <v>2016.5958142607</v>
      </c>
      <c r="AE60" s="2281">
        <f t="array" ref="AE60">(0.5*AJ26)+(0.5*AK26)</f>
        <v/>
      </c>
      <c r="AF60" s="1183" t="n"/>
      <c r="AG60" s="802" t="n"/>
      <c r="AH60" s="701" t="n"/>
      <c r="AI60" s="701" t="n"/>
      <c r="AJ60" s="701" t="n"/>
      <c r="AK60" s="701" t="n"/>
      <c r="AL60" s="701" t="n"/>
      <c r="AM60" s="701" t="n"/>
      <c r="AN60" s="701" t="n"/>
      <c r="AO60" s="701" t="n"/>
      <c r="AP60" s="701" t="n"/>
      <c r="AQ60" s="701" t="n">
        <v>2142.24365134722</v>
      </c>
      <c r="AR60" s="2281">
        <f t="array" ref="AR60">(0.5*AW26)+(0.5*AX26)</f>
        <v/>
      </c>
      <c r="AS60" s="701" t="n"/>
      <c r="AT60" s="701" t="n"/>
      <c r="AU60" s="701" t="n">
        <v>1806.15964789607</v>
      </c>
      <c r="AV60" s="2223">
        <f t="array" ref="AV60">(0.5*AW14)+(0.5*AX14)</f>
        <v/>
      </c>
      <c r="AW60" s="701" t="n"/>
      <c r="AX60" s="2223">
        <f t="array" ref="AX60">(0.5*AW9)+(0.5*AX9)</f>
        <v/>
      </c>
      <c r="AY60" s="390">
        <f t="array" ref="AY60">AX60/AV60</f>
        <v/>
      </c>
      <c r="AZ60" s="701" t="n"/>
      <c r="BA60" s="701" t="n"/>
      <c r="BB60" s="701" t="n"/>
      <c r="BC60" s="30" t="n"/>
    </row>
    <row r="61" ht="12.75" customHeight="1" s="1676">
      <c r="A61" s="967" t="n"/>
      <c r="B61" s="1108" t="inlineStr">
        <is>
          <t>Text_459</t>
        </is>
      </c>
      <c r="C61" s="701" t="n"/>
      <c r="D61" s="701" t="n"/>
      <c r="E61" s="701" t="n"/>
      <c r="F61" s="1190" t="n"/>
      <c r="G61" s="1191">
        <f t="array" ref="G61">R61</f>
        <v/>
      </c>
      <c r="H61" s="1191">
        <f t="array" ref="H61">AE55</f>
        <v/>
      </c>
      <c r="I61" s="1191">
        <f t="array" ref="I61">AR55</f>
        <v/>
      </c>
      <c r="J61" s="801" t="n"/>
      <c r="K61" s="1108" t="inlineStr">
        <is>
          <t>Text_591</t>
        </is>
      </c>
      <c r="L61" s="2259" t="n"/>
      <c r="M61" s="2259" t="n"/>
      <c r="N61" s="2285">
        <f t="array" ref="N61">(1/2*M29)+(1/2*L29)</f>
        <v/>
      </c>
      <c r="O61" s="1192">
        <f t="array" ref="O61">(N61/N56)^(1/5)-1</f>
        <v/>
      </c>
      <c r="P61" s="1193" t="inlineStr">
        <is>
          <t>Text_492</t>
        </is>
      </c>
      <c r="Q61" s="1178" t="inlineStr">
        <is>
          <t>Text_579</t>
        </is>
      </c>
      <c r="R61" s="2315">
        <f t="array" ref="R61">((R57/R3)^(1/R59)-1)+R60</f>
        <v/>
      </c>
      <c r="S61" s="1118" t="n"/>
      <c r="T61" s="701" t="n"/>
      <c r="U61" s="701" t="n"/>
      <c r="V61" s="1194" t="inlineStr">
        <is>
          <t>Text_592</t>
        </is>
      </c>
      <c r="W61" s="1195" t="n">
        <v>1.00702163570357</v>
      </c>
      <c r="X61" s="701" t="n"/>
      <c r="Y61" s="701" t="n"/>
      <c r="Z61" s="701" t="n"/>
      <c r="AA61" s="701" t="n"/>
      <c r="AB61" s="701" t="n"/>
      <c r="AC61" s="701" t="n"/>
      <c r="AD61" s="701" t="n">
        <v>1922.40920605208</v>
      </c>
      <c r="AE61" s="2281">
        <f t="array" ref="AE61">(0.5*AK26)+(0.5*AL26)</f>
        <v/>
      </c>
      <c r="AF61" s="1183" t="n"/>
      <c r="AG61" s="802" t="n"/>
      <c r="AH61" s="701" t="n"/>
      <c r="AI61" s="701" t="n"/>
      <c r="AJ61" s="701" t="n"/>
      <c r="AK61" s="701" t="n"/>
      <c r="AL61" s="701" t="n"/>
      <c r="AM61" s="701" t="n"/>
      <c r="AN61" s="701" t="n"/>
      <c r="AO61" s="701" t="n"/>
      <c r="AP61" s="701" t="n"/>
      <c r="AQ61" s="701" t="n">
        <v>2157.01514720349</v>
      </c>
      <c r="AR61" s="2281">
        <f t="array" ref="AR61">(0.5*AX26)+(0.5*AY26)</f>
        <v/>
      </c>
      <c r="AS61" s="701" t="n"/>
      <c r="AT61" s="701" t="n"/>
      <c r="AU61" s="701" t="n">
        <v>1735.2475595496</v>
      </c>
      <c r="AV61" s="2223">
        <f t="array" ref="AV61">(0.5*AX14)+(0.5*AY14)</f>
        <v/>
      </c>
      <c r="AW61" s="701" t="n"/>
      <c r="AX61" s="2223">
        <f t="array" ref="AX61">(0.5*AX9)+(0.5*AY9)</f>
        <v/>
      </c>
      <c r="AY61" s="390">
        <f t="array" ref="AY61">AX61/AV61</f>
        <v/>
      </c>
      <c r="AZ61" s="701" t="n"/>
      <c r="BA61" s="701" t="n"/>
      <c r="BB61" s="701" t="n"/>
      <c r="BC61" s="30" t="n"/>
    </row>
    <row r="62" ht="12.75" customHeight="1" s="1676">
      <c r="A62" s="967" t="n"/>
      <c r="B62" s="1196" t="n"/>
      <c r="C62" s="701" t="n"/>
      <c r="D62" s="701" t="n"/>
      <c r="E62" s="701" t="n"/>
      <c r="F62" s="1197" t="n"/>
      <c r="G62" s="1198" t="n"/>
      <c r="H62" s="1199" t="n"/>
      <c r="I62" s="1199" t="n"/>
      <c r="J62" s="1183" t="n"/>
      <c r="K62" s="1183" t="n"/>
      <c r="L62" s="1183" t="n"/>
      <c r="M62" s="1183" t="n"/>
      <c r="N62" s="1026">
        <f t="array" ref="N62">N61/54.46-1</f>
        <v/>
      </c>
      <c r="O62" s="1183" t="n"/>
      <c r="P62" s="1183" t="n"/>
      <c r="Q62" s="1200" t="n"/>
      <c r="R62" s="1200" t="n"/>
      <c r="S62" s="1183" t="n"/>
      <c r="T62" s="802" t="n"/>
      <c r="U62" s="802" t="n"/>
      <c r="V62" s="1201" t="inlineStr">
        <is>
          <t>Text_593</t>
        </is>
      </c>
      <c r="W62" s="1180" t="n">
        <v>0.858032773908474</v>
      </c>
      <c r="X62" s="701" t="n"/>
      <c r="Y62" s="701" t="n"/>
      <c r="Z62" s="701" t="n"/>
      <c r="AA62" s="701" t="n"/>
      <c r="AB62" s="701" t="n"/>
      <c r="AC62" s="701" t="n"/>
      <c r="AD62" s="701" t="n">
        <v>1771.8172041448</v>
      </c>
      <c r="AE62" s="2281">
        <f t="array" ref="AE62">(0.5*AL26)+(0.5*AM26)</f>
        <v/>
      </c>
      <c r="AF62" s="1183" t="n"/>
      <c r="AG62" s="802" t="n"/>
      <c r="AH62" s="705" t="n"/>
      <c r="AI62" s="701" t="n"/>
      <c r="AJ62" s="701" t="n"/>
      <c r="AK62" s="701" t="n"/>
      <c r="AL62" s="701" t="n"/>
      <c r="AM62" s="701" t="n"/>
      <c r="AN62" s="701" t="n"/>
      <c r="AO62" s="701" t="n"/>
      <c r="AP62" s="701" t="n"/>
      <c r="AQ62" s="701" t="n">
        <v>1847.52379557367</v>
      </c>
      <c r="AR62" s="2281">
        <f t="array" ref="AR62">(0.5*AY26)+(0.5*AZ26)</f>
        <v/>
      </c>
      <c r="AS62" s="701" t="n"/>
      <c r="AT62" s="701" t="n"/>
      <c r="AU62" s="701" t="n">
        <v>1798.92990610236</v>
      </c>
      <c r="AV62" s="2223">
        <f t="array" ref="AV62">(0.5*AY14)+(0.5*AZ14)</f>
        <v/>
      </c>
      <c r="AW62" s="701" t="n"/>
      <c r="AX62" s="2223">
        <f t="array" ref="AX62">(0.5*AY9)+(0.5*AZ9)</f>
        <v/>
      </c>
      <c r="AY62" s="390">
        <f t="array" ref="AY62">AX62/AV62</f>
        <v/>
      </c>
      <c r="AZ62" s="701" t="n"/>
      <c r="BA62" s="701" t="n"/>
      <c r="BB62" s="701" t="n"/>
      <c r="BC62" s="30" t="n"/>
    </row>
    <row r="63" ht="12.75" customHeight="1" s="1676">
      <c r="A63" s="967" t="n"/>
      <c r="B63" s="861" t="inlineStr">
        <is>
          <t>Text_594</t>
        </is>
      </c>
      <c r="C63" s="701" t="n"/>
      <c r="D63" s="701" t="n"/>
      <c r="E63" s="701" t="n"/>
      <c r="F63" s="701" t="n"/>
      <c r="G63" s="1026">
        <f t="array" ref="G63">I11</f>
        <v/>
      </c>
      <c r="H63" s="1026">
        <f t="array" ref="H63">AJ11</f>
        <v/>
      </c>
      <c r="I63" s="1026">
        <f t="array" ref="I63">AW11</f>
        <v/>
      </c>
      <c r="J63" s="906" t="n"/>
      <c r="K63" s="906" t="n"/>
      <c r="L63" s="906" t="n"/>
      <c r="M63" s="906" t="n"/>
      <c r="N63" s="906" t="n"/>
      <c r="O63" s="906" t="n"/>
      <c r="P63" s="906" t="n"/>
      <c r="Q63" s="802" t="n"/>
      <c r="R63" s="802" t="n"/>
      <c r="S63" s="701" t="n"/>
      <c r="T63" s="802" t="n"/>
      <c r="U63" s="802" t="n"/>
      <c r="V63" s="1201" t="inlineStr">
        <is>
          <t>Text_595</t>
        </is>
      </c>
      <c r="W63" s="1180" t="n">
        <v>1.12052269365953</v>
      </c>
      <c r="X63" s="701" t="n"/>
      <c r="Y63" s="701" t="n"/>
      <c r="Z63" s="701" t="n"/>
      <c r="AA63" s="701" t="n"/>
      <c r="AB63" s="701" t="n"/>
      <c r="AC63" s="701" t="n"/>
      <c r="AD63" s="701" t="n">
        <v>2292.21672390601</v>
      </c>
      <c r="AE63" s="2281">
        <f t="array" ref="AE63">(0.5*AM26)+(0.5*AN26)</f>
        <v/>
      </c>
      <c r="AF63" s="1183" t="n"/>
      <c r="AG63" s="802" t="n"/>
      <c r="AH63" s="705" t="n"/>
      <c r="AI63" s="701" t="n"/>
      <c r="AJ63" s="701" t="n"/>
      <c r="AK63" s="701" t="n"/>
      <c r="AL63" s="701" t="n"/>
      <c r="AM63" s="701" t="n"/>
      <c r="AN63" s="701" t="n"/>
      <c r="AO63" s="701" t="n"/>
      <c r="AP63" s="701" t="n"/>
      <c r="AQ63" s="701" t="n">
        <v>1854.16597888651</v>
      </c>
      <c r="AR63" s="2281">
        <f t="array" ref="AR63">(0.5*AZ26)+(0.5*BA26)</f>
        <v/>
      </c>
      <c r="AS63" s="701" t="n"/>
      <c r="AT63" s="701" t="n"/>
      <c r="AU63" s="701" t="n">
        <v>2374.48281184844</v>
      </c>
      <c r="AV63" s="2223">
        <f t="array" ref="AV63">(0.5*AZ14)+(0.5*BA14)</f>
        <v/>
      </c>
      <c r="AW63" s="701" t="n"/>
      <c r="AX63" s="2223">
        <f t="array" ref="AX63">(0.5*AZ9)+(0.5*BA9)</f>
        <v/>
      </c>
      <c r="AY63" s="390">
        <f t="array" ref="AY63">AX63/AV63</f>
        <v/>
      </c>
      <c r="AZ63" s="701" t="n"/>
      <c r="BA63" s="701" t="n"/>
      <c r="BB63" s="701" t="n"/>
      <c r="BC63" s="30" t="n"/>
    </row>
    <row r="64" ht="12.75" customHeight="1" s="1676">
      <c r="A64" s="967" t="n"/>
      <c r="B64" s="861" t="inlineStr">
        <is>
          <t>Text_596</t>
        </is>
      </c>
      <c r="C64" s="1202" t="n"/>
      <c r="D64" s="1202" t="n">
        <v>0</v>
      </c>
      <c r="E64" s="1202" t="n">
        <v>0</v>
      </c>
      <c r="F64" s="906" t="n"/>
      <c r="G64" s="1026">
        <f t="array" ref="G64">L11</f>
        <v/>
      </c>
      <c r="H64" s="1026">
        <f t="array" ref="H64">AM11</f>
        <v/>
      </c>
      <c r="I64" s="1026">
        <f t="array" ref="I64">AZ11</f>
        <v/>
      </c>
      <c r="J64" s="906" t="n"/>
      <c r="K64" s="1021" t="inlineStr">
        <is>
          <t>Text_597</t>
        </is>
      </c>
      <c r="L64" s="906" t="n"/>
      <c r="M64" s="906" t="n"/>
      <c r="N64" s="2293">
        <f t="array" ref="N64">(1/2*I14)+(1/2*H14)</f>
        <v/>
      </c>
      <c r="O64" s="906" t="n"/>
      <c r="P64" s="906" t="n"/>
      <c r="Q64" s="802" t="n"/>
      <c r="R64" s="802" t="n"/>
      <c r="S64" s="802" t="n"/>
      <c r="T64" s="802" t="n"/>
      <c r="U64" s="802" t="n"/>
      <c r="V64" s="701" t="n"/>
      <c r="W64" s="1180" t="n"/>
      <c r="X64" s="701" t="n"/>
      <c r="Y64" s="701" t="n"/>
      <c r="Z64" s="701" t="n"/>
      <c r="AA64" s="701" t="n"/>
      <c r="AB64" s="701" t="n"/>
      <c r="AC64" s="701" t="n"/>
      <c r="AD64" s="701" t="n">
        <v>2410.39236797016</v>
      </c>
      <c r="AE64" s="2306">
        <f t="array" ref="AE64">AE63*(1+AN27)</f>
        <v/>
      </c>
      <c r="AF64" s="1183" t="n"/>
      <c r="AG64" s="802" t="n"/>
      <c r="AH64" s="701" t="n"/>
      <c r="AI64" s="701" t="n"/>
      <c r="AJ64" s="701" t="n"/>
      <c r="AK64" s="701" t="n"/>
      <c r="AL64" s="701" t="n"/>
      <c r="AM64" s="701" t="n"/>
      <c r="AN64" s="701" t="n"/>
      <c r="AO64" s="701" t="n"/>
      <c r="AP64" s="701" t="n"/>
      <c r="AQ64" s="701" t="n">
        <v>2086.83499740095</v>
      </c>
      <c r="AR64" s="2306">
        <f t="array" ref="AR64">AR63*(1+BA27)</f>
        <v/>
      </c>
      <c r="AS64" s="701" t="n"/>
      <c r="AT64" s="701" t="n"/>
      <c r="AU64" s="701" t="n"/>
      <c r="AV64" s="701" t="n"/>
      <c r="AW64" s="701" t="n"/>
      <c r="AX64" s="701" t="n"/>
      <c r="AY64" s="701" t="n"/>
      <c r="AZ64" s="701" t="n"/>
      <c r="BA64" s="701" t="n"/>
      <c r="BB64" s="701" t="n"/>
      <c r="BC64" s="30" t="n"/>
    </row>
    <row r="65" ht="12.75" customHeight="1" s="1676">
      <c r="A65" s="967" t="n"/>
      <c r="B65" s="970" t="n"/>
      <c r="C65" s="1129" t="n"/>
      <c r="D65" s="906" t="n"/>
      <c r="E65" s="906" t="n"/>
      <c r="F65" s="970" t="n"/>
      <c r="G65" s="970" t="n"/>
      <c r="H65" s="906" t="n"/>
      <c r="I65" s="906" t="n"/>
      <c r="J65" s="906" t="n"/>
      <c r="K65" s="1021" t="inlineStr">
        <is>
          <t>Text_598</t>
        </is>
      </c>
      <c r="L65" s="906" t="n"/>
      <c r="M65" s="906" t="n"/>
      <c r="N65" s="2293">
        <f t="array" ref="N65">(1/2*J14)+(1/2*I14)</f>
        <v/>
      </c>
      <c r="O65" s="906" t="n"/>
      <c r="P65" s="970" t="n"/>
      <c r="Q65" s="701" t="n"/>
      <c r="R65" s="701" t="n"/>
      <c r="S65" s="802" t="n"/>
      <c r="T65" s="970" t="n"/>
      <c r="U65" s="701" t="n"/>
      <c r="V65" s="701" t="n"/>
      <c r="W65" s="701" t="n"/>
      <c r="X65" s="701" t="n"/>
      <c r="Y65" s="701" t="n"/>
      <c r="Z65" s="1203" t="n"/>
      <c r="AA65" s="1203" t="n"/>
      <c r="AB65" s="701" t="n"/>
      <c r="AC65" s="701" t="n"/>
      <c r="AD65" s="701" t="n"/>
      <c r="AE65" s="701" t="n"/>
      <c r="AF65" s="1183" t="n"/>
      <c r="AG65" s="802" t="n"/>
      <c r="AH65" s="701" t="n"/>
      <c r="AI65" s="701" t="n"/>
      <c r="AJ65" s="701" t="n"/>
      <c r="AK65" s="701" t="n"/>
      <c r="AL65" s="701" t="n"/>
      <c r="AM65" s="701" t="n"/>
      <c r="AN65" s="701" t="n"/>
      <c r="AO65" s="701" t="n"/>
      <c r="AP65" s="701" t="n"/>
      <c r="AQ65" s="701" t="n"/>
      <c r="AR65" s="701" t="n"/>
      <c r="AS65" s="701" t="n"/>
      <c r="AT65" s="701" t="n"/>
      <c r="AU65" s="701" t="n"/>
      <c r="AV65" s="701" t="n"/>
      <c r="AW65" s="701" t="n"/>
      <c r="AX65" s="701" t="n"/>
      <c r="AY65" s="701" t="n"/>
      <c r="AZ65" s="701" t="n"/>
      <c r="BA65" s="701" t="n"/>
      <c r="BB65" s="701" t="n"/>
      <c r="BC65" s="30" t="n"/>
    </row>
    <row r="66" ht="12.75" customHeight="1" s="1676">
      <c r="A66" s="967" t="n"/>
      <c r="B66" s="970" t="n"/>
      <c r="C66" s="1129" t="n"/>
      <c r="D66" s="970" t="n"/>
      <c r="E66" s="970" t="n"/>
      <c r="F66" s="970" t="n"/>
      <c r="G66" s="970" t="n"/>
      <c r="H66" s="970" t="n"/>
      <c r="I66" s="970" t="n"/>
      <c r="J66" s="970" t="n"/>
      <c r="K66" s="1021" t="inlineStr">
        <is>
          <t>Text_599</t>
        </is>
      </c>
      <c r="L66" s="970" t="n"/>
      <c r="M66" s="970" t="n"/>
      <c r="N66" s="2293">
        <f t="array" ref="N66">(1/2*K14)+(1/2*J14)</f>
        <v/>
      </c>
      <c r="O66" s="906" t="n"/>
      <c r="P66" s="970" t="n"/>
      <c r="Q66" s="701" t="n"/>
      <c r="R66" s="701" t="n"/>
      <c r="S66" s="906" t="n"/>
      <c r="T66" s="970" t="n"/>
      <c r="U66" s="701" t="n"/>
      <c r="V66" s="1183" t="n"/>
      <c r="W66" s="1180" t="n"/>
      <c r="X66" s="1204" t="n"/>
      <c r="Y66" s="1204" t="n"/>
      <c r="Z66" s="1204" t="n"/>
      <c r="AA66" s="1204" t="n"/>
      <c r="AB66" s="701" t="n"/>
      <c r="AC66" s="701" t="n"/>
      <c r="AD66" s="701" t="n"/>
      <c r="AE66" s="701" t="n"/>
      <c r="AF66" s="1183" t="n"/>
      <c r="AG66" s="802" t="n"/>
      <c r="AH66" s="701" t="n"/>
      <c r="AI66" s="701" t="n"/>
      <c r="AJ66" s="701" t="n"/>
      <c r="AK66" s="701" t="n"/>
      <c r="AL66" s="701" t="n"/>
      <c r="AM66" s="701" t="n"/>
      <c r="AN66" s="701" t="n"/>
      <c r="AO66" s="701" t="n"/>
      <c r="AP66" s="701" t="n"/>
      <c r="AQ66" s="701" t="n"/>
      <c r="AR66" s="701" t="n"/>
      <c r="AS66" s="701" t="n"/>
      <c r="AT66" s="701" t="n"/>
      <c r="AU66" s="701" t="n"/>
      <c r="AV66" s="701" t="n"/>
      <c r="AW66" s="701" t="n"/>
      <c r="AX66" s="701" t="n"/>
      <c r="AY66" s="701" t="n"/>
      <c r="AZ66" s="701" t="n"/>
      <c r="BA66" s="701" t="n"/>
      <c r="BB66" s="701" t="n"/>
      <c r="BC66" s="30" t="n"/>
    </row>
    <row r="67" ht="12.75" customHeight="1" s="1676">
      <c r="A67" s="967" t="n"/>
      <c r="B67" s="970" t="n"/>
      <c r="C67" s="1129" t="n"/>
      <c r="D67" s="970" t="n"/>
      <c r="E67" s="970" t="n"/>
      <c r="F67" s="970" t="n"/>
      <c r="G67" s="970" t="n"/>
      <c r="H67" s="970" t="n"/>
      <c r="I67" s="970" t="n"/>
      <c r="J67" s="970" t="n"/>
      <c r="K67" s="1021" t="inlineStr">
        <is>
          <t>Text_600</t>
        </is>
      </c>
      <c r="L67" s="970" t="n"/>
      <c r="M67" s="970" t="n"/>
      <c r="N67" s="2293">
        <f t="array" ref="N67">(1/2*L14)+(1/2*K14)</f>
        <v/>
      </c>
      <c r="O67" s="906" t="n"/>
      <c r="P67" s="970" t="n"/>
      <c r="Q67" s="701" t="n"/>
      <c r="R67" s="701" t="n"/>
      <c r="S67" s="970" t="n"/>
      <c r="T67" s="970" t="n"/>
      <c r="U67" s="906" t="n"/>
      <c r="V67" s="1183" t="n"/>
      <c r="W67" s="1180" t="n"/>
      <c r="X67" s="2318" t="n"/>
      <c r="Y67" s="2318" t="n"/>
      <c r="Z67" s="2318" t="n"/>
      <c r="AA67" s="2318" t="n"/>
      <c r="AB67" s="701" t="n"/>
      <c r="AC67" s="701" t="n"/>
      <c r="AD67" s="701" t="n"/>
      <c r="AE67" s="701" t="n"/>
      <c r="AF67" s="701" t="n"/>
      <c r="AG67" s="701" t="n"/>
      <c r="AH67" s="701" t="n"/>
      <c r="AI67" s="701" t="n"/>
      <c r="AJ67" s="701" t="n"/>
      <c r="AK67" s="701" t="n"/>
      <c r="AL67" s="701" t="n"/>
      <c r="AM67" s="701" t="n"/>
      <c r="AN67" s="701" t="n"/>
      <c r="AO67" s="701" t="n"/>
      <c r="AP67" s="701" t="n"/>
      <c r="AQ67" s="701" t="n"/>
      <c r="AR67" s="701" t="n"/>
      <c r="AS67" s="701" t="n"/>
      <c r="AT67" s="701" t="n"/>
      <c r="AU67" s="701" t="n"/>
      <c r="AV67" s="701" t="n"/>
      <c r="AW67" s="701" t="n"/>
      <c r="AX67" s="701" t="n"/>
      <c r="AY67" s="701" t="n"/>
      <c r="AZ67" s="701" t="n"/>
      <c r="BA67" s="701" t="n"/>
      <c r="BB67" s="701" t="n"/>
      <c r="BC67" s="30" t="n"/>
    </row>
    <row r="68" ht="12.75" customHeight="1" s="1676">
      <c r="A68" s="967" t="n"/>
      <c r="B68" s="970" t="n"/>
      <c r="C68" s="970" t="n"/>
      <c r="D68" s="970" t="n"/>
      <c r="E68" s="970" t="n"/>
      <c r="F68" s="970" t="n"/>
      <c r="G68" s="970" t="n"/>
      <c r="H68" s="970" t="n"/>
      <c r="I68" s="970" t="n"/>
      <c r="J68" s="970" t="n"/>
      <c r="K68" s="970" t="n"/>
      <c r="L68" s="970" t="n"/>
      <c r="M68" s="970" t="n"/>
      <c r="N68" s="970" t="n"/>
      <c r="O68" s="970" t="n"/>
      <c r="P68" s="1075" t="n"/>
      <c r="Q68" s="701" t="n"/>
      <c r="R68" s="701" t="n"/>
      <c r="S68" s="970" t="n"/>
      <c r="T68" s="970" t="n"/>
      <c r="U68" s="906" t="n"/>
      <c r="V68" s="1183" t="n"/>
      <c r="W68" s="1180" t="n"/>
      <c r="X68" s="1152" t="n"/>
      <c r="Y68" s="1152" t="n"/>
      <c r="Z68" s="1152" t="n"/>
      <c r="AA68" s="1152" t="n"/>
      <c r="AB68" s="701" t="n"/>
      <c r="AC68" s="701" t="n"/>
      <c r="AD68" s="701" t="n"/>
      <c r="AE68" s="701" t="n"/>
      <c r="AF68" s="701" t="n"/>
      <c r="AG68" s="701" t="n"/>
      <c r="AH68" s="701" t="n"/>
      <c r="AI68" s="701" t="n"/>
      <c r="AJ68" s="701" t="n"/>
      <c r="AK68" s="701" t="n"/>
      <c r="AL68" s="701" t="n"/>
      <c r="AM68" s="701" t="n"/>
      <c r="AN68" s="701" t="n"/>
      <c r="AO68" s="701" t="n"/>
      <c r="AP68" s="701" t="n"/>
      <c r="AQ68" s="701" t="n"/>
      <c r="AR68" s="701" t="n"/>
      <c r="AS68" s="701" t="n"/>
      <c r="AT68" s="701" t="n"/>
      <c r="AU68" s="701" t="n"/>
      <c r="AV68" s="701" t="n"/>
      <c r="AW68" s="701" t="n"/>
      <c r="AX68" s="701" t="n"/>
      <c r="AY68" s="701" t="n"/>
      <c r="AZ68" s="701" t="n"/>
      <c r="BA68" s="701" t="n"/>
      <c r="BB68" s="701" t="n"/>
      <c r="BC68" s="30" t="n"/>
    </row>
    <row r="69" ht="12.75" customHeight="1" s="1676">
      <c r="A69" s="967" t="n"/>
      <c r="B69" s="970" t="n"/>
      <c r="C69" s="2268" t="n"/>
      <c r="D69" s="1075" t="n"/>
      <c r="E69" s="1075" t="n"/>
      <c r="F69" s="970" t="n"/>
      <c r="G69" s="2268" t="n"/>
      <c r="H69" s="1075" t="n"/>
      <c r="I69" s="1075" t="n"/>
      <c r="J69" s="1075" t="n"/>
      <c r="K69" s="1021" t="inlineStr">
        <is>
          <t>Text_601</t>
        </is>
      </c>
      <c r="L69" s="1075" t="n"/>
      <c r="M69" s="1075" t="n"/>
      <c r="N69" s="2293">
        <f t="array" ref="N69">(1/2*I19)+(1/2*H19)</f>
        <v/>
      </c>
      <c r="O69" s="970" t="n"/>
      <c r="P69" s="970" t="n"/>
      <c r="Q69" s="701" t="n"/>
      <c r="R69" s="701" t="n"/>
      <c r="S69" s="970" t="n"/>
      <c r="T69" s="970" t="n"/>
      <c r="U69" s="2223" t="n"/>
      <c r="V69" s="2223" t="n"/>
      <c r="W69" s="2223" t="n"/>
      <c r="X69" s="970" t="n"/>
      <c r="Y69" s="970" t="n"/>
      <c r="Z69" s="970" t="n"/>
      <c r="AA69" s="970" t="n"/>
      <c r="AB69" s="701" t="n"/>
      <c r="AC69" s="701" t="n"/>
      <c r="AD69" s="701" t="n"/>
      <c r="AE69" s="701" t="n"/>
      <c r="AF69" s="970" t="n"/>
      <c r="AG69" s="701" t="n"/>
      <c r="AH69" s="701" t="n"/>
      <c r="AI69" s="701" t="n"/>
      <c r="AJ69" s="701" t="n"/>
      <c r="AK69" s="701" t="n"/>
      <c r="AL69" s="701" t="n"/>
      <c r="AM69" s="701" t="n"/>
      <c r="AN69" s="701" t="n"/>
      <c r="AO69" s="701" t="n"/>
      <c r="AP69" s="701" t="n"/>
      <c r="AQ69" s="701" t="n"/>
      <c r="AR69" s="701" t="n"/>
      <c r="AS69" s="701" t="n"/>
      <c r="AT69" s="701" t="n"/>
      <c r="AU69" s="701" t="n"/>
      <c r="AV69" s="701" t="n"/>
      <c r="AW69" s="701" t="n"/>
      <c r="AX69" s="701" t="n"/>
      <c r="AY69" s="701" t="n"/>
      <c r="AZ69" s="701" t="n"/>
      <c r="BA69" s="701" t="n"/>
      <c r="BB69" s="701" t="n"/>
      <c r="BC69" s="30" t="n"/>
    </row>
    <row r="70" ht="12.75" customHeight="1" s="1676">
      <c r="A70" s="967" t="n"/>
      <c r="B70" s="970" t="n"/>
      <c r="C70" s="2268" t="n"/>
      <c r="D70" s="1075" t="n"/>
      <c r="E70" s="1075" t="n"/>
      <c r="F70" s="970" t="n"/>
      <c r="G70" s="2268" t="n"/>
      <c r="H70" s="1075" t="n"/>
      <c r="I70" s="1075" t="n"/>
      <c r="J70" s="1075" t="n"/>
      <c r="K70" s="1021" t="inlineStr">
        <is>
          <t>Text_602</t>
        </is>
      </c>
      <c r="L70" s="1075" t="n"/>
      <c r="M70" s="1075" t="n"/>
      <c r="N70" s="2293">
        <f t="array" ref="N70">(1/2*J19)+(1/2*I19)</f>
        <v/>
      </c>
      <c r="O70" s="970" t="n"/>
      <c r="P70" s="970" t="n"/>
      <c r="Q70" s="701" t="n"/>
      <c r="R70" s="701" t="n"/>
      <c r="S70" s="1075" t="n"/>
      <c r="T70" s="970" t="n"/>
      <c r="U70" s="2319" t="n"/>
      <c r="V70" s="2319" t="n"/>
      <c r="W70" s="2319" t="n"/>
      <c r="X70" s="2318" t="n"/>
      <c r="Y70" s="2318" t="n"/>
      <c r="Z70" s="2318" t="n"/>
      <c r="AA70" s="2318" t="n"/>
      <c r="AB70" s="2320" t="n"/>
      <c r="AC70" s="701" t="n"/>
      <c r="AD70" s="970" t="n"/>
      <c r="AE70" s="970" t="n"/>
      <c r="AF70" s="970" t="n"/>
      <c r="AG70" s="701" t="n"/>
      <c r="AH70" s="701" t="n"/>
      <c r="AI70" s="701" t="n"/>
      <c r="AJ70" s="701" t="n"/>
      <c r="AK70" s="701" t="n"/>
      <c r="AL70" s="701" t="n"/>
      <c r="AM70" s="701" t="n"/>
      <c r="AN70" s="701" t="n"/>
      <c r="AO70" s="701" t="n"/>
      <c r="AP70" s="701" t="n"/>
      <c r="AQ70" s="701" t="n"/>
      <c r="AR70" s="701" t="n"/>
      <c r="AS70" s="701" t="n"/>
      <c r="AT70" s="701" t="n"/>
      <c r="AU70" s="701" t="n"/>
      <c r="AV70" s="701" t="n"/>
      <c r="AW70" s="701" t="n"/>
      <c r="AX70" s="701" t="n"/>
      <c r="AY70" s="701" t="n"/>
      <c r="AZ70" s="701" t="n"/>
      <c r="BA70" s="701" t="n"/>
      <c r="BB70" s="701" t="n"/>
      <c r="BC70" s="30" t="n"/>
    </row>
    <row r="71" ht="12.75" customHeight="1" s="1676">
      <c r="A71" s="967" t="n"/>
      <c r="B71" s="970" t="n"/>
      <c r="C71" s="2268" t="n"/>
      <c r="D71" s="1075" t="n"/>
      <c r="E71" s="1075" t="n"/>
      <c r="F71" s="970" t="n"/>
      <c r="G71" s="2268" t="n"/>
      <c r="H71" s="1075" t="n"/>
      <c r="I71" s="1075" t="n"/>
      <c r="J71" s="1075" t="n"/>
      <c r="K71" s="1021" t="inlineStr">
        <is>
          <t>Text_603</t>
        </is>
      </c>
      <c r="L71" s="1075" t="n"/>
      <c r="M71" s="1075" t="n"/>
      <c r="N71" s="2293">
        <f t="array" ref="N71">(1/2*K19)+(1/2*J19)</f>
        <v/>
      </c>
      <c r="O71" s="970" t="n"/>
      <c r="P71" s="970" t="n"/>
      <c r="Q71" s="701" t="n"/>
      <c r="R71" s="701" t="n"/>
      <c r="S71" s="970" t="n"/>
      <c r="T71" s="701" t="n"/>
      <c r="U71" s="2223" t="n"/>
      <c r="V71" s="2223" t="n"/>
      <c r="W71" s="2223" t="n"/>
      <c r="X71" s="906" t="n"/>
      <c r="Y71" s="906" t="n"/>
      <c r="Z71" s="906" t="n"/>
      <c r="AA71" s="906" t="n"/>
      <c r="AB71" s="906" t="n"/>
      <c r="AC71" s="701" t="n"/>
      <c r="AD71" s="970" t="n"/>
      <c r="AE71" s="970" t="n"/>
      <c r="AF71" s="970" t="n"/>
      <c r="AG71" s="701" t="n"/>
      <c r="AH71" s="701" t="n"/>
      <c r="AI71" s="701" t="n"/>
      <c r="AJ71" s="701" t="n"/>
      <c r="AK71" s="701" t="n"/>
      <c r="AL71" s="701" t="n"/>
      <c r="AM71" s="701" t="n"/>
      <c r="AN71" s="701" t="n"/>
      <c r="AO71" s="701" t="n"/>
      <c r="AP71" s="701" t="n"/>
      <c r="AQ71" s="701" t="n"/>
      <c r="AR71" s="701" t="n"/>
      <c r="AS71" s="701" t="n"/>
      <c r="AT71" s="701" t="n"/>
      <c r="AU71" s="701" t="n"/>
      <c r="AV71" s="701" t="n"/>
      <c r="AW71" s="701" t="n"/>
      <c r="AX71" s="701" t="n"/>
      <c r="AY71" s="701" t="n"/>
      <c r="AZ71" s="701" t="n"/>
      <c r="BA71" s="701" t="n"/>
      <c r="BB71" s="701" t="n"/>
      <c r="BC71" s="30" t="n"/>
    </row>
    <row r="72" ht="12.75" customHeight="1" s="1676">
      <c r="A72" s="967" t="n"/>
      <c r="B72" s="970" t="n"/>
      <c r="C72" s="2305" t="n"/>
      <c r="D72" s="970" t="n"/>
      <c r="E72" s="970" t="n"/>
      <c r="F72" s="970" t="n"/>
      <c r="G72" s="2305" t="n"/>
      <c r="H72" s="970" t="n"/>
      <c r="I72" s="970" t="n"/>
      <c r="J72" s="970" t="n"/>
      <c r="K72" s="1021" t="inlineStr">
        <is>
          <t>Text_604</t>
        </is>
      </c>
      <c r="L72" s="970" t="n"/>
      <c r="M72" s="970" t="n"/>
      <c r="N72" s="2293">
        <f t="array" ref="N72">(1/2*L19)+(1/2*K19)</f>
        <v/>
      </c>
      <c r="O72" s="1075" t="n"/>
      <c r="P72" s="970" t="n"/>
      <c r="Q72" s="970" t="n"/>
      <c r="R72" s="970" t="n"/>
      <c r="S72" s="970" t="n"/>
      <c r="T72" s="701" t="n"/>
      <c r="U72" s="701" t="n"/>
      <c r="V72" s="701" t="n"/>
      <c r="W72" s="701" t="n"/>
      <c r="X72" s="701" t="n"/>
      <c r="Y72" s="701" t="n"/>
      <c r="Z72" s="701" t="n"/>
      <c r="AA72" s="701" t="n"/>
      <c r="AB72" s="701" t="n"/>
      <c r="AC72" s="701" t="n"/>
      <c r="AD72" s="970" t="n"/>
      <c r="AE72" s="970" t="n"/>
      <c r="AF72" s="970" t="n"/>
      <c r="AG72" s="701" t="n"/>
      <c r="AH72" s="701" t="n"/>
      <c r="AI72" s="701" t="n"/>
      <c r="AJ72" s="701" t="n"/>
      <c r="AK72" s="701" t="n"/>
      <c r="AL72" s="701" t="n"/>
      <c r="AM72" s="701" t="n"/>
      <c r="AN72" s="701" t="n"/>
      <c r="AO72" s="701" t="n"/>
      <c r="AP72" s="701" t="n"/>
      <c r="AQ72" s="701" t="n"/>
      <c r="AR72" s="701" t="n"/>
      <c r="AS72" s="701" t="n"/>
      <c r="AT72" s="701" t="n"/>
      <c r="AU72" s="701" t="n"/>
      <c r="AV72" s="701" t="n"/>
      <c r="AW72" s="701" t="n"/>
      <c r="AX72" s="701" t="n"/>
      <c r="AY72" s="701" t="n"/>
      <c r="AZ72" s="701" t="n"/>
      <c r="BA72" s="701" t="n"/>
      <c r="BB72" s="701" t="n"/>
      <c r="BC72" s="30" t="n"/>
    </row>
    <row r="73" ht="12.75" customHeight="1" s="1676">
      <c r="A73" s="967" t="n"/>
      <c r="B73" s="970" t="n"/>
      <c r="C73" s="1152" t="n"/>
      <c r="D73" s="970" t="n"/>
      <c r="E73" s="970" t="n"/>
      <c r="F73" s="970" t="n"/>
      <c r="G73" s="1152" t="n"/>
      <c r="H73" s="970" t="n"/>
      <c r="I73" s="970" t="n"/>
      <c r="J73" s="970" t="n"/>
      <c r="K73" s="970" t="n"/>
      <c r="L73" s="970" t="n"/>
      <c r="M73" s="970" t="n"/>
      <c r="N73" s="970" t="n"/>
      <c r="O73" s="970" t="n"/>
      <c r="P73" s="970" t="n"/>
      <c r="Q73" s="970" t="n"/>
      <c r="R73" s="970" t="n"/>
      <c r="S73" s="970" t="n"/>
      <c r="T73" s="701" t="n"/>
      <c r="U73" s="701" t="n"/>
      <c r="V73" s="1208" t="n"/>
      <c r="W73" s="701" t="n"/>
      <c r="X73" s="701" t="n"/>
      <c r="Y73" s="701" t="n"/>
      <c r="Z73" s="701" t="n"/>
      <c r="AA73" s="701" t="n"/>
      <c r="AB73" s="701" t="n"/>
      <c r="AC73" s="701" t="n"/>
      <c r="AD73" s="970" t="n"/>
      <c r="AE73" s="970" t="n"/>
      <c r="AF73" s="970" t="n"/>
      <c r="AG73" s="701" t="n"/>
      <c r="AH73" s="701" t="n"/>
      <c r="AI73" s="701" t="n"/>
      <c r="AJ73" s="701" t="n"/>
      <c r="AK73" s="701" t="n"/>
      <c r="AL73" s="701" t="n"/>
      <c r="AM73" s="701" t="n"/>
      <c r="AN73" s="701" t="n"/>
      <c r="AO73" s="701" t="n"/>
      <c r="AP73" s="701" t="n"/>
      <c r="AQ73" s="701" t="n"/>
      <c r="AR73" s="701" t="n"/>
      <c r="AS73" s="701" t="n"/>
      <c r="AT73" s="701" t="n"/>
      <c r="AU73" s="701" t="n"/>
      <c r="AV73" s="701" t="n"/>
      <c r="AW73" s="701" t="n"/>
      <c r="AX73" s="701" t="n"/>
      <c r="AY73" s="701" t="n"/>
      <c r="AZ73" s="701" t="n"/>
      <c r="BA73" s="701" t="n"/>
      <c r="BB73" s="701" t="n"/>
      <c r="BC73" s="30" t="n"/>
    </row>
    <row r="74" ht="12.75" customHeight="1" s="1676">
      <c r="A74" s="967" t="n"/>
      <c r="B74" s="970" t="n"/>
      <c r="C74" s="970" t="n"/>
      <c r="D74" s="970" t="n"/>
      <c r="E74" s="970" t="n"/>
      <c r="F74" s="970" t="n"/>
      <c r="G74" s="970" t="n"/>
      <c r="H74" s="970" t="n"/>
      <c r="I74" s="970" t="n"/>
      <c r="J74" s="970" t="n"/>
      <c r="K74" s="970" t="n"/>
      <c r="L74" s="970" t="n"/>
      <c r="M74" s="970" t="n"/>
      <c r="N74" s="970" t="n"/>
      <c r="O74" s="970" t="n"/>
      <c r="P74" s="970" t="n"/>
      <c r="Q74" s="970" t="n"/>
      <c r="R74" s="970" t="n"/>
      <c r="S74" s="970" t="n"/>
      <c r="T74" s="701" t="n"/>
      <c r="U74" s="701" t="n"/>
      <c r="V74" s="1209" t="n"/>
      <c r="W74" s="701" t="n"/>
      <c r="X74" s="701" t="n"/>
      <c r="Y74" s="701" t="n"/>
      <c r="Z74" s="701" t="n"/>
      <c r="AA74" s="701" t="n"/>
      <c r="AB74" s="701" t="n"/>
      <c r="AC74" s="701" t="n"/>
      <c r="AD74" s="970" t="n"/>
      <c r="AE74" s="970" t="n"/>
      <c r="AF74" s="970" t="n"/>
      <c r="AG74" s="701" t="n"/>
      <c r="AH74" s="701" t="n"/>
      <c r="AI74" s="701" t="n"/>
      <c r="AJ74" s="701" t="n"/>
      <c r="AK74" s="701" t="n"/>
      <c r="AL74" s="701" t="n"/>
      <c r="AM74" s="701" t="n"/>
      <c r="AN74" s="701" t="n"/>
      <c r="AO74" s="701" t="n"/>
      <c r="AP74" s="701" t="n"/>
      <c r="AQ74" s="701" t="n"/>
      <c r="AR74" s="701" t="n"/>
      <c r="AS74" s="701" t="n"/>
      <c r="AT74" s="701" t="n"/>
      <c r="AU74" s="701" t="n"/>
      <c r="AV74" s="701" t="n"/>
      <c r="AW74" s="701" t="n"/>
      <c r="AX74" s="701" t="n"/>
      <c r="AY74" s="701" t="n"/>
      <c r="AZ74" s="701" t="n"/>
      <c r="BA74" s="701" t="n"/>
      <c r="BB74" s="701" t="n"/>
      <c r="BC74" s="30" t="n"/>
    </row>
    <row r="75" ht="12.75" customHeight="1" s="1676">
      <c r="A75" s="967" t="n"/>
      <c r="B75" s="938" t="n"/>
      <c r="C75" s="2321" t="n"/>
      <c r="D75" s="970" t="n"/>
      <c r="E75" s="970" t="n"/>
      <c r="F75" s="970" t="n"/>
      <c r="G75" s="2268" t="n"/>
      <c r="H75" s="970" t="n"/>
      <c r="I75" s="970" t="n"/>
      <c r="J75" s="970" t="n"/>
      <c r="K75" s="970" t="n"/>
      <c r="L75" s="970" t="n"/>
      <c r="M75" s="970" t="n"/>
      <c r="N75" s="970" t="n"/>
      <c r="O75" s="970" t="n"/>
      <c r="P75" s="970" t="n"/>
      <c r="Q75" s="970" t="n"/>
      <c r="R75" s="970" t="n"/>
      <c r="S75" s="970" t="n"/>
      <c r="T75" s="385" t="inlineStr">
        <is>
          <t>Text_605</t>
        </is>
      </c>
      <c r="U75" s="701" t="n"/>
      <c r="V75" s="2322" t="n"/>
      <c r="W75" s="701" t="n"/>
      <c r="X75" s="701" t="n"/>
      <c r="Y75" s="701" t="n"/>
      <c r="Z75" s="701" t="n"/>
      <c r="AA75" s="701" t="n"/>
      <c r="AB75" s="701" t="n"/>
      <c r="AC75" s="701" t="n"/>
      <c r="AD75" s="970" t="n"/>
      <c r="AE75" s="970" t="n"/>
      <c r="AF75" s="970" t="n"/>
      <c r="AG75" s="701" t="n"/>
      <c r="AH75" s="701" t="n"/>
      <c r="AI75" s="701" t="n"/>
      <c r="AJ75" s="701" t="n"/>
      <c r="AK75" s="701" t="n"/>
      <c r="AL75" s="701" t="n"/>
      <c r="AM75" s="701" t="n"/>
      <c r="AN75" s="701" t="n"/>
      <c r="AO75" s="701" t="n"/>
      <c r="AP75" s="701" t="n"/>
      <c r="AQ75" s="701" t="n"/>
      <c r="AR75" s="701" t="n"/>
      <c r="AS75" s="701" t="n"/>
      <c r="AT75" s="701" t="n"/>
      <c r="AU75" s="701" t="n"/>
      <c r="AV75" s="701" t="n"/>
      <c r="AW75" s="701" t="n"/>
      <c r="AX75" s="701" t="n"/>
      <c r="AY75" s="701" t="n"/>
      <c r="AZ75" s="701" t="n"/>
      <c r="BA75" s="701" t="n"/>
      <c r="BB75" s="701" t="n"/>
      <c r="BC75" s="30" t="n"/>
    </row>
    <row r="76" ht="12.75" customHeight="1" s="1676">
      <c r="A76" s="967" t="n"/>
      <c r="B76" s="970" t="n"/>
      <c r="C76" s="1152" t="n"/>
      <c r="D76" s="970" t="n"/>
      <c r="E76" s="970" t="n"/>
      <c r="F76" s="938" t="n"/>
      <c r="G76" s="2321" t="n"/>
      <c r="H76" s="970" t="n"/>
      <c r="I76" s="970" t="n"/>
      <c r="J76" s="970" t="n"/>
      <c r="K76" s="970" t="n"/>
      <c r="L76" s="970" t="n"/>
      <c r="M76" s="970" t="n"/>
      <c r="N76" s="970" t="n"/>
      <c r="O76" s="970" t="n"/>
      <c r="P76" s="970" t="n"/>
      <c r="Q76" s="970" t="n"/>
      <c r="R76" s="970" t="n"/>
      <c r="S76" s="970" t="n"/>
      <c r="T76" s="701" t="n"/>
      <c r="U76" s="701" t="n"/>
      <c r="V76" s="701" t="n"/>
      <c r="W76" s="701" t="n"/>
      <c r="X76" s="701" t="n"/>
      <c r="Y76" s="701" t="n"/>
      <c r="Z76" s="701" t="n"/>
      <c r="AA76" s="701" t="n"/>
      <c r="AB76" s="701" t="n"/>
      <c r="AC76" s="701" t="n"/>
      <c r="AD76" s="970" t="n"/>
      <c r="AE76" s="970" t="n"/>
      <c r="AF76" s="970" t="n"/>
      <c r="AG76" s="701" t="n"/>
      <c r="AH76" s="701" t="n"/>
      <c r="AI76" s="701" t="n"/>
      <c r="AJ76" s="701" t="n"/>
      <c r="AK76" s="701" t="n"/>
      <c r="AL76" s="701" t="n"/>
      <c r="AM76" s="701" t="n"/>
      <c r="AN76" s="701" t="n"/>
      <c r="AO76" s="701" t="n"/>
      <c r="AP76" s="701" t="n"/>
      <c r="AQ76" s="701" t="n"/>
      <c r="AR76" s="701" t="n"/>
      <c r="AS76" s="701" t="n"/>
      <c r="AT76" s="701" t="n"/>
      <c r="AU76" s="701" t="n"/>
      <c r="AV76" s="701" t="n"/>
      <c r="AW76" s="701" t="n"/>
      <c r="AX76" s="701" t="n"/>
      <c r="AY76" s="701" t="n"/>
      <c r="AZ76" s="701" t="n"/>
      <c r="BA76" s="701" t="n"/>
      <c r="BB76" s="701" t="n"/>
      <c r="BC76" s="30" t="n"/>
    </row>
    <row r="77" ht="12.75" customHeight="1" s="1676">
      <c r="A77" s="967" t="n"/>
      <c r="B77" s="701" t="n"/>
      <c r="C77" s="701" t="n"/>
      <c r="D77" s="970" t="n"/>
      <c r="E77" s="970" t="n"/>
      <c r="F77" s="970" t="n"/>
      <c r="G77" s="1152" t="n"/>
      <c r="H77" s="970" t="n"/>
      <c r="I77" s="970" t="n"/>
      <c r="J77" s="970" t="n"/>
      <c r="K77" s="970" t="n"/>
      <c r="L77" s="970" t="n"/>
      <c r="M77" s="970" t="n"/>
      <c r="N77" s="970" t="n"/>
      <c r="O77" s="970" t="n"/>
      <c r="P77" s="970" t="n"/>
      <c r="Q77" s="970" t="n"/>
      <c r="R77" s="970" t="n"/>
      <c r="S77" s="970" t="n"/>
      <c r="T77" s="701" t="n"/>
      <c r="U77" s="701" t="n"/>
      <c r="V77" s="701" t="n"/>
      <c r="W77" s="701" t="n"/>
      <c r="X77" s="701" t="n"/>
      <c r="Y77" s="701" t="n"/>
      <c r="Z77" s="701" t="n"/>
      <c r="AA77" s="701" t="n"/>
      <c r="AB77" s="701" t="n"/>
      <c r="AC77" s="701" t="n"/>
      <c r="AD77" s="970" t="n"/>
      <c r="AE77" s="970" t="n"/>
      <c r="AF77" s="970" t="n"/>
      <c r="AG77" s="701" t="n"/>
      <c r="AH77" s="701" t="n"/>
      <c r="AI77" s="701" t="n"/>
      <c r="AJ77" s="701" t="n"/>
      <c r="AK77" s="701" t="n"/>
      <c r="AL77" s="701" t="n"/>
      <c r="AM77" s="701" t="n"/>
      <c r="AN77" s="701" t="n"/>
      <c r="AO77" s="701" t="n"/>
      <c r="AP77" s="701" t="n"/>
      <c r="AQ77" s="701" t="n"/>
      <c r="AR77" s="701" t="n"/>
      <c r="AS77" s="701" t="n"/>
      <c r="AT77" s="701" t="n"/>
      <c r="AU77" s="701" t="n"/>
      <c r="AV77" s="701" t="n"/>
      <c r="AW77" s="701" t="n"/>
      <c r="AX77" s="701" t="n"/>
      <c r="AY77" s="701" t="n"/>
      <c r="AZ77" s="701" t="n"/>
      <c r="BA77" s="701" t="n"/>
      <c r="BB77" s="701" t="n"/>
      <c r="BC77" s="30" t="n"/>
    </row>
    <row r="78" ht="12.75" customHeight="1" s="1676">
      <c r="A78" s="967" t="n"/>
      <c r="B78" s="701" t="n"/>
      <c r="C78" s="701" t="n"/>
      <c r="D78" s="970" t="n"/>
      <c r="E78" s="970" t="n"/>
      <c r="F78" s="970" t="n"/>
      <c r="G78" s="1152" t="n"/>
      <c r="H78" s="970" t="n"/>
      <c r="I78" s="970" t="n"/>
      <c r="J78" s="970" t="n"/>
      <c r="K78" s="970" t="n"/>
      <c r="L78" s="970" t="n"/>
      <c r="M78" s="970" t="n"/>
      <c r="N78" s="970" t="n"/>
      <c r="O78" s="970" t="n"/>
      <c r="P78" s="970" t="n"/>
      <c r="Q78" s="970" t="n"/>
      <c r="R78" s="970" t="n"/>
      <c r="S78" s="970" t="n"/>
      <c r="T78" s="701" t="n"/>
      <c r="U78" s="701" t="n"/>
      <c r="V78" s="701" t="n"/>
      <c r="W78" s="701" t="n"/>
      <c r="X78" s="701" t="n"/>
      <c r="Y78" s="701" t="n"/>
      <c r="Z78" s="701" t="n"/>
      <c r="AA78" s="701" t="n"/>
      <c r="AB78" s="701" t="n"/>
      <c r="AC78" s="701" t="n"/>
      <c r="AD78" s="970" t="n"/>
      <c r="AE78" s="970" t="n"/>
      <c r="AF78" s="970" t="n"/>
      <c r="AG78" s="701" t="n"/>
      <c r="AH78" s="701" t="n"/>
      <c r="AI78" s="701" t="n"/>
      <c r="AJ78" s="701" t="n"/>
      <c r="AK78" s="701" t="n"/>
      <c r="AL78" s="701" t="n"/>
      <c r="AM78" s="701" t="n"/>
      <c r="AN78" s="701" t="n"/>
      <c r="AO78" s="701" t="n"/>
      <c r="AP78" s="701" t="n"/>
      <c r="AQ78" s="701" t="n"/>
      <c r="AR78" s="701" t="n"/>
      <c r="AS78" s="701" t="n"/>
      <c r="AT78" s="701" t="n"/>
      <c r="AU78" s="701" t="n"/>
      <c r="AV78" s="701" t="n"/>
      <c r="AW78" s="701" t="n"/>
      <c r="AX78" s="701" t="n"/>
      <c r="AY78" s="701" t="n"/>
      <c r="AZ78" s="701" t="n"/>
      <c r="BA78" s="701" t="n"/>
      <c r="BB78" s="701" t="n"/>
      <c r="BC78" s="30" t="n"/>
    </row>
    <row r="79" ht="12.75" customHeight="1" s="1676">
      <c r="A79" s="967" t="n"/>
      <c r="B79" s="701" t="n"/>
      <c r="C79" s="701" t="n"/>
      <c r="D79" s="970" t="n"/>
      <c r="E79" s="970" t="n"/>
      <c r="F79" s="970" t="n"/>
      <c r="G79" s="1152" t="n"/>
      <c r="H79" s="970" t="n"/>
      <c r="I79" s="970" t="n"/>
      <c r="J79" s="970" t="n"/>
      <c r="K79" s="970" t="n"/>
      <c r="L79" s="970" t="n"/>
      <c r="M79" s="970" t="n"/>
      <c r="N79" s="970" t="n"/>
      <c r="O79" s="970" t="n"/>
      <c r="P79" s="970" t="n"/>
      <c r="Q79" s="970" t="n"/>
      <c r="R79" s="970" t="n"/>
      <c r="S79" s="970" t="n"/>
      <c r="T79" s="701" t="n"/>
      <c r="U79" s="701" t="n"/>
      <c r="V79" s="701" t="n"/>
      <c r="W79" s="701" t="n"/>
      <c r="X79" s="701" t="n"/>
      <c r="Y79" s="701" t="n"/>
      <c r="Z79" s="701" t="n"/>
      <c r="AA79" s="701" t="n"/>
      <c r="AB79" s="701" t="n"/>
      <c r="AC79" s="701" t="n"/>
      <c r="AD79" s="970" t="n"/>
      <c r="AE79" s="970" t="n"/>
      <c r="AF79" s="970" t="n"/>
      <c r="AG79" s="701" t="n"/>
      <c r="AH79" s="701" t="n"/>
      <c r="AI79" s="701" t="n"/>
      <c r="AJ79" s="701" t="n"/>
      <c r="AK79" s="701" t="n"/>
      <c r="AL79" s="701" t="n"/>
      <c r="AM79" s="701" t="n"/>
      <c r="AN79" s="701" t="n"/>
      <c r="AO79" s="701" t="n"/>
      <c r="AP79" s="701" t="n"/>
      <c r="AQ79" s="701" t="n"/>
      <c r="AR79" s="701" t="n"/>
      <c r="AS79" s="701" t="n"/>
      <c r="AT79" s="701" t="n"/>
      <c r="AU79" s="701" t="n"/>
      <c r="AV79" s="701" t="n"/>
      <c r="AW79" s="701" t="n"/>
      <c r="AX79" s="701" t="n"/>
      <c r="AY79" s="701" t="n"/>
      <c r="AZ79" s="701" t="n"/>
      <c r="BA79" s="701" t="n"/>
      <c r="BB79" s="701" t="n"/>
      <c r="BC79" s="30" t="n"/>
    </row>
    <row r="80" ht="12.75" customHeight="1" s="1676">
      <c r="A80" s="967" t="n"/>
      <c r="B80" s="701" t="n"/>
      <c r="C80" s="701" t="n"/>
      <c r="D80" s="970" t="n"/>
      <c r="E80" s="970" t="n"/>
      <c r="F80" s="970" t="n"/>
      <c r="G80" s="1152" t="n"/>
      <c r="H80" s="970" t="n"/>
      <c r="I80" s="970" t="n"/>
      <c r="J80" s="970" t="n"/>
      <c r="K80" s="970" t="n"/>
      <c r="L80" s="970" t="n"/>
      <c r="M80" s="970" t="n"/>
      <c r="N80" s="970" t="n"/>
      <c r="O80" s="970" t="n"/>
      <c r="P80" s="970" t="n"/>
      <c r="Q80" s="970" t="n"/>
      <c r="R80" s="970" t="n"/>
      <c r="S80" s="970" t="n"/>
      <c r="T80" s="701" t="n"/>
      <c r="U80" s="701" t="n"/>
      <c r="V80" s="701" t="n"/>
      <c r="W80" s="701" t="n"/>
      <c r="X80" s="701" t="n"/>
      <c r="Y80" s="701" t="n"/>
      <c r="Z80" s="701" t="n"/>
      <c r="AA80" s="701" t="n"/>
      <c r="AB80" s="701" t="n"/>
      <c r="AC80" s="701" t="n"/>
      <c r="AD80" s="970" t="n"/>
      <c r="AE80" s="970" t="n"/>
      <c r="AF80" s="970" t="n"/>
      <c r="AG80" s="701" t="n"/>
      <c r="AH80" s="701" t="n"/>
      <c r="AI80" s="701" t="n"/>
      <c r="AJ80" s="701" t="n"/>
      <c r="AK80" s="701" t="n"/>
      <c r="AL80" s="701" t="n"/>
      <c r="AM80" s="701" t="n"/>
      <c r="AN80" s="701" t="n"/>
      <c r="AO80" s="701" t="n"/>
      <c r="AP80" s="701" t="n"/>
      <c r="AQ80" s="701" t="n"/>
      <c r="AR80" s="701" t="n"/>
      <c r="AS80" s="701" t="n"/>
      <c r="AT80" s="701" t="n"/>
      <c r="AU80" s="701" t="n"/>
      <c r="AV80" s="701" t="n"/>
      <c r="AW80" s="701" t="n"/>
      <c r="AX80" s="701" t="n"/>
      <c r="AY80" s="701" t="n"/>
      <c r="AZ80" s="701" t="n"/>
      <c r="BA80" s="701" t="n"/>
      <c r="BB80" s="701" t="n"/>
      <c r="BC80" s="30" t="n"/>
    </row>
    <row r="81" ht="12.75" customHeight="1" s="1676">
      <c r="A81" s="967" t="n"/>
      <c r="B81" s="701" t="n"/>
      <c r="C81" s="701" t="n"/>
      <c r="D81" s="970" t="n"/>
      <c r="E81" s="970" t="n"/>
      <c r="F81" s="970" t="n"/>
      <c r="G81" s="1152" t="n"/>
      <c r="H81" s="970" t="n"/>
      <c r="I81" s="970" t="n"/>
      <c r="J81" s="970" t="n"/>
      <c r="K81" s="970" t="n"/>
      <c r="L81" s="970" t="n"/>
      <c r="M81" s="970" t="n"/>
      <c r="N81" s="970" t="n"/>
      <c r="O81" s="970" t="n"/>
      <c r="P81" s="970" t="n"/>
      <c r="Q81" s="970" t="n"/>
      <c r="R81" s="970" t="n"/>
      <c r="S81" s="970" t="n"/>
      <c r="T81" s="701" t="n"/>
      <c r="U81" s="701" t="n"/>
      <c r="V81" s="701" t="n"/>
      <c r="W81" s="701" t="n"/>
      <c r="X81" s="701" t="n"/>
      <c r="Y81" s="701" t="n"/>
      <c r="Z81" s="701" t="n"/>
      <c r="AA81" s="701" t="n"/>
      <c r="AB81" s="701" t="n"/>
      <c r="AC81" s="701" t="n"/>
      <c r="AD81" s="970" t="n"/>
      <c r="AE81" s="970" t="n"/>
      <c r="AF81" s="970" t="n"/>
      <c r="AG81" s="701" t="n"/>
      <c r="AH81" s="701" t="n"/>
      <c r="AI81" s="701" t="n"/>
      <c r="AJ81" s="701" t="n"/>
      <c r="AK81" s="701" t="n"/>
      <c r="AL81" s="701" t="n"/>
      <c r="AM81" s="701" t="n"/>
      <c r="AN81" s="701" t="n"/>
      <c r="AO81" s="701" t="n"/>
      <c r="AP81" s="701" t="n"/>
      <c r="AQ81" s="701" t="n"/>
      <c r="AR81" s="701" t="n"/>
      <c r="AS81" s="701" t="n"/>
      <c r="AT81" s="701" t="n"/>
      <c r="AU81" s="701" t="n"/>
      <c r="AV81" s="701" t="n"/>
      <c r="AW81" s="701" t="n"/>
      <c r="AX81" s="701" t="n"/>
      <c r="AY81" s="701" t="n"/>
      <c r="AZ81" s="701" t="n"/>
      <c r="BA81" s="701" t="n"/>
      <c r="BB81" s="701" t="n"/>
      <c r="BC81" s="30" t="n"/>
    </row>
    <row r="82" ht="12.75" customHeight="1" s="1676">
      <c r="A82" s="967" t="n"/>
      <c r="B82" s="701" t="n"/>
      <c r="C82" s="701" t="n"/>
      <c r="D82" s="970" t="n"/>
      <c r="E82" s="970" t="n"/>
      <c r="F82" s="970" t="n"/>
      <c r="G82" s="1152" t="n"/>
      <c r="H82" s="970" t="n"/>
      <c r="I82" s="970" t="n"/>
      <c r="J82" s="970" t="n"/>
      <c r="K82" s="970" t="n"/>
      <c r="L82" s="970" t="n"/>
      <c r="M82" s="970" t="n"/>
      <c r="N82" s="970" t="n"/>
      <c r="O82" s="970" t="n"/>
      <c r="P82" s="970" t="n"/>
      <c r="Q82" s="970" t="n"/>
      <c r="R82" s="970" t="n"/>
      <c r="S82" s="970" t="n"/>
      <c r="T82" s="701" t="n"/>
      <c r="U82" s="701" t="n"/>
      <c r="V82" s="701" t="n"/>
      <c r="W82" s="701" t="n"/>
      <c r="X82" s="701" t="n"/>
      <c r="Y82" s="701" t="n"/>
      <c r="Z82" s="701" t="n"/>
      <c r="AA82" s="701" t="n"/>
      <c r="AB82" s="701" t="n"/>
      <c r="AC82" s="701" t="n"/>
      <c r="AD82" s="970" t="n"/>
      <c r="AE82" s="970" t="n"/>
      <c r="AF82" s="970" t="n"/>
      <c r="AG82" s="701" t="n"/>
      <c r="AH82" s="701" t="n"/>
      <c r="AI82" s="701" t="n"/>
      <c r="AJ82" s="701" t="n"/>
      <c r="AK82" s="701" t="n"/>
      <c r="AL82" s="701" t="n"/>
      <c r="AM82" s="701" t="n"/>
      <c r="AN82" s="701" t="n"/>
      <c r="AO82" s="701" t="n"/>
      <c r="AP82" s="701" t="n"/>
      <c r="AQ82" s="701" t="n"/>
      <c r="AR82" s="701" t="n"/>
      <c r="AS82" s="701" t="n"/>
      <c r="AT82" s="701" t="n"/>
      <c r="AU82" s="701" t="n"/>
      <c r="AV82" s="701" t="n"/>
      <c r="AW82" s="701" t="n"/>
      <c r="AX82" s="701" t="n"/>
      <c r="AY82" s="701" t="n"/>
      <c r="AZ82" s="701" t="n"/>
      <c r="BA82" s="701" t="n"/>
      <c r="BB82" s="701" t="n"/>
      <c r="BC82" s="30" t="n"/>
    </row>
    <row r="83" ht="12.75" customHeight="1" s="1676">
      <c r="A83" s="967" t="n"/>
      <c r="B83" s="701" t="n"/>
      <c r="C83" s="701" t="n"/>
      <c r="D83" s="970" t="n"/>
      <c r="E83" s="970" t="n"/>
      <c r="F83" s="970" t="n"/>
      <c r="G83" s="1152" t="n"/>
      <c r="H83" s="970" t="n"/>
      <c r="I83" s="970" t="n"/>
      <c r="J83" s="970" t="n"/>
      <c r="K83" s="970" t="n"/>
      <c r="L83" s="970" t="n"/>
      <c r="M83" s="970" t="n"/>
      <c r="N83" s="970" t="n"/>
      <c r="O83" s="970" t="n"/>
      <c r="P83" s="970" t="n"/>
      <c r="Q83" s="970" t="n"/>
      <c r="R83" s="970" t="n"/>
      <c r="S83" s="970" t="n"/>
      <c r="T83" s="701" t="n"/>
      <c r="U83" s="701" t="n"/>
      <c r="V83" s="701" t="n"/>
      <c r="W83" s="701" t="n"/>
      <c r="X83" s="701" t="n"/>
      <c r="Y83" s="701" t="n"/>
      <c r="Z83" s="701" t="n"/>
      <c r="AA83" s="701" t="n"/>
      <c r="AB83" s="701" t="n"/>
      <c r="AC83" s="701" t="n"/>
      <c r="AD83" s="970" t="n"/>
      <c r="AE83" s="970" t="n"/>
      <c r="AF83" s="970" t="n"/>
      <c r="AG83" s="701" t="n"/>
      <c r="AH83" s="701" t="n"/>
      <c r="AI83" s="701" t="n"/>
      <c r="AJ83" s="701" t="n"/>
      <c r="AK83" s="701" t="n"/>
      <c r="AL83" s="701" t="n"/>
      <c r="AM83" s="701" t="n"/>
      <c r="AN83" s="701" t="n"/>
      <c r="AO83" s="701" t="n"/>
      <c r="AP83" s="701" t="n"/>
      <c r="AQ83" s="701" t="n"/>
      <c r="AR83" s="701" t="n"/>
      <c r="AS83" s="701" t="n"/>
      <c r="AT83" s="701" t="n"/>
      <c r="AU83" s="701" t="n"/>
      <c r="AV83" s="701" t="n"/>
      <c r="AW83" s="701" t="n"/>
      <c r="AX83" s="701" t="n"/>
      <c r="AY83" s="701" t="n"/>
      <c r="AZ83" s="701" t="n"/>
      <c r="BA83" s="701" t="n"/>
      <c r="BB83" s="701" t="n"/>
      <c r="BC83" s="30" t="n"/>
    </row>
    <row r="84" ht="12.75" customHeight="1" s="1676">
      <c r="A84" s="967" t="n"/>
      <c r="B84" s="701" t="n"/>
      <c r="C84" s="701" t="n"/>
      <c r="D84" s="970" t="n"/>
      <c r="E84" s="970" t="n"/>
      <c r="F84" s="970" t="n"/>
      <c r="G84" s="1152" t="n"/>
      <c r="H84" s="970" t="n"/>
      <c r="I84" s="970" t="n"/>
      <c r="J84" s="970" t="n"/>
      <c r="K84" s="970" t="n"/>
      <c r="L84" s="970" t="n"/>
      <c r="M84" s="970" t="n"/>
      <c r="N84" s="970" t="n"/>
      <c r="O84" s="970" t="n"/>
      <c r="P84" s="970" t="n"/>
      <c r="Q84" s="970" t="n"/>
      <c r="R84" s="970" t="n"/>
      <c r="S84" s="970" t="n"/>
      <c r="T84" s="701" t="n"/>
      <c r="U84" s="701" t="n"/>
      <c r="V84" s="701" t="n"/>
      <c r="W84" s="701" t="n"/>
      <c r="X84" s="701" t="n"/>
      <c r="Y84" s="701" t="n"/>
      <c r="Z84" s="701" t="n"/>
      <c r="AA84" s="701" t="n"/>
      <c r="AB84" s="701" t="n"/>
      <c r="AC84" s="701" t="n"/>
      <c r="AD84" s="970" t="n"/>
      <c r="AE84" s="970" t="n"/>
      <c r="AF84" s="970" t="n"/>
      <c r="AG84" s="701" t="n"/>
      <c r="AH84" s="701" t="n"/>
      <c r="AI84" s="701" t="n"/>
      <c r="AJ84" s="701" t="n"/>
      <c r="AK84" s="701" t="n"/>
      <c r="AL84" s="701" t="n"/>
      <c r="AM84" s="701" t="n"/>
      <c r="AN84" s="701" t="n"/>
      <c r="AO84" s="701" t="n"/>
      <c r="AP84" s="701" t="n"/>
      <c r="AQ84" s="701" t="n"/>
      <c r="AR84" s="701" t="n"/>
      <c r="AS84" s="701" t="n"/>
      <c r="AT84" s="701" t="n"/>
      <c r="AU84" s="701" t="n"/>
      <c r="AV84" s="701" t="n"/>
      <c r="AW84" s="701" t="n"/>
      <c r="AX84" s="701" t="n"/>
      <c r="AY84" s="701" t="n"/>
      <c r="AZ84" s="701" t="n"/>
      <c r="BA84" s="701" t="n"/>
      <c r="BB84" s="701" t="n"/>
      <c r="BC84" s="30" t="n"/>
    </row>
    <row r="85" ht="12.75" customHeight="1" s="1676">
      <c r="A85" s="967" t="n"/>
      <c r="B85" s="701" t="n"/>
      <c r="C85" s="701" t="n"/>
      <c r="D85" s="970" t="n"/>
      <c r="E85" s="970" t="n"/>
      <c r="F85" s="970" t="n"/>
      <c r="G85" s="1152" t="n"/>
      <c r="H85" s="970" t="n"/>
      <c r="I85" s="970" t="n"/>
      <c r="J85" s="970" t="n"/>
      <c r="K85" s="970" t="n"/>
      <c r="L85" s="970" t="n"/>
      <c r="M85" s="970" t="n"/>
      <c r="N85" s="970" t="n"/>
      <c r="O85" s="970" t="n"/>
      <c r="P85" s="970" t="n"/>
      <c r="Q85" s="970" t="n"/>
      <c r="R85" s="970" t="n"/>
      <c r="S85" s="970" t="n"/>
      <c r="T85" s="701" t="n"/>
      <c r="U85" s="701" t="n"/>
      <c r="V85" s="701" t="n"/>
      <c r="W85" s="701" t="n"/>
      <c r="X85" s="701" t="n"/>
      <c r="Y85" s="701" t="n"/>
      <c r="Z85" s="701" t="n"/>
      <c r="AA85" s="701" t="n"/>
      <c r="AB85" s="701" t="n"/>
      <c r="AC85" s="701" t="n"/>
      <c r="AD85" s="970" t="n"/>
      <c r="AE85" s="970" t="n"/>
      <c r="AF85" s="970" t="n"/>
      <c r="AG85" s="701" t="n"/>
      <c r="AH85" s="701" t="n"/>
      <c r="AI85" s="701" t="n"/>
      <c r="AJ85" s="701" t="n"/>
      <c r="AK85" s="701" t="n"/>
      <c r="AL85" s="701" t="n"/>
      <c r="AM85" s="701" t="n"/>
      <c r="AN85" s="701" t="n"/>
      <c r="AO85" s="701" t="n"/>
      <c r="AP85" s="701" t="n"/>
      <c r="AQ85" s="701" t="n"/>
      <c r="AR85" s="701" t="n"/>
      <c r="AS85" s="701" t="n"/>
      <c r="AT85" s="701" t="n"/>
      <c r="AU85" s="701" t="n"/>
      <c r="AV85" s="701" t="n"/>
      <c r="AW85" s="701" t="n"/>
      <c r="AX85" s="701" t="n"/>
      <c r="AY85" s="701" t="n"/>
      <c r="AZ85" s="701" t="n"/>
      <c r="BA85" s="701" t="n"/>
      <c r="BB85" s="701" t="n"/>
      <c r="BC85" s="30" t="n"/>
    </row>
    <row r="86" ht="12.75" customHeight="1" s="1676">
      <c r="A86" s="1212" t="n"/>
      <c r="B86" s="857" t="n"/>
      <c r="C86" s="857" t="n"/>
      <c r="D86" s="1213" t="n"/>
      <c r="E86" s="1213" t="n"/>
      <c r="F86" s="1213" t="n"/>
      <c r="G86" s="1214" t="n"/>
      <c r="H86" s="1213" t="n"/>
      <c r="I86" s="1213" t="n"/>
      <c r="J86" s="1213" t="n"/>
      <c r="K86" s="1213" t="n"/>
      <c r="L86" s="1213" t="n"/>
      <c r="M86" s="1213" t="n"/>
      <c r="N86" s="1213" t="n"/>
      <c r="O86" s="1213" t="n"/>
      <c r="P86" s="1213" t="n"/>
      <c r="Q86" s="1213" t="n"/>
      <c r="R86" s="1213" t="n"/>
      <c r="S86" s="1213" t="n"/>
      <c r="T86" s="857" t="n"/>
      <c r="U86" s="857" t="n"/>
      <c r="V86" s="857" t="n"/>
      <c r="W86" s="857" t="n"/>
      <c r="X86" s="857" t="n"/>
      <c r="Y86" s="857" t="n"/>
      <c r="Z86" s="857" t="n"/>
      <c r="AA86" s="857" t="n"/>
      <c r="AB86" s="857" t="n"/>
      <c r="AC86" s="857" t="n"/>
      <c r="AD86" s="1213" t="n"/>
      <c r="AE86" s="1213" t="n"/>
      <c r="AF86" s="1213" t="n"/>
      <c r="AG86" s="857" t="n"/>
      <c r="AH86" s="857" t="n"/>
      <c r="AI86" s="857" t="n"/>
      <c r="AJ86" s="857" t="n"/>
      <c r="AK86" s="857" t="n"/>
      <c r="AL86" s="857" t="n"/>
      <c r="AM86" s="857" t="n"/>
      <c r="AN86" s="857" t="n"/>
      <c r="AO86" s="857" t="n"/>
      <c r="AP86" s="857" t="n"/>
      <c r="AQ86" s="857" t="n"/>
      <c r="AR86" s="857" t="n"/>
      <c r="AS86" s="857" t="n"/>
      <c r="AT86" s="857" t="n"/>
      <c r="AU86" s="857" t="n"/>
      <c r="AV86" s="857" t="n"/>
      <c r="AW86" s="857" t="n"/>
      <c r="AX86" s="857" t="n"/>
      <c r="AY86" s="857" t="n"/>
      <c r="AZ86" s="857" t="n"/>
      <c r="BA86" s="857" t="n"/>
      <c r="BB86" s="857" t="n"/>
      <c r="BC86" s="859" t="n"/>
    </row>
  </sheetData>
  <mergeCells count="5">
    <mergeCell ref="G2:L2"/>
    <mergeCell ref="AS3:BA3"/>
    <mergeCell ref="S3:AA3"/>
    <mergeCell ref="E3:M3"/>
    <mergeCell ref="AF3:AN3"/>
  </mergeCells>
  <pageMargins left="0.708661" right="0.708661" top="0.748031" bottom="0.748031" header="0.314961" footer="0.314961"/>
  <pageSetup orientation="landscape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55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5.5" customWidth="1" style="1623" min="1" max="1"/>
    <col width="25.3516" customWidth="1" style="1623" min="2" max="2"/>
    <col width="10.6719" customWidth="1" style="1623" min="3" max="3"/>
    <col width="10.8516" customWidth="1" style="1623" min="4" max="7"/>
    <col width="11.8516" customWidth="1" style="1623" min="8" max="42"/>
    <col width="11.5" customWidth="1" style="1623" min="43" max="43"/>
    <col width="8.851559999999999" customWidth="1" style="1623" min="44" max="48"/>
    <col width="8.851559999999999" customWidth="1" style="1623" min="49" max="16384"/>
  </cols>
  <sheetData>
    <row r="1" ht="13.55" customHeight="1" s="1676">
      <c r="A1" s="1216" t="n"/>
      <c r="B1" s="1216" t="n"/>
      <c r="C1" s="1216" t="n"/>
      <c r="D1" s="1216" t="n"/>
      <c r="E1" s="1216" t="n"/>
      <c r="F1" s="1216" t="n"/>
      <c r="G1" s="1216" t="n"/>
      <c r="H1" s="1216" t="n"/>
      <c r="I1" s="1216" t="n"/>
      <c r="J1" s="1216" t="n"/>
      <c r="K1" s="1216" t="n"/>
      <c r="L1" s="1216" t="n"/>
      <c r="M1" s="1216" t="n"/>
      <c r="N1" s="1216" t="n"/>
      <c r="O1" s="1216" t="n"/>
      <c r="P1" s="1216" t="n"/>
      <c r="Q1" s="1216" t="n"/>
      <c r="R1" s="1216" t="n"/>
      <c r="S1" s="1216" t="n"/>
      <c r="T1" s="1216" t="n"/>
      <c r="U1" s="1216" t="n"/>
      <c r="V1" s="1216" t="n"/>
      <c r="W1" s="1216" t="n"/>
      <c r="X1" s="1216" t="n"/>
      <c r="Y1" s="1216" t="n"/>
      <c r="Z1" s="1216" t="n"/>
      <c r="AA1" s="1216" t="n"/>
      <c r="AB1" s="1216" t="n"/>
      <c r="AC1" s="1216" t="n"/>
      <c r="AD1" s="1216" t="n"/>
      <c r="AE1" s="1216" t="n"/>
      <c r="AF1" s="1216" t="n"/>
      <c r="AG1" s="1216" t="n"/>
      <c r="AH1" s="1216" t="n"/>
      <c r="AI1" s="1216" t="n"/>
      <c r="AJ1" s="1216" t="n"/>
      <c r="AK1" s="1216" t="n"/>
      <c r="AL1" s="1216" t="n"/>
      <c r="AM1" s="1216" t="n"/>
      <c r="AN1" s="1216" t="n"/>
      <c r="AO1" s="1216" t="n"/>
      <c r="AP1" s="1216" t="n"/>
      <c r="AQ1" s="1216" t="n"/>
      <c r="AR1" s="1216" t="n"/>
      <c r="AS1" s="1216" t="n"/>
      <c r="AT1" s="1216" t="n"/>
      <c r="AU1" s="1216" t="n"/>
      <c r="AV1" s="1216" t="n"/>
    </row>
    <row r="2" ht="13.55" customHeight="1" s="1676">
      <c r="A2" s="1216" t="n"/>
      <c r="B2" s="1217" t="inlineStr">
        <is>
          <t>Text_607</t>
        </is>
      </c>
      <c r="C2" s="2323" t="n">
        <v>0.08571601347198871</v>
      </c>
      <c r="D2" s="1216" t="n"/>
      <c r="E2" s="1216" t="n"/>
      <c r="F2" s="1216" t="n"/>
      <c r="G2" s="1216" t="n"/>
      <c r="H2" s="1216" t="n"/>
      <c r="I2" s="1216" t="n"/>
      <c r="J2" s="1216" t="n"/>
      <c r="K2" s="1216" t="n"/>
      <c r="L2" s="1216" t="n"/>
      <c r="M2" s="1216" t="n"/>
      <c r="N2" s="1216" t="n"/>
      <c r="O2" s="1216" t="n"/>
      <c r="P2" s="1216" t="n"/>
      <c r="Q2" s="1216" t="n"/>
      <c r="R2" s="1216" t="n"/>
      <c r="S2" s="1216" t="n"/>
      <c r="T2" s="1216" t="n"/>
      <c r="U2" s="1216" t="n"/>
      <c r="V2" s="1216" t="n"/>
      <c r="W2" s="1216" t="n"/>
      <c r="X2" s="1216" t="n"/>
      <c r="Y2" s="1216" t="n"/>
      <c r="Z2" s="1216" t="n"/>
      <c r="AA2" s="1216" t="n"/>
      <c r="AB2" s="1216" t="n"/>
      <c r="AC2" s="1216" t="n"/>
      <c r="AD2" s="1216" t="n"/>
      <c r="AE2" s="1216" t="n"/>
      <c r="AF2" s="1216" t="n"/>
      <c r="AG2" s="1216" t="n"/>
      <c r="AH2" s="1216" t="n"/>
      <c r="AI2" s="1216" t="n"/>
      <c r="AJ2" s="1216" t="n"/>
      <c r="AK2" s="1216" t="n"/>
      <c r="AL2" s="1216" t="n"/>
      <c r="AM2" s="1216" t="n"/>
      <c r="AN2" s="1216" t="n"/>
      <c r="AO2" s="1216" t="n"/>
      <c r="AP2" s="1216" t="n"/>
      <c r="AQ2" s="1216" t="n"/>
      <c r="AR2" s="1216" t="n"/>
      <c r="AS2" s="1216" t="n"/>
      <c r="AT2" s="1216" t="n"/>
      <c r="AU2" s="1216" t="n"/>
      <c r="AV2" s="1216" t="n"/>
    </row>
    <row r="3" ht="13.55" customHeight="1" s="1676">
      <c r="A3" s="1216" t="n"/>
      <c r="B3" s="1217" t="inlineStr">
        <is>
          <t>Text_608</t>
        </is>
      </c>
      <c r="C3" s="2323" t="n">
        <v>0.0294981929735183</v>
      </c>
      <c r="D3" s="1216" t="n"/>
      <c r="E3" s="1216" t="n"/>
      <c r="F3" s="1216" t="n"/>
      <c r="G3" s="1216" t="n"/>
      <c r="H3" s="1216" t="n"/>
      <c r="I3" s="1216" t="n"/>
      <c r="J3" s="1216" t="n"/>
      <c r="K3" s="1216" t="n"/>
      <c r="L3" s="1216" t="n"/>
      <c r="M3" s="1216" t="n"/>
      <c r="N3" s="1216" t="n"/>
      <c r="O3" s="1216" t="n"/>
      <c r="P3" s="1216" t="n"/>
      <c r="Q3" s="1216" t="n"/>
      <c r="R3" s="1216" t="n"/>
      <c r="S3" s="1216" t="n"/>
      <c r="T3" s="1216" t="n"/>
      <c r="U3" s="1216" t="n"/>
      <c r="V3" s="1216" t="n"/>
      <c r="W3" s="1216" t="n"/>
      <c r="X3" s="1216" t="n"/>
      <c r="Y3" s="1216" t="n"/>
      <c r="Z3" s="1216" t="n"/>
      <c r="AA3" s="1216" t="n"/>
      <c r="AB3" s="1216" t="n"/>
      <c r="AC3" s="1216" t="n"/>
      <c r="AD3" s="1216" t="n"/>
      <c r="AE3" s="1216" t="n"/>
      <c r="AF3" s="1216" t="n"/>
      <c r="AG3" s="1216" t="n"/>
      <c r="AH3" s="1216" t="n"/>
      <c r="AI3" s="1216" t="n"/>
      <c r="AJ3" s="1216" t="n"/>
      <c r="AK3" s="1216" t="n"/>
      <c r="AL3" s="1216" t="n"/>
      <c r="AM3" s="1216" t="n"/>
      <c r="AN3" s="1216" t="n"/>
      <c r="AO3" s="1216" t="n"/>
      <c r="AP3" s="1216" t="n"/>
      <c r="AQ3" s="1216" t="n"/>
      <c r="AR3" s="1216" t="n"/>
      <c r="AS3" s="1216" t="n"/>
      <c r="AT3" s="1216" t="n"/>
      <c r="AU3" s="1216" t="n"/>
      <c r="AV3" s="1216" t="n"/>
    </row>
    <row r="4" ht="13.55" customHeight="1" s="1676">
      <c r="A4" s="1216" t="n"/>
      <c r="B4" s="1217" t="inlineStr">
        <is>
          <t>Text_609</t>
        </is>
      </c>
      <c r="C4" s="2323">
        <f t="array" ref="C4">'Model'!BF252</f>
        <v/>
      </c>
      <c r="D4" s="1216" t="n"/>
      <c r="E4" s="1216" t="n"/>
      <c r="F4" s="1216" t="n"/>
      <c r="G4" s="1216" t="n"/>
      <c r="H4" s="1216" t="n"/>
      <c r="I4" s="1216" t="n"/>
      <c r="J4" s="1216" t="n"/>
      <c r="K4" s="1216" t="n"/>
      <c r="L4" s="1216" t="n"/>
      <c r="M4" s="1216" t="n"/>
      <c r="N4" s="1216" t="n"/>
      <c r="O4" s="1216" t="n"/>
      <c r="P4" s="1216" t="n"/>
      <c r="Q4" s="1216" t="n"/>
      <c r="R4" s="1216" t="n"/>
      <c r="S4" s="1216" t="n"/>
      <c r="T4" s="1216" t="n"/>
      <c r="U4" s="1216" t="n"/>
      <c r="V4" s="1216" t="n"/>
      <c r="W4" s="1216" t="n"/>
      <c r="X4" s="1216" t="n"/>
      <c r="Y4" s="1216" t="n"/>
      <c r="Z4" s="1216" t="n"/>
      <c r="AA4" s="1216" t="n"/>
      <c r="AB4" s="1216" t="n"/>
      <c r="AC4" s="1216" t="n"/>
      <c r="AD4" s="1216" t="n"/>
      <c r="AE4" s="1216" t="n"/>
      <c r="AF4" s="1216" t="n"/>
      <c r="AG4" s="1216" t="n"/>
      <c r="AH4" s="1216" t="n"/>
      <c r="AI4" s="1216" t="n"/>
      <c r="AJ4" s="1216" t="n"/>
      <c r="AK4" s="1216" t="n"/>
      <c r="AL4" s="1216" t="n"/>
      <c r="AM4" s="1216" t="n"/>
      <c r="AN4" s="1216" t="n"/>
      <c r="AO4" s="1216" t="n"/>
      <c r="AP4" s="1216" t="n"/>
      <c r="AQ4" s="1216" t="n"/>
      <c r="AR4" s="1216" t="n"/>
      <c r="AS4" s="1216" t="n"/>
      <c r="AT4" s="1216" t="n"/>
      <c r="AU4" s="1216" t="n"/>
      <c r="AV4" s="1216" t="n"/>
    </row>
    <row r="5" ht="13.55" customHeight="1" s="1676">
      <c r="A5" s="1216" t="n"/>
      <c r="B5" s="1217" t="inlineStr">
        <is>
          <t>Text_610</t>
        </is>
      </c>
      <c r="C5" s="1219">
        <f t="array" ref="C5">TODAY()</f>
        <v/>
      </c>
      <c r="D5" s="1216" t="n"/>
      <c r="E5" s="1216" t="n"/>
      <c r="F5" s="1216" t="n"/>
      <c r="G5" s="1216" t="n"/>
      <c r="H5" s="1216" t="n"/>
      <c r="I5" s="1216" t="n"/>
      <c r="J5" s="1216" t="n"/>
      <c r="K5" s="1216" t="n"/>
      <c r="L5" s="1216" t="n"/>
      <c r="M5" s="1216" t="n"/>
      <c r="N5" s="1216" t="n"/>
      <c r="O5" s="1216" t="n"/>
      <c r="P5" s="1216" t="n"/>
      <c r="Q5" s="1216" t="n"/>
      <c r="R5" s="1216" t="n"/>
      <c r="S5" s="1216" t="n"/>
      <c r="T5" s="1216" t="n"/>
      <c r="U5" s="1216" t="n"/>
      <c r="V5" s="1216" t="n"/>
      <c r="W5" s="1216" t="n"/>
      <c r="X5" s="1216" t="n"/>
      <c r="Y5" s="1216" t="n"/>
      <c r="Z5" s="1216" t="n"/>
      <c r="AA5" s="1216" t="n"/>
      <c r="AB5" s="1216" t="n"/>
      <c r="AC5" s="1216" t="n"/>
      <c r="AD5" s="1216" t="n"/>
      <c r="AE5" s="1216" t="n"/>
      <c r="AF5" s="1216" t="n"/>
      <c r="AG5" s="1216" t="n"/>
      <c r="AH5" s="1216" t="n"/>
      <c r="AI5" s="1216" t="n"/>
      <c r="AJ5" s="1216" t="n"/>
      <c r="AK5" s="1216" t="n"/>
      <c r="AL5" s="1216" t="n"/>
      <c r="AM5" s="1216" t="n"/>
      <c r="AN5" s="1216" t="n"/>
      <c r="AO5" s="1216" t="n"/>
      <c r="AP5" s="1216" t="n"/>
      <c r="AQ5" s="1216" t="n"/>
      <c r="AR5" s="1216" t="n"/>
      <c r="AS5" s="1216" t="n"/>
      <c r="AT5" s="1216" t="n"/>
      <c r="AU5" s="1216" t="n"/>
      <c r="AV5" s="1216" t="n"/>
    </row>
    <row r="6" ht="13.55" customHeight="1" s="1676">
      <c r="A6" s="1216" t="n"/>
      <c r="B6" s="1217" t="inlineStr">
        <is>
          <t>Text_611</t>
        </is>
      </c>
      <c r="C6" s="2323" t="n">
        <v>-0.343100219587321</v>
      </c>
      <c r="D6" s="1216" t="n"/>
      <c r="E6" s="1216" t="n"/>
      <c r="F6" s="1216" t="n"/>
      <c r="G6" s="1216" t="n"/>
      <c r="H6" s="1216" t="n"/>
      <c r="I6" s="1216" t="n"/>
      <c r="J6" s="1216" t="n"/>
      <c r="K6" s="1220" t="n"/>
      <c r="L6" s="1216" t="n"/>
      <c r="M6" s="1216" t="n"/>
      <c r="N6" s="1216" t="n"/>
      <c r="O6" s="1216" t="n"/>
      <c r="P6" s="1216" t="n"/>
      <c r="Q6" s="1216" t="n"/>
      <c r="R6" s="1216" t="n"/>
      <c r="S6" s="1216" t="n"/>
      <c r="T6" s="1216" t="n"/>
      <c r="U6" s="1220" t="n"/>
      <c r="V6" s="1216" t="n"/>
      <c r="W6" s="1216" t="n"/>
      <c r="X6" s="1216" t="n"/>
      <c r="Y6" s="1216" t="n"/>
      <c r="Z6" s="1216" t="n"/>
      <c r="AA6" s="1216" t="n"/>
      <c r="AB6" s="1216" t="n"/>
      <c r="AC6" s="1216" t="n"/>
      <c r="AD6" s="1216" t="n"/>
      <c r="AE6" s="1220" t="n"/>
      <c r="AF6" s="1216" t="n"/>
      <c r="AG6" s="1216" t="n"/>
      <c r="AH6" s="1216" t="n"/>
      <c r="AI6" s="1216" t="n"/>
      <c r="AJ6" s="1216" t="n"/>
      <c r="AK6" s="1216" t="n"/>
      <c r="AL6" s="1216" t="n"/>
      <c r="AM6" s="1216" t="n"/>
      <c r="AN6" s="1216" t="n"/>
      <c r="AO6" s="1220" t="n"/>
      <c r="AP6" s="1216" t="n"/>
      <c r="AQ6" s="1216" t="n"/>
      <c r="AR6" s="1216" t="n"/>
      <c r="AS6" s="1216" t="n"/>
      <c r="AT6" s="1216" t="n"/>
      <c r="AU6" s="1216" t="n"/>
      <c r="AV6" s="1216" t="n"/>
    </row>
    <row r="7" ht="15.6" customHeight="1" s="1676">
      <c r="A7" s="1216" t="n"/>
      <c r="B7" s="1216" t="n"/>
      <c r="C7" s="1221" t="n"/>
      <c r="D7" s="1221" t="n">
        <v>45657</v>
      </c>
      <c r="E7" s="1221">
        <f t="array" ref="E7">EOMONTH(D7,12)</f>
        <v/>
      </c>
      <c r="F7" s="1221">
        <f t="array" ref="F7">EOMONTH(E7,12)</f>
        <v/>
      </c>
      <c r="G7" s="1221">
        <f t="array" ref="G7">EOMONTH(F7,12)</f>
        <v/>
      </c>
      <c r="H7" s="1221">
        <f t="array" ref="H7">EOMONTH(G7,12)</f>
        <v/>
      </c>
      <c r="I7" s="1221">
        <f t="array" ref="I7">EOMONTH(H7,12)</f>
        <v/>
      </c>
      <c r="J7" s="1222">
        <f t="array" ref="J7">EOMONTH(I7,12)</f>
        <v/>
      </c>
      <c r="K7" s="1223">
        <f t="array" ref="K7">EOMONTH(J7,12)</f>
        <v/>
      </c>
      <c r="L7" s="1224">
        <f t="array" ref="L7">EOMONTH(K7,12)</f>
        <v/>
      </c>
      <c r="M7" s="1221">
        <f t="array" ref="M7">EOMONTH(L7,12)</f>
        <v/>
      </c>
      <c r="N7" s="1221">
        <f t="array" ref="N7">EOMONTH(M7,12)</f>
        <v/>
      </c>
      <c r="O7" s="1221">
        <f t="array" ref="O7">EOMONTH(N7,12)</f>
        <v/>
      </c>
      <c r="P7" s="1221">
        <f t="array" ref="P7">EOMONTH(O7,12)</f>
        <v/>
      </c>
      <c r="Q7" s="1221">
        <f t="array" ref="Q7">EOMONTH(P7,12)</f>
        <v/>
      </c>
      <c r="R7" s="1221">
        <f t="array" ref="R7">EOMONTH(Q7,12)</f>
        <v/>
      </c>
      <c r="S7" s="1221">
        <f t="array" ref="S7">EOMONTH(R7,12)</f>
        <v/>
      </c>
      <c r="T7" s="1222">
        <f t="array" ref="T7">EOMONTH(S7,12)</f>
        <v/>
      </c>
      <c r="U7" s="1223">
        <f t="array" ref="U7">EOMONTH(T7,12)</f>
        <v/>
      </c>
      <c r="V7" s="1224">
        <f t="array" ref="V7">EOMONTH(U7,12)</f>
        <v/>
      </c>
      <c r="W7" s="1221">
        <f t="array" ref="W7">EOMONTH(V7,12)</f>
        <v/>
      </c>
      <c r="X7" s="1221">
        <f t="array" ref="X7">EOMONTH(W7,12)</f>
        <v/>
      </c>
      <c r="Y7" s="1221">
        <f t="array" ref="Y7">EOMONTH(X7,12)</f>
        <v/>
      </c>
      <c r="Z7" s="1221">
        <f t="array" ref="Z7">EOMONTH(Y7,12)</f>
        <v/>
      </c>
      <c r="AA7" s="1221">
        <f t="array" ref="AA7">EOMONTH(Z7,12)</f>
        <v/>
      </c>
      <c r="AB7" s="1221">
        <f t="array" ref="AB7">EOMONTH(AA7,12)</f>
        <v/>
      </c>
      <c r="AC7" s="1221">
        <f t="array" ref="AC7">EOMONTH(AB7,12)</f>
        <v/>
      </c>
      <c r="AD7" s="1222">
        <f t="array" ref="AD7">EOMONTH(AC7,12)</f>
        <v/>
      </c>
      <c r="AE7" s="1223">
        <f t="array" ref="AE7">EOMONTH(AD7,12)</f>
        <v/>
      </c>
      <c r="AF7" s="1224">
        <f t="array" ref="AF7">EOMONTH(AE7,12)</f>
        <v/>
      </c>
      <c r="AG7" s="1221">
        <f t="array" ref="AG7">EOMONTH(AF7,12)</f>
        <v/>
      </c>
      <c r="AH7" s="1221">
        <f t="array" ref="AH7">EOMONTH(AG7,12)</f>
        <v/>
      </c>
      <c r="AI7" s="1221">
        <f t="array" ref="AI7">EOMONTH(AH7,12)</f>
        <v/>
      </c>
      <c r="AJ7" s="1221">
        <f t="array" ref="AJ7">EOMONTH(AI7,12)</f>
        <v/>
      </c>
      <c r="AK7" s="1221">
        <f t="array" ref="AK7">EOMONTH(AJ7,12)</f>
        <v/>
      </c>
      <c r="AL7" s="1221">
        <f t="array" ref="AL7">EOMONTH(AK7,12)</f>
        <v/>
      </c>
      <c r="AM7" s="1221">
        <f t="array" ref="AM7">EOMONTH(AL7,12)</f>
        <v/>
      </c>
      <c r="AN7" s="1222">
        <f t="array" ref="AN7">EOMONTH(AM7,12)</f>
        <v/>
      </c>
      <c r="AO7" s="1223">
        <f t="array" ref="AO7">EOMONTH(AN7,12)</f>
        <v/>
      </c>
      <c r="AP7" s="1224">
        <f t="array" ref="AP7">EOMONTH(AO7,12)</f>
        <v/>
      </c>
      <c r="AQ7" s="1221">
        <f t="array" ref="AQ7">EOMONTH(AP7,12)</f>
        <v/>
      </c>
      <c r="AR7" s="1216" t="n"/>
      <c r="AS7" s="1216" t="n"/>
      <c r="AT7" s="1216" t="n"/>
      <c r="AU7" s="1216" t="n"/>
      <c r="AV7" s="1216" t="n"/>
    </row>
    <row r="8" ht="13.55" customHeight="1" s="1676">
      <c r="A8" s="1216" t="n"/>
      <c r="B8" s="2323" t="n"/>
      <c r="C8" s="1226" t="n"/>
      <c r="D8" s="1226" t="n">
        <v>1916.63953395315</v>
      </c>
      <c r="E8" s="1226" t="n">
        <v>1690.48394682526</v>
      </c>
      <c r="F8" s="1226" t="n">
        <v>2072.0184918162</v>
      </c>
      <c r="G8" s="1226" t="n">
        <v>2306.82398639298</v>
      </c>
      <c r="H8" s="1226" t="n">
        <v>2268.05548525081</v>
      </c>
      <c r="I8" s="1226" t="n">
        <v>1765.3299405298</v>
      </c>
      <c r="J8" s="1227" t="n">
        <v>2170.28486690292</v>
      </c>
      <c r="K8" s="1228" t="n">
        <v>1803.93766361512</v>
      </c>
      <c r="L8" s="1229" t="n">
        <v>1802.95908408401</v>
      </c>
      <c r="M8" s="1226" t="n">
        <v>2337.19516605178</v>
      </c>
      <c r="N8" s="1226" t="n">
        <v>1830.33065994945</v>
      </c>
      <c r="O8" s="1226" t="n">
        <v>1842.28334006566</v>
      </c>
      <c r="P8" s="1226" t="n">
        <v>1629.332121436</v>
      </c>
      <c r="Q8" s="1226" t="n">
        <v>2339.02112900547</v>
      </c>
      <c r="R8" s="1226" t="n">
        <v>2276.52329172809</v>
      </c>
      <c r="S8" s="1226" t="n">
        <v>2142.84947945996</v>
      </c>
      <c r="T8" s="1227" t="n">
        <v>2244.21686337409</v>
      </c>
      <c r="U8" s="1228" t="n">
        <v>1756.93245044536</v>
      </c>
      <c r="V8" s="1229" t="n">
        <v>2007.95871205913</v>
      </c>
      <c r="W8" s="1226" t="n">
        <v>1921.41648334142</v>
      </c>
      <c r="X8" s="1226" t="n">
        <v>1711.87168786774</v>
      </c>
      <c r="Y8" s="1226" t="n">
        <v>2033.65473690581</v>
      </c>
      <c r="Z8" s="1226" t="n">
        <v>2390.33332984041</v>
      </c>
      <c r="AA8" s="1226" t="n">
        <v>1670.40040667871</v>
      </c>
      <c r="AB8" s="1226" t="n">
        <v>1877.16478033412</v>
      </c>
      <c r="AC8" s="1226" t="n">
        <v>1809.30055131419</v>
      </c>
      <c r="AD8" s="1227" t="n">
        <v>1835.28025600587</v>
      </c>
      <c r="AE8" s="1228" t="n">
        <v>2386.07970636184</v>
      </c>
      <c r="AF8" s="1229" t="n">
        <v>2025.79107971551</v>
      </c>
      <c r="AG8" s="1226" t="n">
        <v>2025.32507790618</v>
      </c>
      <c r="AH8" s="1226" t="n">
        <v>2268.08894784126</v>
      </c>
      <c r="AI8" s="1226" t="n">
        <v>1770.99259169205</v>
      </c>
      <c r="AJ8" s="1226" t="n">
        <v>2045.52702721188</v>
      </c>
      <c r="AK8" s="1226" t="n">
        <v>1999.39183417881</v>
      </c>
      <c r="AL8" s="1226" t="n">
        <v>2137.77688045801</v>
      </c>
      <c r="AM8" s="1226" t="n">
        <v>2470.43572439706</v>
      </c>
      <c r="AN8" s="1227" t="n">
        <v>2282.02588872361</v>
      </c>
      <c r="AO8" s="1228" t="n">
        <v>1976.80048556757</v>
      </c>
      <c r="AP8" s="1229" t="n">
        <v>2332.16575751563</v>
      </c>
      <c r="AQ8" s="1226" t="n">
        <v>1791.26854140546</v>
      </c>
      <c r="AR8" s="1226" t="n"/>
      <c r="AS8" s="1226" t="n"/>
      <c r="AT8" s="1226" t="n"/>
      <c r="AU8" s="1226" t="n"/>
      <c r="AV8" s="1226" t="n"/>
    </row>
    <row r="9" ht="13.55" customHeight="1" s="1676">
      <c r="A9" s="1216" t="n"/>
      <c r="B9" s="1217" t="inlineStr">
        <is>
          <t>Text_612</t>
        </is>
      </c>
      <c r="C9" s="2324" t="n"/>
      <c r="D9" s="2324">
        <f t="array" ref="D9">(D7-$C$5)/365</f>
        <v/>
      </c>
      <c r="E9" s="2324">
        <f t="array" ref="E9">(E7-$C$5)/365</f>
        <v/>
      </c>
      <c r="F9" s="2324">
        <f t="array" ref="F9">(F7-$C$5)/365</f>
        <v/>
      </c>
      <c r="G9" s="2324">
        <f t="array" ref="G9">(G7-$C$5)/365</f>
        <v/>
      </c>
      <c r="H9" s="2324">
        <f t="array" ref="H9">(H7-$C$5)/365</f>
        <v/>
      </c>
      <c r="I9" s="2324">
        <f t="array" ref="I9">(I7-$C$5)/365</f>
        <v/>
      </c>
      <c r="J9" s="2324">
        <f t="array" ref="J9">(J7-$C$5)/365</f>
        <v/>
      </c>
      <c r="K9" s="2325">
        <f t="array" ref="K9">(K7-$C$5)/365</f>
        <v/>
      </c>
      <c r="L9" s="2324">
        <f t="array" ref="L9">(L7-$C$5)/365</f>
        <v/>
      </c>
      <c r="M9" s="2324">
        <f t="array" ref="M9">(M7-$C$5)/365</f>
        <v/>
      </c>
      <c r="N9" s="2324">
        <f t="array" ref="N9">(N7-$C$5)/365</f>
        <v/>
      </c>
      <c r="O9" s="2324">
        <f t="array" ref="O9">(O7-$C$5)/365</f>
        <v/>
      </c>
      <c r="P9" s="2324">
        <f t="array" ref="P9">(P7-$C$5)/365</f>
        <v/>
      </c>
      <c r="Q9" s="2324">
        <f t="array" ref="Q9">(Q7-$C$5)/365</f>
        <v/>
      </c>
      <c r="R9" s="2324">
        <f t="array" ref="R9">(R7-$C$5)/365</f>
        <v/>
      </c>
      <c r="S9" s="2324">
        <f t="array" ref="S9">(S7-$C$5)/365</f>
        <v/>
      </c>
      <c r="T9" s="2324">
        <f t="array" ref="T9">(T7-$C$5)/365</f>
        <v/>
      </c>
      <c r="U9" s="2325">
        <f t="array" ref="U9">(U7-$C$5)/365</f>
        <v/>
      </c>
      <c r="V9" s="2324">
        <f t="array" ref="V9">(V7-$C$5)/365</f>
        <v/>
      </c>
      <c r="W9" s="2324">
        <f t="array" ref="W9">(W7-$C$5)/365</f>
        <v/>
      </c>
      <c r="X9" s="2324">
        <f t="array" ref="X9">(X7-$C$5)/365</f>
        <v/>
      </c>
      <c r="Y9" s="2324">
        <f t="array" ref="Y9">(Y7-$C$5)/365</f>
        <v/>
      </c>
      <c r="Z9" s="2324">
        <f t="array" ref="Z9">(Z7-$C$5)/365</f>
        <v/>
      </c>
      <c r="AA9" s="2324">
        <f t="array" ref="AA9">(AA7-$C$5)/365</f>
        <v/>
      </c>
      <c r="AB9" s="2324">
        <f t="array" ref="AB9">(AB7-$C$5)/365</f>
        <v/>
      </c>
      <c r="AC9" s="2324">
        <f t="array" ref="AC9">(AC7-$C$5)/365</f>
        <v/>
      </c>
      <c r="AD9" s="2324">
        <f t="array" ref="AD9">(AD7-$C$5)/365</f>
        <v/>
      </c>
      <c r="AE9" s="2325">
        <f t="array" ref="AE9">(AE7-$C$5)/365</f>
        <v/>
      </c>
      <c r="AF9" s="2324">
        <f t="array" ref="AF9">(AF7-$C$5)/365</f>
        <v/>
      </c>
      <c r="AG9" s="2324">
        <f t="array" ref="AG9">(AG7-$C$5)/365</f>
        <v/>
      </c>
      <c r="AH9" s="2324">
        <f t="array" ref="AH9">(AH7-$C$5)/365</f>
        <v/>
      </c>
      <c r="AI9" s="2324">
        <f t="array" ref="AI9">(AI7-$C$5)/365</f>
        <v/>
      </c>
      <c r="AJ9" s="2324">
        <f t="array" ref="AJ9">(AJ7-$C$5)/365</f>
        <v/>
      </c>
      <c r="AK9" s="2324">
        <f t="array" ref="AK9">(AK7-$C$5)/365</f>
        <v/>
      </c>
      <c r="AL9" s="2324">
        <f t="array" ref="AL9">(AL7-$C$5)/365</f>
        <v/>
      </c>
      <c r="AM9" s="2324">
        <f t="array" ref="AM9">(AM7-$C$5)/365</f>
        <v/>
      </c>
      <c r="AN9" s="2324">
        <f t="array" ref="AN9">(AN7-$C$5)/365</f>
        <v/>
      </c>
      <c r="AO9" s="2325">
        <f t="array" ref="AO9">(AO7-$C$5)/365</f>
        <v/>
      </c>
      <c r="AP9" s="2324">
        <f t="array" ref="AP9">(AP7-$C$5)/365</f>
        <v/>
      </c>
      <c r="AQ9" s="2324">
        <f t="array" ref="AQ9">(AQ7-$C$5)/365</f>
        <v/>
      </c>
      <c r="AR9" s="1226" t="n"/>
      <c r="AS9" s="1226" t="n"/>
      <c r="AT9" s="1226" t="n"/>
      <c r="AU9" s="1226" t="n"/>
      <c r="AV9" s="1226" t="n"/>
    </row>
    <row r="10" ht="13.55" customHeight="1" s="1676">
      <c r="A10" s="1216" t="n"/>
      <c r="B10" s="1217" t="inlineStr">
        <is>
          <t>Text_613</t>
        </is>
      </c>
      <c r="C10" s="1232" t="n"/>
      <c r="D10" s="1232">
        <f t="array" ref="D10">1/(1+$C$2)^D9</f>
        <v/>
      </c>
      <c r="E10" s="1232">
        <f t="array" ref="E10">1/(1+$C$2)^E9</f>
        <v/>
      </c>
      <c r="F10" s="1232">
        <f t="array" ref="F10">1/(1+$C$2)^F9</f>
        <v/>
      </c>
      <c r="G10" s="1232">
        <f t="array" ref="G10">1/(1+$C$2)^G9</f>
        <v/>
      </c>
      <c r="H10" s="1232">
        <f t="array" ref="H10">1/(1+$C$2)^H9</f>
        <v/>
      </c>
      <c r="I10" s="1232">
        <f t="array" ref="I10">1/(1+$C$2)^I9</f>
        <v/>
      </c>
      <c r="J10" s="1232">
        <f t="array" ref="J10">1/(1+$C$2)^J9</f>
        <v/>
      </c>
      <c r="K10" s="1232">
        <f t="array" ref="K10">1/(1+$C$2)^K9</f>
        <v/>
      </c>
      <c r="L10" s="1232">
        <f t="array" ref="L10">1/(1+$C$2)^L9</f>
        <v/>
      </c>
      <c r="M10" s="1232">
        <f t="array" ref="M10">1/(1+$C$2)^M9</f>
        <v/>
      </c>
      <c r="N10" s="1232">
        <f t="array" ref="N10">1/(1+$C$2)^N9</f>
        <v/>
      </c>
      <c r="O10" s="1232">
        <f t="array" ref="O10">1/(1+$C$2)^O9</f>
        <v/>
      </c>
      <c r="P10" s="1232">
        <f t="array" ref="P10">1/(1+$C$2)^P9</f>
        <v/>
      </c>
      <c r="Q10" s="1232">
        <f t="array" ref="Q10">1/(1+$C$2)^Q9</f>
        <v/>
      </c>
      <c r="R10" s="1232">
        <f t="array" ref="R10">1/(1+$C$2)^R9</f>
        <v/>
      </c>
      <c r="S10" s="1232">
        <f t="array" ref="S10">1/(1+$C$2)^S9</f>
        <v/>
      </c>
      <c r="T10" s="1232">
        <f t="array" ref="T10">1/(1+$C$2)^T9</f>
        <v/>
      </c>
      <c r="U10" s="1232">
        <f t="array" ref="U10">1/(1+$C$2)^U9</f>
        <v/>
      </c>
      <c r="V10" s="1232">
        <f t="array" ref="V10">1/(1+$C$2)^V9</f>
        <v/>
      </c>
      <c r="W10" s="1232">
        <f t="array" ref="W10">1/(1+$C$2)^W9</f>
        <v/>
      </c>
      <c r="X10" s="1232">
        <f t="array" ref="X10">1/(1+$C$2)^X9</f>
        <v/>
      </c>
      <c r="Y10" s="1232">
        <f t="array" ref="Y10">1/(1+$C$2)^Y9</f>
        <v/>
      </c>
      <c r="Z10" s="1232">
        <f t="array" ref="Z10">1/(1+$C$2)^Z9</f>
        <v/>
      </c>
      <c r="AA10" s="1232">
        <f t="array" ref="AA10">1/(1+$C$2)^AA9</f>
        <v/>
      </c>
      <c r="AB10" s="1232">
        <f t="array" ref="AB10">1/(1+$C$2)^AB9</f>
        <v/>
      </c>
      <c r="AC10" s="1232">
        <f t="array" ref="AC10">1/(1+$C$2)^AC9</f>
        <v/>
      </c>
      <c r="AD10" s="1232">
        <f t="array" ref="AD10">1/(1+$C$2)^AD9</f>
        <v/>
      </c>
      <c r="AE10" s="1232">
        <f t="array" ref="AE10">1/(1+$C$2)^AE9</f>
        <v/>
      </c>
      <c r="AF10" s="1232">
        <f t="array" ref="AF10">1/(1+$C$2)^AF9</f>
        <v/>
      </c>
      <c r="AG10" s="1232">
        <f t="array" ref="AG10">1/(1+$C$2)^AG9</f>
        <v/>
      </c>
      <c r="AH10" s="1232">
        <f t="array" ref="AH10">1/(1+$C$2)^AH9</f>
        <v/>
      </c>
      <c r="AI10" s="1232">
        <f t="array" ref="AI10">1/(1+$C$2)^AI9</f>
        <v/>
      </c>
      <c r="AJ10" s="1232">
        <f t="array" ref="AJ10">1/(1+$C$2)^AJ9</f>
        <v/>
      </c>
      <c r="AK10" s="1232">
        <f t="array" ref="AK10">1/(1+$C$2)^AK9</f>
        <v/>
      </c>
      <c r="AL10" s="1232">
        <f t="array" ref="AL10">1/(1+$C$2)^AL9</f>
        <v/>
      </c>
      <c r="AM10" s="1232">
        <f t="array" ref="AM10">1/(1+$C$2)^AM9</f>
        <v/>
      </c>
      <c r="AN10" s="1232">
        <f t="array" ref="AN10">1/(1+$C$2)^AN9</f>
        <v/>
      </c>
      <c r="AO10" s="1232">
        <f t="array" ref="AO10">1/(1+$C$2)^AO9</f>
        <v/>
      </c>
      <c r="AP10" s="1232">
        <f t="array" ref="AP10">1/(1+$C$2)^AP9</f>
        <v/>
      </c>
      <c r="AQ10" s="1232">
        <f t="array" ref="AQ10">1/(1+$C$2)^AQ9</f>
        <v/>
      </c>
      <c r="AR10" s="1226" t="n"/>
      <c r="AS10" s="1226" t="n"/>
      <c r="AT10" s="1226" t="n"/>
      <c r="AU10" s="1226" t="n"/>
      <c r="AV10" s="1226" t="n"/>
    </row>
    <row r="11" ht="13.55" customHeight="1" s="1676">
      <c r="A11" s="1216" t="n"/>
      <c r="B11" s="2323" t="n"/>
      <c r="C11" s="1232" t="n"/>
      <c r="D11" s="1233" t="n"/>
      <c r="E11" s="1233" t="n"/>
      <c r="F11" s="1233" t="n"/>
      <c r="G11" s="1233" t="n"/>
      <c r="H11" s="1233" t="n"/>
      <c r="I11" s="1232" t="n"/>
      <c r="J11" s="1232" t="n"/>
      <c r="K11" s="1232" t="n"/>
      <c r="L11" s="1232" t="n"/>
      <c r="M11" s="1232" t="n"/>
      <c r="N11" s="1232" t="n"/>
      <c r="O11" s="1232" t="n"/>
      <c r="P11" s="1232" t="n"/>
      <c r="Q11" s="1232" t="n"/>
      <c r="R11" s="1232" t="n"/>
      <c r="S11" s="1232" t="n"/>
      <c r="T11" s="1232" t="n"/>
      <c r="U11" s="1232" t="n"/>
      <c r="V11" s="1232" t="n"/>
      <c r="W11" s="1232" t="n"/>
      <c r="X11" s="1232" t="n"/>
      <c r="Y11" s="1232" t="n"/>
      <c r="Z11" s="1232" t="n"/>
      <c r="AA11" s="1232" t="n"/>
      <c r="AB11" s="1232" t="n"/>
      <c r="AC11" s="1232" t="n"/>
      <c r="AD11" s="1232" t="n"/>
      <c r="AE11" s="1232" t="n"/>
      <c r="AF11" s="1232" t="n"/>
      <c r="AG11" s="1232" t="n"/>
      <c r="AH11" s="1232" t="n"/>
      <c r="AI11" s="1232" t="n"/>
      <c r="AJ11" s="1232" t="n"/>
      <c r="AK11" s="1232" t="n"/>
      <c r="AL11" s="1232" t="n"/>
      <c r="AM11" s="1232" t="n"/>
      <c r="AN11" s="1232" t="n"/>
      <c r="AO11" s="1232" t="n"/>
      <c r="AP11" s="1232" t="n"/>
      <c r="AQ11" s="1232" t="n"/>
      <c r="AR11" s="1226" t="n"/>
      <c r="AS11" s="1226" t="n"/>
      <c r="AT11" s="1226" t="n"/>
      <c r="AU11" s="1226" t="n"/>
      <c r="AV11" s="1226" t="n"/>
    </row>
    <row r="12" ht="13.55" customHeight="1" s="1676">
      <c r="A12" s="1216" t="n"/>
      <c r="B12" s="1217" t="inlineStr">
        <is>
          <t>Text_614</t>
        </is>
      </c>
      <c r="C12" s="1234" t="n"/>
      <c r="D12" s="1235">
        <f t="array" ref="D12">'Model'!BA94</f>
        <v/>
      </c>
      <c r="E12" s="1235">
        <f t="array" ref="E12">'Model'!BF94</f>
        <v/>
      </c>
      <c r="F12" s="1235">
        <f t="array" ref="F12">'Model'!BK94</f>
        <v/>
      </c>
      <c r="G12" s="1235">
        <f t="array" ref="G12">'Model'!BP94</f>
        <v/>
      </c>
      <c r="H12" s="1235">
        <f t="array" ref="H12">'Model'!BU94</f>
        <v/>
      </c>
      <c r="I12" s="2326">
        <f t="array" ref="I12">H12*(1+I13)</f>
        <v/>
      </c>
      <c r="J12" s="2327">
        <f t="array" ref="J12">I12*(1+J13)</f>
        <v/>
      </c>
      <c r="K12" s="2327">
        <f t="array" ref="K12">J12*(1+K13)</f>
        <v/>
      </c>
      <c r="L12" s="2327">
        <f t="array" ref="L12">K12*(1+L13)</f>
        <v/>
      </c>
      <c r="M12" s="2327">
        <f t="array" ref="M12">L12*(1+M13)</f>
        <v/>
      </c>
      <c r="N12" s="2327">
        <f t="array" ref="N12">M12*(1+N13)</f>
        <v/>
      </c>
      <c r="O12" s="2327">
        <f t="array" ref="O12">N12*(1+O13)</f>
        <v/>
      </c>
      <c r="P12" s="2327">
        <f t="array" ref="P12">O12*(1+P13)</f>
        <v/>
      </c>
      <c r="Q12" s="2327">
        <f t="array" ref="Q12">P12*(1+Q13)</f>
        <v/>
      </c>
      <c r="R12" s="2327">
        <f t="array" ref="R12">Q12*(1+R13)</f>
        <v/>
      </c>
      <c r="S12" s="2327">
        <f t="array" ref="S12">R12*(1+S13)</f>
        <v/>
      </c>
      <c r="T12" s="2327">
        <f t="array" ref="T12">S12*(1+T13)</f>
        <v/>
      </c>
      <c r="U12" s="2327">
        <f t="array" ref="U12">T12*(1+U13)</f>
        <v/>
      </c>
      <c r="V12" s="2327">
        <f t="array" ref="V12">U12*(1+V13)</f>
        <v/>
      </c>
      <c r="W12" s="2327">
        <f t="array" ref="W12">V12*(1+W13)</f>
        <v/>
      </c>
      <c r="X12" s="2327">
        <f t="array" ref="X12">W12*(1+X13)</f>
        <v/>
      </c>
      <c r="Y12" s="2327">
        <f t="array" ref="Y12">X12*(1+Y13)</f>
        <v/>
      </c>
      <c r="Z12" s="2327">
        <f t="array" ref="Z12">Y12*(1+Z13)</f>
        <v/>
      </c>
      <c r="AA12" s="2327">
        <f t="array" ref="AA12">Z12*(1+AA13)</f>
        <v/>
      </c>
      <c r="AB12" s="2327">
        <f t="array" ref="AB12">AA12*(1+AB13)</f>
        <v/>
      </c>
      <c r="AC12" s="2327">
        <f t="array" ref="AC12">AB12*(1+AC13)</f>
        <v/>
      </c>
      <c r="AD12" s="2327">
        <f t="array" ref="AD12">AC12*(1+AD13)</f>
        <v/>
      </c>
      <c r="AE12" s="2327">
        <f t="array" ref="AE12">AD12*(1+AE13)</f>
        <v/>
      </c>
      <c r="AF12" s="2327">
        <f t="array" ref="AF12">AE12*(1+AF13)</f>
        <v/>
      </c>
      <c r="AG12" s="2327">
        <f t="array" ref="AG12">AF12*(1+AG13)</f>
        <v/>
      </c>
      <c r="AH12" s="2327">
        <f t="array" ref="AH12">AG12*(1+AH13)</f>
        <v/>
      </c>
      <c r="AI12" s="2327">
        <f t="array" ref="AI12">AH12*(1+AI13)</f>
        <v/>
      </c>
      <c r="AJ12" s="2327">
        <f t="array" ref="AJ12">AI12*(1+AJ13)</f>
        <v/>
      </c>
      <c r="AK12" s="2327">
        <f t="array" ref="AK12">AJ12*(1+AK13)</f>
        <v/>
      </c>
      <c r="AL12" s="2327">
        <f t="array" ref="AL12">AK12*(1+AL13)</f>
        <v/>
      </c>
      <c r="AM12" s="2327">
        <f t="array" ref="AM12">AL12*(1+AM13)</f>
        <v/>
      </c>
      <c r="AN12" s="2327">
        <f t="array" ref="AN12">AM12*(1+AN13)</f>
        <v/>
      </c>
      <c r="AO12" s="2327">
        <f t="array" ref="AO12">AN12*(1+AO13)</f>
        <v/>
      </c>
      <c r="AP12" s="2327">
        <f t="array" ref="AP12">AO12*(1+AP13)</f>
        <v/>
      </c>
      <c r="AQ12" s="2327">
        <f t="array" ref="AQ12">AP12*(1+AQ13)</f>
        <v/>
      </c>
      <c r="AR12" s="2328">
        <f t="array" ref="AR12">(AQ12/D12)^(1/39)-1</f>
        <v/>
      </c>
      <c r="AS12" s="1226" t="n"/>
      <c r="AT12" s="1226" t="n"/>
      <c r="AU12" s="1226" t="n"/>
      <c r="AV12" s="1226" t="n"/>
    </row>
    <row r="13" ht="13.55" customHeight="1" s="1676">
      <c r="A13" s="1216" t="n"/>
      <c r="B13" s="1217" t="inlineStr">
        <is>
          <t>Text_15</t>
        </is>
      </c>
      <c r="C13" s="1232" t="n"/>
      <c r="D13" s="1239" t="n"/>
      <c r="E13" s="2329">
        <f t="array" ref="E13">E12/D12-1</f>
        <v/>
      </c>
      <c r="F13" s="2329">
        <f t="array" ref="F13">F12/E12-1</f>
        <v/>
      </c>
      <c r="G13" s="2329">
        <f t="array" ref="G13">G12/F12-1</f>
        <v/>
      </c>
      <c r="H13" s="2329">
        <f t="array" ref="H13">H12/G12-1</f>
        <v/>
      </c>
      <c r="I13" s="2330">
        <f t="array" ref="I13">I15</f>
        <v/>
      </c>
      <c r="J13" s="2330">
        <f t="array" ref="J13">J15</f>
        <v/>
      </c>
      <c r="K13" s="2330">
        <f t="array" ref="K13">K15</f>
        <v/>
      </c>
      <c r="L13" s="2330">
        <f t="array" ref="L13">L15</f>
        <v/>
      </c>
      <c r="M13" s="2330">
        <f t="array" ref="M13">M15</f>
        <v/>
      </c>
      <c r="N13" s="2330">
        <f t="array" ref="N13">N15</f>
        <v/>
      </c>
      <c r="O13" s="2330">
        <f t="array" ref="O13">O15</f>
        <v/>
      </c>
      <c r="P13" s="2330">
        <f t="array" ref="P13">P15</f>
        <v/>
      </c>
      <c r="Q13" s="2330">
        <f t="array" ref="Q13">Q15</f>
        <v/>
      </c>
      <c r="R13" s="2330">
        <f t="array" ref="R13">R15</f>
        <v/>
      </c>
      <c r="S13" s="2330">
        <f t="array" ref="S13">S15</f>
        <v/>
      </c>
      <c r="T13" s="2330">
        <f t="array" ref="T13">T15</f>
        <v/>
      </c>
      <c r="U13" s="2330">
        <f t="array" ref="U13">U15</f>
        <v/>
      </c>
      <c r="V13" s="2330">
        <f t="array" ref="V13">V15</f>
        <v/>
      </c>
      <c r="W13" s="2330">
        <f t="array" ref="W13">W15</f>
        <v/>
      </c>
      <c r="X13" s="2330">
        <f t="array" ref="X13">X15</f>
        <v/>
      </c>
      <c r="Y13" s="2330">
        <f t="array" ref="Y13">Y15</f>
        <v/>
      </c>
      <c r="Z13" s="2330">
        <f t="array" ref="Z13">Z15</f>
        <v/>
      </c>
      <c r="AA13" s="2330">
        <f t="array" ref="AA13">AA15</f>
        <v/>
      </c>
      <c r="AB13" s="2330">
        <f t="array" ref="AB13">AB15</f>
        <v/>
      </c>
      <c r="AC13" s="2330">
        <f t="array" ref="AC13">AC15</f>
        <v/>
      </c>
      <c r="AD13" s="2330">
        <f t="array" ref="AD13">AD15</f>
        <v/>
      </c>
      <c r="AE13" s="2330">
        <f t="array" ref="AE13">AE15</f>
        <v/>
      </c>
      <c r="AF13" s="2330">
        <f t="array" ref="AF13">AF15</f>
        <v/>
      </c>
      <c r="AG13" s="2330">
        <f t="array" ref="AG13">AG15</f>
        <v/>
      </c>
      <c r="AH13" s="2330">
        <f t="array" ref="AH13">AH15</f>
        <v/>
      </c>
      <c r="AI13" s="2330">
        <f t="array" ref="AI13">AI15</f>
        <v/>
      </c>
      <c r="AJ13" s="2330">
        <f t="array" ref="AJ13">AJ15</f>
        <v/>
      </c>
      <c r="AK13" s="2330">
        <f t="array" ref="AK13">AK15</f>
        <v/>
      </c>
      <c r="AL13" s="2330">
        <f t="array" ref="AL13">AL15</f>
        <v/>
      </c>
      <c r="AM13" s="2330">
        <f t="array" ref="AM13">AM15</f>
        <v/>
      </c>
      <c r="AN13" s="2330">
        <f t="array" ref="AN13">AN15</f>
        <v/>
      </c>
      <c r="AO13" s="2330">
        <f t="array" ref="AO13">AO15</f>
        <v/>
      </c>
      <c r="AP13" s="2330">
        <f t="array" ref="AP13">AP15</f>
        <v/>
      </c>
      <c r="AQ13" s="2330">
        <f t="array" ref="AQ13">AQ15</f>
        <v/>
      </c>
      <c r="AR13" s="1226" t="n"/>
      <c r="AS13" s="1226" t="n"/>
      <c r="AT13" s="1226" t="n"/>
      <c r="AU13" s="1226" t="n"/>
      <c r="AV13" s="1226" t="n"/>
    </row>
    <row r="14" ht="13.55" customHeight="1" s="1676">
      <c r="A14" s="1216" t="n"/>
      <c r="B14" s="1217" t="inlineStr">
        <is>
          <t>Text_615</t>
        </is>
      </c>
      <c r="C14" s="1234" t="n"/>
      <c r="D14" s="1235">
        <f t="array" ref="D14">'Model'!BA101</f>
        <v/>
      </c>
      <c r="E14" s="1235">
        <f t="array" ref="E14">'Model'!BF101</f>
        <v/>
      </c>
      <c r="F14" s="1235">
        <f t="array" ref="F14">'Model'!BK101</f>
        <v/>
      </c>
      <c r="G14" s="1235">
        <f t="array" ref="G14">'Model'!BP101</f>
        <v/>
      </c>
      <c r="H14" s="1235">
        <f t="array" ref="H14">'Model'!BU101</f>
        <v/>
      </c>
      <c r="I14" s="2326">
        <f t="array" ref="I14">I19/I16</f>
        <v/>
      </c>
      <c r="J14" s="2327">
        <f t="array" ref="J14">J19/J16</f>
        <v/>
      </c>
      <c r="K14" s="2327">
        <f t="array" ref="K14">K19/K16</f>
        <v/>
      </c>
      <c r="L14" s="2327">
        <f t="array" ref="L14">L19/L16</f>
        <v/>
      </c>
      <c r="M14" s="2327">
        <f t="array" ref="M14">M19/M16</f>
        <v/>
      </c>
      <c r="N14" s="2327">
        <f t="array" ref="N14">N19/N16</f>
        <v/>
      </c>
      <c r="O14" s="2327">
        <f t="array" ref="O14">O19/O16</f>
        <v/>
      </c>
      <c r="P14" s="2327">
        <f t="array" ref="P14">P19/P16</f>
        <v/>
      </c>
      <c r="Q14" s="2327">
        <f t="array" ref="Q14">Q19/Q16</f>
        <v/>
      </c>
      <c r="R14" s="2327">
        <f t="array" ref="R14">R19/R16</f>
        <v/>
      </c>
      <c r="S14" s="2327">
        <f t="array" ref="S14">S19/S16</f>
        <v/>
      </c>
      <c r="T14" s="2327">
        <f t="array" ref="T14">T19/T16</f>
        <v/>
      </c>
      <c r="U14" s="2327">
        <f t="array" ref="U14">U19/U16</f>
        <v/>
      </c>
      <c r="V14" s="2327">
        <f t="array" ref="V14">V19/V16</f>
        <v/>
      </c>
      <c r="W14" s="2327">
        <f t="array" ref="W14">W19/W16</f>
        <v/>
      </c>
      <c r="X14" s="2327">
        <f t="array" ref="X14">X19/X16</f>
        <v/>
      </c>
      <c r="Y14" s="2327">
        <f t="array" ref="Y14">Y19/Y16</f>
        <v/>
      </c>
      <c r="Z14" s="2327">
        <f t="array" ref="Z14">Z19/Z16</f>
        <v/>
      </c>
      <c r="AA14" s="2327">
        <f t="array" ref="AA14">AA19/AA16</f>
        <v/>
      </c>
      <c r="AB14" s="2327">
        <f t="array" ref="AB14">AB19/AB16</f>
        <v/>
      </c>
      <c r="AC14" s="2327">
        <f t="array" ref="AC14">AC19/AC16</f>
        <v/>
      </c>
      <c r="AD14" s="2327">
        <f t="array" ref="AD14">AD19/AD16</f>
        <v/>
      </c>
      <c r="AE14" s="2327">
        <f t="array" ref="AE14">AE19/AE16</f>
        <v/>
      </c>
      <c r="AF14" s="2327">
        <f t="array" ref="AF14">AF19/AF16</f>
        <v/>
      </c>
      <c r="AG14" s="2327">
        <f t="array" ref="AG14">AG19/AG16</f>
        <v/>
      </c>
      <c r="AH14" s="2327">
        <f t="array" ref="AH14">AH19/AH16</f>
        <v/>
      </c>
      <c r="AI14" s="2327">
        <f t="array" ref="AI14">AI19/AI16</f>
        <v/>
      </c>
      <c r="AJ14" s="2327">
        <f t="array" ref="AJ14">AJ19/AJ16</f>
        <v/>
      </c>
      <c r="AK14" s="2327">
        <f t="array" ref="AK14">AK19/AK16</f>
        <v/>
      </c>
      <c r="AL14" s="2327">
        <f t="array" ref="AL14">AL19/AL16</f>
        <v/>
      </c>
      <c r="AM14" s="2327">
        <f t="array" ref="AM14">AM19/AM16</f>
        <v/>
      </c>
      <c r="AN14" s="2327">
        <f t="array" ref="AN14">AN19/AN16</f>
        <v/>
      </c>
      <c r="AO14" s="2327">
        <f t="array" ref="AO14">AO19/AO16</f>
        <v/>
      </c>
      <c r="AP14" s="2327">
        <f t="array" ref="AP14">AP19/AP16</f>
        <v/>
      </c>
      <c r="AQ14" s="2327">
        <f t="array" ref="AQ14">AQ19/AQ16</f>
        <v/>
      </c>
      <c r="AR14" s="2328">
        <f t="array" ref="AR14">(AQ14/D14)^(1/39)-1</f>
        <v/>
      </c>
      <c r="AS14" s="1226" t="n"/>
      <c r="AT14" s="1226" t="n"/>
      <c r="AU14" s="1226" t="n"/>
      <c r="AV14" s="1226" t="n"/>
    </row>
    <row r="15" ht="13.55" customHeight="1" s="1676">
      <c r="A15" s="1216" t="n"/>
      <c r="B15" s="1217" t="inlineStr">
        <is>
          <t>Text_15</t>
        </is>
      </c>
      <c r="C15" s="1232" t="n"/>
      <c r="D15" s="1242" t="n"/>
      <c r="E15" s="2331">
        <f t="array" ref="E15">E14/D14-1</f>
        <v/>
      </c>
      <c r="F15" s="2331">
        <f t="array" ref="F15">F14/E14-1</f>
        <v/>
      </c>
      <c r="G15" s="2331">
        <f t="array" ref="G15">G14/F14-1</f>
        <v/>
      </c>
      <c r="H15" s="2331">
        <f t="array" ref="H15">H14/G14-1</f>
        <v/>
      </c>
      <c r="I15" s="2323">
        <f t="array" ref="I15">I14/H14-1</f>
        <v/>
      </c>
      <c r="J15" s="2323">
        <f t="array" ref="J15">J14/I14-1</f>
        <v/>
      </c>
      <c r="K15" s="2323">
        <f t="array" ref="K15">K14/J14-1</f>
        <v/>
      </c>
      <c r="L15" s="2323">
        <f t="array" ref="L15">L14/K14-1</f>
        <v/>
      </c>
      <c r="M15" s="2323">
        <f t="array" ref="M15">M14/L14-1</f>
        <v/>
      </c>
      <c r="N15" s="2323">
        <f t="array" ref="N15">N14/M14-1</f>
        <v/>
      </c>
      <c r="O15" s="2323">
        <f t="array" ref="O15">O14/N14-1</f>
        <v/>
      </c>
      <c r="P15" s="2323">
        <f t="array" ref="P15">P14/O14-1</f>
        <v/>
      </c>
      <c r="Q15" s="2323">
        <f t="array" ref="Q15">Q14/P14-1</f>
        <v/>
      </c>
      <c r="R15" s="2323">
        <f t="array" ref="R15">R14/Q14-1</f>
        <v/>
      </c>
      <c r="S15" s="2323">
        <f t="array" ref="S15">S14/R14-1</f>
        <v/>
      </c>
      <c r="T15" s="2323">
        <f t="array" ref="T15">T14/S14-1</f>
        <v/>
      </c>
      <c r="U15" s="2323">
        <f t="array" ref="U15">U14/T14-1</f>
        <v/>
      </c>
      <c r="V15" s="2323">
        <f t="array" ref="V15">V14/U14-1</f>
        <v/>
      </c>
      <c r="W15" s="2323">
        <f t="array" ref="W15">W14/V14-1</f>
        <v/>
      </c>
      <c r="X15" s="2323">
        <f t="array" ref="X15">X14/W14-1</f>
        <v/>
      </c>
      <c r="Y15" s="2323">
        <f t="array" ref="Y15">Y14/X14-1</f>
        <v/>
      </c>
      <c r="Z15" s="2323">
        <f t="array" ref="Z15">Z14/Y14-1</f>
        <v/>
      </c>
      <c r="AA15" s="2323">
        <f t="array" ref="AA15">AA14/Z14-1</f>
        <v/>
      </c>
      <c r="AB15" s="2323">
        <f t="array" ref="AB15">AB14/AA14-1</f>
        <v/>
      </c>
      <c r="AC15" s="2323">
        <f t="array" ref="AC15">AC14/AB14-1</f>
        <v/>
      </c>
      <c r="AD15" s="2323">
        <f t="array" ref="AD15">AD14/AC14-1</f>
        <v/>
      </c>
      <c r="AE15" s="2323">
        <f t="array" ref="AE15">AE14/AD14-1</f>
        <v/>
      </c>
      <c r="AF15" s="2323">
        <f t="array" ref="AF15">AF14/AE14-1</f>
        <v/>
      </c>
      <c r="AG15" s="2323">
        <f t="array" ref="AG15">AG14/AF14-1</f>
        <v/>
      </c>
      <c r="AH15" s="2323">
        <f t="array" ref="AH15">AH14/AG14-1</f>
        <v/>
      </c>
      <c r="AI15" s="2323">
        <f t="array" ref="AI15">AI14/AH14-1</f>
        <v/>
      </c>
      <c r="AJ15" s="2323">
        <f t="array" ref="AJ15">AJ14/AI14-1</f>
        <v/>
      </c>
      <c r="AK15" s="2323">
        <f t="array" ref="AK15">AK14/AJ14-1</f>
        <v/>
      </c>
      <c r="AL15" s="2323">
        <f t="array" ref="AL15">AL14/AK14-1</f>
        <v/>
      </c>
      <c r="AM15" s="2323">
        <f t="array" ref="AM15">AM14/AL14-1</f>
        <v/>
      </c>
      <c r="AN15" s="2323">
        <f t="array" ref="AN15">AN14/AM14-1</f>
        <v/>
      </c>
      <c r="AO15" s="2323">
        <f t="array" ref="AO15">AO14/AN14-1</f>
        <v/>
      </c>
      <c r="AP15" s="2323">
        <f t="array" ref="AP15">AP14/AO14-1</f>
        <v/>
      </c>
      <c r="AQ15" s="2323">
        <f t="array" ref="AQ15">AQ14/AP14-1</f>
        <v/>
      </c>
      <c r="AR15" s="1226" t="n"/>
      <c r="AS15" s="1226" t="n"/>
      <c r="AT15" s="1226" t="n"/>
      <c r="AU15" s="1226" t="n"/>
      <c r="AV15" s="1226" t="n"/>
    </row>
    <row r="16" ht="13.55" customHeight="1" s="1676">
      <c r="A16" s="1216" t="n"/>
      <c r="B16" s="1217" t="inlineStr">
        <is>
          <t>Text_616</t>
        </is>
      </c>
      <c r="C16" s="1232" t="n"/>
      <c r="D16" s="2323">
        <f t="array" ref="D16">D19/D14</f>
        <v/>
      </c>
      <c r="E16" s="2323">
        <f t="array" ref="E16">E19/E14</f>
        <v/>
      </c>
      <c r="F16" s="2323">
        <f t="array" ref="F16">F19/F14</f>
        <v/>
      </c>
      <c r="G16" s="2323">
        <f t="array" ref="G16">G19/G14</f>
        <v/>
      </c>
      <c r="H16" s="2323">
        <f t="array" ref="H16">H19/H14</f>
        <v/>
      </c>
      <c r="I16" s="2330">
        <f t="array" ref="I16">H16-0.2%</f>
        <v/>
      </c>
      <c r="J16" s="2330">
        <f t="array" ref="J16">I16-0.2%</f>
        <v/>
      </c>
      <c r="K16" s="2330">
        <f t="array" ref="K16">J16-0.2%</f>
        <v/>
      </c>
      <c r="L16" s="2330">
        <f t="array" ref="L16">K16-0.2%</f>
        <v/>
      </c>
      <c r="M16" s="2330">
        <f t="array" ref="M16">L16-0.2%</f>
        <v/>
      </c>
      <c r="N16" s="2330">
        <f t="array" ref="N16">M16-0.2%</f>
        <v/>
      </c>
      <c r="O16" s="2330">
        <f t="array" ref="O16">N16-0.2%</f>
        <v/>
      </c>
      <c r="P16" s="2330">
        <f t="array" ref="P16">O16-0.1%</f>
        <v/>
      </c>
      <c r="Q16" s="2330">
        <f t="array" ref="Q16">P16-0.1%</f>
        <v/>
      </c>
      <c r="R16" s="2330">
        <f t="array" ref="R16">Q16-0.1%</f>
        <v/>
      </c>
      <c r="S16" s="2330">
        <f t="array" ref="S16">R16-0.1%</f>
        <v/>
      </c>
      <c r="T16" s="2330">
        <f t="array" ref="T16">S16-0.1%</f>
        <v/>
      </c>
      <c r="U16" s="2330">
        <f t="array" ref="U16">T16-0.1%</f>
        <v/>
      </c>
      <c r="V16" s="2330">
        <f t="array" ref="V16">U16-0.1%</f>
        <v/>
      </c>
      <c r="W16" s="2330">
        <f t="array" ref="W16">V16-0.1%</f>
        <v/>
      </c>
      <c r="X16" s="2330">
        <f t="array" ref="X16">W16-0.1%</f>
        <v/>
      </c>
      <c r="Y16" s="2330">
        <f t="array" ref="Y16">X16-0.1%</f>
        <v/>
      </c>
      <c r="Z16" s="2330">
        <f t="array" ref="Z16">Y16-0.1%</f>
        <v/>
      </c>
      <c r="AA16" s="2330">
        <f t="array" ref="AA16">Z16</f>
        <v/>
      </c>
      <c r="AB16" s="2330">
        <f t="array" ref="AB16">AA16</f>
        <v/>
      </c>
      <c r="AC16" s="2330">
        <f t="array" ref="AC16">AB16</f>
        <v/>
      </c>
      <c r="AD16" s="2330">
        <f t="array" ref="AD16">AC16</f>
        <v/>
      </c>
      <c r="AE16" s="2330">
        <f t="array" ref="AE16">AD16</f>
        <v/>
      </c>
      <c r="AF16" s="2330">
        <f t="array" ref="AF16">AE16</f>
        <v/>
      </c>
      <c r="AG16" s="2330">
        <f t="array" ref="AG16">AF16</f>
        <v/>
      </c>
      <c r="AH16" s="2330">
        <f t="array" ref="AH16">AG16</f>
        <v/>
      </c>
      <c r="AI16" s="2330">
        <f t="array" ref="AI16">AH16</f>
        <v/>
      </c>
      <c r="AJ16" s="2330">
        <f t="array" ref="AJ16">AI16</f>
        <v/>
      </c>
      <c r="AK16" s="2330">
        <f t="array" ref="AK16">AJ16</f>
        <v/>
      </c>
      <c r="AL16" s="2330">
        <f t="array" ref="AL16">AK16</f>
        <v/>
      </c>
      <c r="AM16" s="2330">
        <f t="array" ref="AM16">AL16</f>
        <v/>
      </c>
      <c r="AN16" s="2330">
        <f t="array" ref="AN16">AM16</f>
        <v/>
      </c>
      <c r="AO16" s="2330">
        <f t="array" ref="AO16">AN16</f>
        <v/>
      </c>
      <c r="AP16" s="2330">
        <f t="array" ref="AP16">AO16</f>
        <v/>
      </c>
      <c r="AQ16" s="2330">
        <f t="array" ref="AQ16">AP16</f>
        <v/>
      </c>
      <c r="AR16" s="1226" t="n"/>
      <c r="AS16" s="1226" t="n"/>
      <c r="AT16" s="1226" t="n"/>
      <c r="AU16" s="1226" t="n"/>
      <c r="AV16" s="1226" t="n"/>
    </row>
    <row r="17" ht="13.55" customHeight="1" s="1676">
      <c r="A17" s="1216" t="n"/>
      <c r="B17" s="1217" t="inlineStr">
        <is>
          <t>Text_617</t>
        </is>
      </c>
      <c r="C17" s="1232" t="n"/>
      <c r="D17" s="2323">
        <f t="array" ref="D17">D19/D12</f>
        <v/>
      </c>
      <c r="E17" s="2323">
        <f t="array" ref="E17">E19/E12</f>
        <v/>
      </c>
      <c r="F17" s="2323">
        <f t="array" ref="F17">F19/F12</f>
        <v/>
      </c>
      <c r="G17" s="2323">
        <f t="array" ref="G17">G19/G12</f>
        <v/>
      </c>
      <c r="H17" s="2323">
        <f t="array" ref="H17">H19/H12</f>
        <v/>
      </c>
      <c r="I17" s="2323">
        <f t="array" ref="I17">I19/I12</f>
        <v/>
      </c>
      <c r="J17" s="2323">
        <f t="array" ref="J17">J19/J12</f>
        <v/>
      </c>
      <c r="K17" s="2323">
        <f t="array" ref="K17">K19/K12</f>
        <v/>
      </c>
      <c r="L17" s="2323">
        <f t="array" ref="L17">L19/L12</f>
        <v/>
      </c>
      <c r="M17" s="2323">
        <f t="array" ref="M17">M19/M12</f>
        <v/>
      </c>
      <c r="N17" s="2323">
        <f t="array" ref="N17">N19/N12</f>
        <v/>
      </c>
      <c r="O17" s="2323">
        <f t="array" ref="O17">O19/O12</f>
        <v/>
      </c>
      <c r="P17" s="2323">
        <f t="array" ref="P17">P19/P12</f>
        <v/>
      </c>
      <c r="Q17" s="2323">
        <f t="array" ref="Q17">Q19/Q12</f>
        <v/>
      </c>
      <c r="R17" s="2323">
        <f t="array" ref="R17">R19/R12</f>
        <v/>
      </c>
      <c r="S17" s="2323">
        <f t="array" ref="S17">S19/S12</f>
        <v/>
      </c>
      <c r="T17" s="2323">
        <f t="array" ref="T17">T19/T12</f>
        <v/>
      </c>
      <c r="U17" s="2323">
        <f t="array" ref="U17">U19/U12</f>
        <v/>
      </c>
      <c r="V17" s="2323">
        <f t="array" ref="V17">V19/V12</f>
        <v/>
      </c>
      <c r="W17" s="2323">
        <f t="array" ref="W17">W19/W12</f>
        <v/>
      </c>
      <c r="X17" s="2323">
        <f t="array" ref="X17">X19/X12</f>
        <v/>
      </c>
      <c r="Y17" s="2323">
        <f t="array" ref="Y17">Y19/Y12</f>
        <v/>
      </c>
      <c r="Z17" s="2323">
        <f t="array" ref="Z17">Z19/Z12</f>
        <v/>
      </c>
      <c r="AA17" s="2323">
        <f t="array" ref="AA17">AA19/AA12</f>
        <v/>
      </c>
      <c r="AB17" s="2323">
        <f t="array" ref="AB17">AB19/AB12</f>
        <v/>
      </c>
      <c r="AC17" s="2323">
        <f t="array" ref="AC17">AC19/AC12</f>
        <v/>
      </c>
      <c r="AD17" s="2323">
        <f t="array" ref="AD17">AD19/AD12</f>
        <v/>
      </c>
      <c r="AE17" s="2323">
        <f t="array" ref="AE17">AE19/AE12</f>
        <v/>
      </c>
      <c r="AF17" s="2323">
        <f t="array" ref="AF17">AF19/AF12</f>
        <v/>
      </c>
      <c r="AG17" s="2323">
        <f t="array" ref="AG17">AG19/AG12</f>
        <v/>
      </c>
      <c r="AH17" s="2323">
        <f t="array" ref="AH17">AH19/AH12</f>
        <v/>
      </c>
      <c r="AI17" s="2323">
        <f t="array" ref="AI17">AI19/AI12</f>
        <v/>
      </c>
      <c r="AJ17" s="2323">
        <f t="array" ref="AJ17">AJ19/AJ12</f>
        <v/>
      </c>
      <c r="AK17" s="2323">
        <f t="array" ref="AK17">AK19/AK12</f>
        <v/>
      </c>
      <c r="AL17" s="2323">
        <f t="array" ref="AL17">AL19/AL12</f>
        <v/>
      </c>
      <c r="AM17" s="2323">
        <f t="array" ref="AM17">AM19/AM12</f>
        <v/>
      </c>
      <c r="AN17" s="2323">
        <f t="array" ref="AN17">AN19/AN12</f>
        <v/>
      </c>
      <c r="AO17" s="2323">
        <f t="array" ref="AO17">AO19/AO12</f>
        <v/>
      </c>
      <c r="AP17" s="2323">
        <f t="array" ref="AP17">AP19/AP12</f>
        <v/>
      </c>
      <c r="AQ17" s="2323">
        <f t="array" ref="AQ17">AQ19/AQ12</f>
        <v/>
      </c>
      <c r="AR17" s="1226" t="n"/>
      <c r="AS17" s="1226" t="n"/>
      <c r="AT17" s="1226" t="n"/>
      <c r="AU17" s="1226" t="n"/>
      <c r="AV17" s="1226" t="n"/>
    </row>
    <row r="18" ht="13.55" customHeight="1" s="1676">
      <c r="A18" s="1216" t="n"/>
      <c r="B18" s="2323" t="n"/>
      <c r="C18" s="1232" t="n"/>
      <c r="D18" s="1233" t="n"/>
      <c r="E18" s="1233" t="n"/>
      <c r="F18" s="1233" t="n"/>
      <c r="G18" s="1233" t="n"/>
      <c r="H18" s="1232" t="n"/>
      <c r="I18" s="1232" t="n"/>
      <c r="J18" s="1232" t="n"/>
      <c r="K18" s="1232" t="n"/>
      <c r="L18" s="1232" t="n"/>
      <c r="M18" s="1232" t="n"/>
      <c r="N18" s="1232" t="n"/>
      <c r="O18" s="1232" t="n"/>
      <c r="P18" s="1232" t="n"/>
      <c r="Q18" s="1232" t="n"/>
      <c r="R18" s="1232" t="n"/>
      <c r="S18" s="1232" t="n"/>
      <c r="T18" s="1232" t="n"/>
      <c r="U18" s="1232" t="n"/>
      <c r="V18" s="1232" t="n"/>
      <c r="W18" s="1232" t="n"/>
      <c r="X18" s="1232" t="n"/>
      <c r="Y18" s="1232" t="n"/>
      <c r="Z18" s="1232" t="n"/>
      <c r="AA18" s="1232" t="n"/>
      <c r="AB18" s="1232" t="n"/>
      <c r="AC18" s="1232" t="n"/>
      <c r="AD18" s="1232" t="n"/>
      <c r="AE18" s="1232" t="n"/>
      <c r="AF18" s="1232" t="n"/>
      <c r="AG18" s="1232" t="n"/>
      <c r="AH18" s="1232" t="n"/>
      <c r="AI18" s="1232" t="n"/>
      <c r="AJ18" s="1232" t="n"/>
      <c r="AK18" s="1232" t="n"/>
      <c r="AL18" s="1232" t="n"/>
      <c r="AM18" s="1232" t="n"/>
      <c r="AN18" s="1232" t="n"/>
      <c r="AO18" s="1232" t="n"/>
      <c r="AP18" s="1232" t="n"/>
      <c r="AQ18" s="1232" t="n"/>
      <c r="AR18" s="1226" t="n"/>
      <c r="AS18" s="1226" t="n"/>
      <c r="AT18" s="1226" t="n"/>
      <c r="AU18" s="1226" t="n"/>
      <c r="AV18" s="1226" t="n"/>
    </row>
    <row r="19" ht="13.55" customHeight="1" s="1676">
      <c r="A19" s="1216" t="n"/>
      <c r="B19" s="1217" t="inlineStr">
        <is>
          <t>Text_618</t>
        </is>
      </c>
      <c r="C19" s="1244" t="n"/>
      <c r="D19" s="1245">
        <f t="array" ref="D19">'Model'!BA111</f>
        <v/>
      </c>
      <c r="E19" s="1245">
        <f t="array" ref="E19">'Model'!BF111</f>
        <v/>
      </c>
      <c r="F19" s="1245">
        <f t="array" ref="F19">'Model'!BK111</f>
        <v/>
      </c>
      <c r="G19" s="1245">
        <f t="array" ref="G19">'Model'!BP111</f>
        <v/>
      </c>
      <c r="H19" s="1246">
        <f t="array" ref="H19">G19*(1+H20)</f>
        <v/>
      </c>
      <c r="I19" s="1247">
        <f t="array" ref="I19">H19*(1+I20)</f>
        <v/>
      </c>
      <c r="J19" s="1247">
        <f t="array" ref="J19">I19*(1+J20)</f>
        <v/>
      </c>
      <c r="K19" s="1247">
        <f t="array" ref="K19">J19*(1+K20)</f>
        <v/>
      </c>
      <c r="L19" s="1247">
        <f t="array" ref="L19">K19*(1+L20)</f>
        <v/>
      </c>
      <c r="M19" s="1247">
        <f t="array" ref="M19">L19*(1+M20)</f>
        <v/>
      </c>
      <c r="N19" s="1247">
        <f t="array" ref="N19">M19*(1+N20)</f>
        <v/>
      </c>
      <c r="O19" s="1247">
        <f t="array" ref="O19">N19*(1+O20)</f>
        <v/>
      </c>
      <c r="P19" s="1247">
        <f t="array" ref="P19">O19*(1+P20)</f>
        <v/>
      </c>
      <c r="Q19" s="1247">
        <f t="array" ref="Q19">P19*(1+Q20)</f>
        <v/>
      </c>
      <c r="R19" s="1247">
        <f t="array" ref="R19">Q19*(1+R20)</f>
        <v/>
      </c>
      <c r="S19" s="1247">
        <f t="array" ref="S19">R19*(1+S20)</f>
        <v/>
      </c>
      <c r="T19" s="1247">
        <f t="array" ref="T19">S19*(1+T20)</f>
        <v/>
      </c>
      <c r="U19" s="1247">
        <f t="array" ref="U19">T19*(1+U20)</f>
        <v/>
      </c>
      <c r="V19" s="1247">
        <f t="array" ref="V19">U19*(1+V20)</f>
        <v/>
      </c>
      <c r="W19" s="1247">
        <f t="array" ref="W19">V19*(1+W20)</f>
        <v/>
      </c>
      <c r="X19" s="1247">
        <f t="array" ref="X19">W19*(1+X20)</f>
        <v/>
      </c>
      <c r="Y19" s="1247">
        <f t="array" ref="Y19">X19*(1+Y20)</f>
        <v/>
      </c>
      <c r="Z19" s="1247">
        <f t="array" ref="Z19">Y19*(1+Z20)</f>
        <v/>
      </c>
      <c r="AA19" s="1247">
        <f t="array" ref="AA19">Z19*(1+AA20)</f>
        <v/>
      </c>
      <c r="AB19" s="1247">
        <f t="array" ref="AB19">AA19*(1+AB20)</f>
        <v/>
      </c>
      <c r="AC19" s="1247">
        <f t="array" ref="AC19">AB19*(1+AC20)</f>
        <v/>
      </c>
      <c r="AD19" s="1247">
        <f t="array" ref="AD19">AC19*(1+AD20)</f>
        <v/>
      </c>
      <c r="AE19" s="1247">
        <f t="array" ref="AE19">AD19*(1+AE20)</f>
        <v/>
      </c>
      <c r="AF19" s="1247">
        <f t="array" ref="AF19">AE19*(1+AF20)</f>
        <v/>
      </c>
      <c r="AG19" s="1247">
        <f t="array" ref="AG19">AF19*(1+AG20)</f>
        <v/>
      </c>
      <c r="AH19" s="1247">
        <f t="array" ref="AH19">AG19*(1+AH20)</f>
        <v/>
      </c>
      <c r="AI19" s="1247">
        <f t="array" ref="AI19">AH19*(1+AI20)</f>
        <v/>
      </c>
      <c r="AJ19" s="1247">
        <f t="array" ref="AJ19">AI19*(1+AJ20)</f>
        <v/>
      </c>
      <c r="AK19" s="1247">
        <f t="array" ref="AK19">AJ19*(1+AK20)</f>
        <v/>
      </c>
      <c r="AL19" s="1247">
        <f t="array" ref="AL19">AK19*(1+AL20)</f>
        <v/>
      </c>
      <c r="AM19" s="1247">
        <f t="array" ref="AM19">AL19*(1+AM20)</f>
        <v/>
      </c>
      <c r="AN19" s="1247">
        <f t="array" ref="AN19">AM19*(1+AN20)</f>
        <v/>
      </c>
      <c r="AO19" s="1247">
        <f t="array" ref="AO19">AN19*(1+AO20)</f>
        <v/>
      </c>
      <c r="AP19" s="1247">
        <f t="array" ref="AP19">AO19*(1+AP20)</f>
        <v/>
      </c>
      <c r="AQ19" s="1247">
        <f t="array" ref="AQ19">AP19*(1+AQ20)</f>
        <v/>
      </c>
      <c r="AR19" s="2323">
        <f t="array" ref="AR19">(AQ19/D19)^(1/39)-1</f>
        <v/>
      </c>
      <c r="AS19" s="1216" t="n"/>
      <c r="AT19" s="1247" t="n"/>
      <c r="AU19" s="1247" t="n"/>
      <c r="AV19" s="1216" t="n"/>
    </row>
    <row r="20" ht="13.55" customHeight="1" s="1676">
      <c r="A20" s="1248" t="n"/>
      <c r="B20" s="1217" t="inlineStr">
        <is>
          <t>Text_15</t>
        </is>
      </c>
      <c r="C20" s="2330" t="n"/>
      <c r="D20" s="2329" t="n"/>
      <c r="E20" s="2329">
        <f t="array" ref="E20">E19/D19-1</f>
        <v/>
      </c>
      <c r="F20" s="2329">
        <f t="array" ref="F20">F19/E19-1</f>
        <v/>
      </c>
      <c r="G20" s="2329">
        <f t="array" ref="G20">G19/F19-1</f>
        <v/>
      </c>
      <c r="H20" s="2330" t="n">
        <v>0.112487418980943</v>
      </c>
      <c r="I20" s="2330">
        <f t="array" ref="I20">H20</f>
        <v/>
      </c>
      <c r="J20" s="2330" t="n">
        <v>0.115271173959428</v>
      </c>
      <c r="K20" s="2330" t="n">
        <v>-0.0978721540815235</v>
      </c>
      <c r="L20" s="2330" t="n">
        <v>0.150211615149191</v>
      </c>
      <c r="M20" s="2330" t="n">
        <v>0.111688560727938</v>
      </c>
      <c r="N20" s="2330">
        <f t="array" ref="N20">M20</f>
        <v/>
      </c>
      <c r="O20" s="2330">
        <f t="array" ref="O20">N20</f>
        <v/>
      </c>
      <c r="P20" s="2330">
        <f t="array" ref="P20">O20</f>
        <v/>
      </c>
      <c r="Q20" s="2330">
        <f t="array" ref="Q20">P20</f>
        <v/>
      </c>
      <c r="R20" s="2330">
        <f t="array" ref="R20">Q20</f>
        <v/>
      </c>
      <c r="S20" s="2330">
        <f t="array" ref="S20">R20</f>
        <v/>
      </c>
      <c r="T20" s="2330">
        <f t="array" ref="T20">S20</f>
        <v/>
      </c>
      <c r="U20" s="2330" t="n">
        <v>-0.105474742896192</v>
      </c>
      <c r="V20" s="2330" t="n">
        <v>0.150197080191009</v>
      </c>
      <c r="W20" s="2330" t="n">
        <v>0.10001700859501</v>
      </c>
      <c r="X20" s="2330">
        <f t="array" ref="X20">W20</f>
        <v/>
      </c>
      <c r="Y20" s="2330">
        <f t="array" ref="Y20">X20</f>
        <v/>
      </c>
      <c r="Z20" s="2330">
        <f t="array" ref="Z20">Y20</f>
        <v/>
      </c>
      <c r="AA20" s="2330">
        <f t="array" ref="AA20">Z20</f>
        <v/>
      </c>
      <c r="AB20" s="2330">
        <f t="array" ref="AB20">AA20</f>
        <v/>
      </c>
      <c r="AC20" s="2330">
        <f t="array" ref="AC20">AB20</f>
        <v/>
      </c>
      <c r="AD20" s="2330">
        <f t="array" ref="AD20">AC20</f>
        <v/>
      </c>
      <c r="AE20" s="2330" t="n">
        <v>-0.0940032401309731</v>
      </c>
      <c r="AF20" s="2330" t="n">
        <v>0.140698231053125</v>
      </c>
      <c r="AG20" s="2330" t="n">
        <v>0.0906139195429965</v>
      </c>
      <c r="AH20" s="2330">
        <f t="array" ref="AH20">AG20</f>
        <v/>
      </c>
      <c r="AI20" s="2330">
        <f t="array" ref="AI20">AH20</f>
        <v/>
      </c>
      <c r="AJ20" s="2330">
        <f t="array" ref="AJ20">AI20</f>
        <v/>
      </c>
      <c r="AK20" s="2330">
        <f t="array" ref="AK20">AJ20</f>
        <v/>
      </c>
      <c r="AL20" s="2330">
        <f t="array" ref="AL20">AK20</f>
        <v/>
      </c>
      <c r="AM20" s="2330">
        <f t="array" ref="AM20">AL20</f>
        <v/>
      </c>
      <c r="AN20" s="2330">
        <f t="array" ref="AN20">AM20</f>
        <v/>
      </c>
      <c r="AO20" s="2330" t="n">
        <v>-0.09917571484331129</v>
      </c>
      <c r="AP20" s="2330" t="n">
        <v>0.156783607899606</v>
      </c>
      <c r="AQ20" s="2330" t="n">
        <v>0.0763805822369264</v>
      </c>
      <c r="AR20" s="2330" t="n"/>
      <c r="AS20" s="2330" t="n"/>
      <c r="AT20" s="2330" t="n"/>
      <c r="AU20" s="2330" t="n"/>
      <c r="AV20" s="1216" t="n"/>
    </row>
    <row r="21" ht="13.55" customHeight="1" s="1676">
      <c r="A21" s="1216" t="n"/>
      <c r="B21" s="1217" t="inlineStr">
        <is>
          <t>Text_619</t>
        </is>
      </c>
      <c r="C21" s="1244" t="n"/>
      <c r="D21" s="1245">
        <f t="array" ref="D21">'Valuation'!N69</f>
        <v/>
      </c>
      <c r="E21" s="1245">
        <f t="array" ref="E21">'Valuation'!N70</f>
        <v/>
      </c>
      <c r="F21" s="1245">
        <f t="array" ref="F21">'Valuation'!N71</f>
        <v/>
      </c>
      <c r="G21" s="1245">
        <f t="array" ref="G21">'Valuation'!N72</f>
        <v/>
      </c>
      <c r="H21" s="1246">
        <f t="array" ref="H21">G21+(H19-G19)*H23</f>
        <v/>
      </c>
      <c r="I21" s="1247">
        <f t="array" ref="I21">H21+(I19-H19)*I23</f>
        <v/>
      </c>
      <c r="J21" s="1247">
        <f t="array" ref="J21">I21+(J19-I19)*J23</f>
        <v/>
      </c>
      <c r="K21" s="1247">
        <f t="array" ref="K21">J21+(K19-J19)*K23</f>
        <v/>
      </c>
      <c r="L21" s="1247">
        <f t="array" ref="L21">K21+(L19-K19)*L23</f>
        <v/>
      </c>
      <c r="M21" s="1247">
        <f t="array" ref="M21">L21+(M19-L19)*M23</f>
        <v/>
      </c>
      <c r="N21" s="1247">
        <f t="array" ref="N21">M21+(N19-M19)*N23</f>
        <v/>
      </c>
      <c r="O21" s="1247">
        <f t="array" ref="O21">N21+(O19-N19)*O23</f>
        <v/>
      </c>
      <c r="P21" s="1247">
        <f t="array" ref="P21">O21+(P19-O19)*P23</f>
        <v/>
      </c>
      <c r="Q21" s="1247">
        <f t="array" ref="Q21">P21+(Q19-P19)*Q23</f>
        <v/>
      </c>
      <c r="R21" s="1247">
        <f t="array" ref="R21">Q21+(R19-Q19)*R23</f>
        <v/>
      </c>
      <c r="S21" s="1247">
        <f t="array" ref="S21">R21+(S19-R19)*S23</f>
        <v/>
      </c>
      <c r="T21" s="1247">
        <f t="array" ref="T21">S21+(T19-S19)*T23</f>
        <v/>
      </c>
      <c r="U21" s="1247">
        <f t="array" ref="U21">T21+(U19-T19)*U23</f>
        <v/>
      </c>
      <c r="V21" s="1247">
        <f t="array" ref="V21">U21+(V19-U19)*V23</f>
        <v/>
      </c>
      <c r="W21" s="1247">
        <f t="array" ref="W21">V21+(W19-V19)*W23</f>
        <v/>
      </c>
      <c r="X21" s="1247">
        <f t="array" ref="X21">W21+(X19-W19)*X23</f>
        <v/>
      </c>
      <c r="Y21" s="1247">
        <f t="array" ref="Y21">X21+(Y19-X19)*Y23</f>
        <v/>
      </c>
      <c r="Z21" s="1247">
        <f t="array" ref="Z21">Y21+(Z19-Y19)*Z23</f>
        <v/>
      </c>
      <c r="AA21" s="1247">
        <f t="array" ref="AA21">Z21+(AA19-Z19)*AA23</f>
        <v/>
      </c>
      <c r="AB21" s="1247">
        <f t="array" ref="AB21">AA21+(AB19-AA19)*AB23</f>
        <v/>
      </c>
      <c r="AC21" s="1247">
        <f t="array" ref="AC21">AB21+(AC19-AB19)*AC23</f>
        <v/>
      </c>
      <c r="AD21" s="1247">
        <f t="array" ref="AD21">AC21+(AD19-AC19)*AD23</f>
        <v/>
      </c>
      <c r="AE21" s="1247">
        <f t="array" ref="AE21">AD21+(AE19-AD19)*AE23</f>
        <v/>
      </c>
      <c r="AF21" s="1247">
        <f t="array" ref="AF21">AE21+(AF19-AE19)*AF23</f>
        <v/>
      </c>
      <c r="AG21" s="1247">
        <f t="array" ref="AG21">AF21+(AG19-AF19)*AG23</f>
        <v/>
      </c>
      <c r="AH21" s="1247">
        <f t="array" ref="AH21">AG21+(AH19-AG19)*AH23</f>
        <v/>
      </c>
      <c r="AI21" s="1247">
        <f t="array" ref="AI21">AH21+(AI19-AH19)*AI23</f>
        <v/>
      </c>
      <c r="AJ21" s="1247">
        <f t="array" ref="AJ21">AI21+(AJ19-AI19)*AJ23</f>
        <v/>
      </c>
      <c r="AK21" s="1247">
        <f t="array" ref="AK21">AJ21+(AK19-AJ19)*AK23</f>
        <v/>
      </c>
      <c r="AL21" s="1247">
        <f t="array" ref="AL21">AK21+(AL19-AK19)*AL23</f>
        <v/>
      </c>
      <c r="AM21" s="1247">
        <f t="array" ref="AM21">AL21+(AM19-AL19)*AM23</f>
        <v/>
      </c>
      <c r="AN21" s="1247">
        <f t="array" ref="AN21">AM21+(AN19-AM19)*AN23</f>
        <v/>
      </c>
      <c r="AO21" s="1247">
        <f t="array" ref="AO21">AN21+(AO19-AN19)*AO23</f>
        <v/>
      </c>
      <c r="AP21" s="1247">
        <f t="array" ref="AP21">AO21+(AP19-AO19)*AP23</f>
        <v/>
      </c>
      <c r="AQ21" s="1247">
        <f t="array" ref="AQ21">AP21+(AQ19-AP19)*AQ23</f>
        <v/>
      </c>
      <c r="AR21" s="2323">
        <f t="array" ref="AR21">(AQ21/D21)^(1/39)-1</f>
        <v/>
      </c>
      <c r="AS21" s="1216" t="n"/>
      <c r="AT21" s="1247" t="n"/>
      <c r="AU21" s="1247" t="n"/>
      <c r="AV21" s="1216" t="n"/>
    </row>
    <row r="22" ht="13.55" customHeight="1" s="1676">
      <c r="A22" s="1216" t="n"/>
      <c r="B22" s="1217" t="inlineStr">
        <is>
          <t>Text_620</t>
        </is>
      </c>
      <c r="C22" s="2323" t="n"/>
      <c r="D22" s="2331">
        <f t="array" ref="D22">D21/D19</f>
        <v/>
      </c>
      <c r="E22" s="2331">
        <f t="array" ref="E22">E21/E19</f>
        <v/>
      </c>
      <c r="F22" s="2331">
        <f t="array" ref="F22">F21/F19</f>
        <v/>
      </c>
      <c r="G22" s="2331">
        <f t="array" ref="G22">G21/G19</f>
        <v/>
      </c>
      <c r="H22" s="2323">
        <f t="array" ref="H22">H21/H19</f>
        <v/>
      </c>
      <c r="I22" s="2323">
        <f t="array" ref="I22">I21/I19</f>
        <v/>
      </c>
      <c r="J22" s="2323">
        <f t="array" ref="J22">J21/J19</f>
        <v/>
      </c>
      <c r="K22" s="2323">
        <f t="array" ref="K22">K21/K19</f>
        <v/>
      </c>
      <c r="L22" s="2323">
        <f t="array" ref="L22">L21/L19</f>
        <v/>
      </c>
      <c r="M22" s="2323">
        <f t="array" ref="M22">M21/M19</f>
        <v/>
      </c>
      <c r="N22" s="2323">
        <f t="array" ref="N22">N21/N19</f>
        <v/>
      </c>
      <c r="O22" s="2323">
        <f t="array" ref="O22">O21/O19</f>
        <v/>
      </c>
      <c r="P22" s="2323">
        <f t="array" ref="P22">P21/P19</f>
        <v/>
      </c>
      <c r="Q22" s="2323">
        <f t="array" ref="Q22">Q21/Q19</f>
        <v/>
      </c>
      <c r="R22" s="2323">
        <f t="array" ref="R22">R21/R19</f>
        <v/>
      </c>
      <c r="S22" s="2323">
        <f t="array" ref="S22">S21/S19</f>
        <v/>
      </c>
      <c r="T22" s="2323">
        <f t="array" ref="T22">T21/T19</f>
        <v/>
      </c>
      <c r="U22" s="2323">
        <f t="array" ref="U22">U21/U19</f>
        <v/>
      </c>
      <c r="V22" s="2323">
        <f t="array" ref="V22">V21/V19</f>
        <v/>
      </c>
      <c r="W22" s="2323">
        <f t="array" ref="W22">W21/W19</f>
        <v/>
      </c>
      <c r="X22" s="2323">
        <f t="array" ref="X22">X21/X19</f>
        <v/>
      </c>
      <c r="Y22" s="2323">
        <f t="array" ref="Y22">Y21/Y19</f>
        <v/>
      </c>
      <c r="Z22" s="2323">
        <f t="array" ref="Z22">Z21/Z19</f>
        <v/>
      </c>
      <c r="AA22" s="2323">
        <f t="array" ref="AA22">AA21/AA19</f>
        <v/>
      </c>
      <c r="AB22" s="2323">
        <f t="array" ref="AB22">AB21/AB19</f>
        <v/>
      </c>
      <c r="AC22" s="2323">
        <f t="array" ref="AC22">AC21/AC19</f>
        <v/>
      </c>
      <c r="AD22" s="2323">
        <f t="array" ref="AD22">AD21/AD19</f>
        <v/>
      </c>
      <c r="AE22" s="2323">
        <f t="array" ref="AE22">AE21/AE19</f>
        <v/>
      </c>
      <c r="AF22" s="2323">
        <f t="array" ref="AF22">AF21/AF19</f>
        <v/>
      </c>
      <c r="AG22" s="2323">
        <f t="array" ref="AG22">AG21/AG19</f>
        <v/>
      </c>
      <c r="AH22" s="2323">
        <f t="array" ref="AH22">AH21/AH19</f>
        <v/>
      </c>
      <c r="AI22" s="2323">
        <f t="array" ref="AI22">AI21/AI19</f>
        <v/>
      </c>
      <c r="AJ22" s="2323">
        <f t="array" ref="AJ22">AJ21/AJ19</f>
        <v/>
      </c>
      <c r="AK22" s="2323">
        <f t="array" ref="AK22">AK21/AK19</f>
        <v/>
      </c>
      <c r="AL22" s="2323">
        <f t="array" ref="AL22">AL21/AL19</f>
        <v/>
      </c>
      <c r="AM22" s="2323">
        <f t="array" ref="AM22">AM21/AM19</f>
        <v/>
      </c>
      <c r="AN22" s="2323">
        <f t="array" ref="AN22">AN21/AN19</f>
        <v/>
      </c>
      <c r="AO22" s="2323">
        <f t="array" ref="AO22">AO21/AO19</f>
        <v/>
      </c>
      <c r="AP22" s="2323">
        <f t="array" ref="AP22">AP21/AP19</f>
        <v/>
      </c>
      <c r="AQ22" s="2323">
        <f t="array" ref="AQ22">AQ21/AQ19</f>
        <v/>
      </c>
      <c r="AR22" s="2323" t="n"/>
      <c r="AS22" s="2323" t="n"/>
      <c r="AT22" s="2323" t="n"/>
      <c r="AU22" s="2323" t="n"/>
      <c r="AV22" s="1216" t="n"/>
    </row>
    <row r="23" ht="13.55" customHeight="1" s="1676">
      <c r="A23" s="1248" t="n"/>
      <c r="B23" s="1217" t="inlineStr">
        <is>
          <t>Text_621</t>
        </is>
      </c>
      <c r="C23" s="2330" t="n"/>
      <c r="D23" s="2323">
        <f t="array" ref="D23">(D21-C21)/(D19-C19)</f>
        <v/>
      </c>
      <c r="E23" s="2323">
        <f t="array" ref="E23">(E21-D21)/(E19-D19)</f>
        <v/>
      </c>
      <c r="F23" s="2323">
        <f t="array" ref="F23">(F21-E21)/(F19-E19)</f>
        <v/>
      </c>
      <c r="G23" s="2323">
        <f t="array" ref="G23">(G21-F21)/(G19-F19)</f>
        <v/>
      </c>
      <c r="H23" s="2330" t="n">
        <v>0.51516458855525</v>
      </c>
      <c r="I23" s="2330">
        <f t="array" ref="I23">H23</f>
        <v/>
      </c>
      <c r="J23" s="2330">
        <f t="array" ref="J23">I23</f>
        <v/>
      </c>
      <c r="K23" s="2330" t="n">
        <v>0.645583359887278</v>
      </c>
      <c r="L23" s="2330" t="n">
        <v>0.530748427495166</v>
      </c>
      <c r="M23" s="2330">
        <f t="array" ref="M23">L23</f>
        <v/>
      </c>
      <c r="N23" s="2330">
        <f t="array" ref="N23">M23</f>
        <v/>
      </c>
      <c r="O23" s="2330">
        <f t="array" ref="O23">N23</f>
        <v/>
      </c>
      <c r="P23" s="2330">
        <f t="array" ref="P23">O23</f>
        <v/>
      </c>
      <c r="Q23" s="2330">
        <f t="array" ref="Q23">P23</f>
        <v/>
      </c>
      <c r="R23" s="2330">
        <f t="array" ref="R23">Q23</f>
        <v/>
      </c>
      <c r="S23" s="2330">
        <f t="array" ref="S23">R23</f>
        <v/>
      </c>
      <c r="T23" s="2330">
        <f t="array" ref="T23">S23</f>
        <v/>
      </c>
      <c r="U23" s="2330" t="n">
        <v>0.610966579022699</v>
      </c>
      <c r="V23" s="2330" t="n">
        <v>0.566470541035493</v>
      </c>
      <c r="W23" s="2330">
        <f t="array" ref="W23">V23</f>
        <v/>
      </c>
      <c r="X23" s="2330">
        <f t="array" ref="X23">W23</f>
        <v/>
      </c>
      <c r="Y23" s="2330">
        <f t="array" ref="Y23">X23</f>
        <v/>
      </c>
      <c r="Z23" s="2330">
        <f t="array" ref="Z23">Y23</f>
        <v/>
      </c>
      <c r="AA23" s="2330">
        <f t="array" ref="AA23">Z23</f>
        <v/>
      </c>
      <c r="AB23" s="2330">
        <f t="array" ref="AB23">AA23</f>
        <v/>
      </c>
      <c r="AC23" s="2330">
        <f t="array" ref="AC23">AB23</f>
        <v/>
      </c>
      <c r="AD23" s="2330">
        <f t="array" ref="AD23">AC23</f>
        <v/>
      </c>
      <c r="AE23" s="2330" t="n">
        <v>0.616338059996295</v>
      </c>
      <c r="AF23" s="2330" t="n">
        <v>0.55794343000057</v>
      </c>
      <c r="AG23" s="2330">
        <f t="array" ref="AG23">AF23</f>
        <v/>
      </c>
      <c r="AH23" s="2330">
        <f t="array" ref="AH23">AG23</f>
        <v/>
      </c>
      <c r="AI23" s="2330">
        <f t="array" ref="AI23">AH23</f>
        <v/>
      </c>
      <c r="AJ23" s="2330">
        <f t="array" ref="AJ23">AI23</f>
        <v/>
      </c>
      <c r="AK23" s="2330">
        <f t="array" ref="AK23">AJ23</f>
        <v/>
      </c>
      <c r="AL23" s="2330">
        <f t="array" ref="AL23">AK23</f>
        <v/>
      </c>
      <c r="AM23" s="2330">
        <f t="array" ref="AM23">AL23</f>
        <v/>
      </c>
      <c r="AN23" s="2330">
        <f t="array" ref="AN23">AM23</f>
        <v/>
      </c>
      <c r="AO23" s="2330" t="n">
        <v>0.63102431168113</v>
      </c>
      <c r="AP23" s="2330" t="n">
        <v>0.526056377026035</v>
      </c>
      <c r="AQ23" s="2330">
        <f t="array" ref="AQ23">AP23</f>
        <v/>
      </c>
      <c r="AR23" s="2330" t="n"/>
      <c r="AS23" s="2330" t="n"/>
      <c r="AT23" s="2330" t="n"/>
      <c r="AU23" s="2330" t="n"/>
      <c r="AV23" s="1216" t="n"/>
    </row>
    <row r="24" ht="13.55" customHeight="1" s="1676">
      <c r="A24" s="1216" t="n"/>
      <c r="B24" s="1217" t="inlineStr">
        <is>
          <t>Text_15</t>
        </is>
      </c>
      <c r="C24" s="2323" t="n"/>
      <c r="D24" s="2323" t="n"/>
      <c r="E24" s="2323">
        <f t="array" ref="E24">E21/D21-1</f>
        <v/>
      </c>
      <c r="F24" s="2323">
        <f t="array" ref="F24">F21/E21-1</f>
        <v/>
      </c>
      <c r="G24" s="2323">
        <f t="array" ref="G24">G21/F21-1</f>
        <v/>
      </c>
      <c r="H24" s="2323">
        <f t="array" ref="H24">H21/G21-1</f>
        <v/>
      </c>
      <c r="I24" s="2323">
        <f t="array" ref="I24">I21/H21-1</f>
        <v/>
      </c>
      <c r="J24" s="2323">
        <f t="array" ref="J24">J21/I21-1</f>
        <v/>
      </c>
      <c r="K24" s="2323">
        <f t="array" ref="K24">K21/J21-1</f>
        <v/>
      </c>
      <c r="L24" s="2323">
        <f t="array" ref="L24">L21/K21-1</f>
        <v/>
      </c>
      <c r="M24" s="2323">
        <f t="array" ref="M24">M21/L21-1</f>
        <v/>
      </c>
      <c r="N24" s="2323">
        <f t="array" ref="N24">N21/M21-1</f>
        <v/>
      </c>
      <c r="O24" s="2323">
        <f t="array" ref="O24">O21/N21-1</f>
        <v/>
      </c>
      <c r="P24" s="2323">
        <f t="array" ref="P24">P21/O21-1</f>
        <v/>
      </c>
      <c r="Q24" s="2323">
        <f t="array" ref="Q24">Q21/P21-1</f>
        <v/>
      </c>
      <c r="R24" s="2323">
        <f t="array" ref="R24">R21/Q21-1</f>
        <v/>
      </c>
      <c r="S24" s="2323">
        <f t="array" ref="S24">S21/R21-1</f>
        <v/>
      </c>
      <c r="T24" s="2323">
        <f t="array" ref="T24">T21/S21-1</f>
        <v/>
      </c>
      <c r="U24" s="2323">
        <f t="array" ref="U24">U21/T21-1</f>
        <v/>
      </c>
      <c r="V24" s="2323">
        <f t="array" ref="V24">V21/U21-1</f>
        <v/>
      </c>
      <c r="W24" s="2323">
        <f t="array" ref="W24">W21/V21-1</f>
        <v/>
      </c>
      <c r="X24" s="2323">
        <f t="array" ref="X24">X21/W21-1</f>
        <v/>
      </c>
      <c r="Y24" s="2323">
        <f t="array" ref="Y24">Y21/X21-1</f>
        <v/>
      </c>
      <c r="Z24" s="2323">
        <f t="array" ref="Z24">Z21/Y21-1</f>
        <v/>
      </c>
      <c r="AA24" s="2323">
        <f t="array" ref="AA24">AA21/Z21-1</f>
        <v/>
      </c>
      <c r="AB24" s="2323">
        <f t="array" ref="AB24">AB21/AA21-1</f>
        <v/>
      </c>
      <c r="AC24" s="2323">
        <f t="array" ref="AC24">AC21/AB21-1</f>
        <v/>
      </c>
      <c r="AD24" s="2323">
        <f t="array" ref="AD24">AD21/AC21-1</f>
        <v/>
      </c>
      <c r="AE24" s="2323">
        <f t="array" ref="AE24">AE21/AD21-1</f>
        <v/>
      </c>
      <c r="AF24" s="2323">
        <f t="array" ref="AF24">AF21/AE21-1</f>
        <v/>
      </c>
      <c r="AG24" s="2323">
        <f t="array" ref="AG24">AG21/AF21-1</f>
        <v/>
      </c>
      <c r="AH24" s="2323">
        <f t="array" ref="AH24">AH21/AG21-1</f>
        <v/>
      </c>
      <c r="AI24" s="2323">
        <f t="array" ref="AI24">AI21/AH21-1</f>
        <v/>
      </c>
      <c r="AJ24" s="2323">
        <f t="array" ref="AJ24">AJ21/AI21-1</f>
        <v/>
      </c>
      <c r="AK24" s="2323">
        <f t="array" ref="AK24">AK21/AJ21-1</f>
        <v/>
      </c>
      <c r="AL24" s="2323">
        <f t="array" ref="AL24">AL21/AK21-1</f>
        <v/>
      </c>
      <c r="AM24" s="2323">
        <f t="array" ref="AM24">AM21/AL21-1</f>
        <v/>
      </c>
      <c r="AN24" s="2323">
        <f t="array" ref="AN24">AN21/AM21-1</f>
        <v/>
      </c>
      <c r="AO24" s="2323">
        <f t="array" ref="AO24">AO21/AN21-1</f>
        <v/>
      </c>
      <c r="AP24" s="2323">
        <f t="array" ref="AP24">AP21/AO21-1</f>
        <v/>
      </c>
      <c r="AQ24" s="2323">
        <f t="array" ref="AQ24">AQ21/AP21-1</f>
        <v/>
      </c>
      <c r="AR24" s="2323" t="n"/>
      <c r="AS24" s="2323" t="n"/>
      <c r="AT24" s="2323" t="n"/>
      <c r="AU24" s="2323" t="n"/>
      <c r="AV24" s="1216" t="n"/>
    </row>
    <row r="25" ht="13.55" customHeight="1" s="1676">
      <c r="A25" s="1216" t="n"/>
      <c r="B25" s="1217" t="inlineStr">
        <is>
          <t>Text_622</t>
        </is>
      </c>
      <c r="C25" s="1247" t="n"/>
      <c r="D25" s="1247">
        <f t="array" ref="D25">D21*(1-$C$4)</f>
        <v/>
      </c>
      <c r="E25" s="1247">
        <f t="array" ref="E25">E21*(1-$C$4)</f>
        <v/>
      </c>
      <c r="F25" s="1247">
        <f t="array" ref="F25">F21*(1-$C$4)</f>
        <v/>
      </c>
      <c r="G25" s="1247">
        <f t="array" ref="G25">G21*(1-$C$4)</f>
        <v/>
      </c>
      <c r="H25" s="1247">
        <f t="array" ref="H25">H21*(1-$C$4)</f>
        <v/>
      </c>
      <c r="I25" s="1247">
        <f t="array" ref="I25">I21*(1-$C$4)</f>
        <v/>
      </c>
      <c r="J25" s="1247">
        <f t="array" ref="J25">J21*(1-$C$4)</f>
        <v/>
      </c>
      <c r="K25" s="1247">
        <f t="array" ref="K25">K21*(1-$C$4)</f>
        <v/>
      </c>
      <c r="L25" s="1247">
        <f t="array" ref="L25">L21*(1-$C$4)</f>
        <v/>
      </c>
      <c r="M25" s="1247">
        <f t="array" ref="M25">M21*(1-$C$4)</f>
        <v/>
      </c>
      <c r="N25" s="1247">
        <f t="array" ref="N25">N21*(1-$C$4)</f>
        <v/>
      </c>
      <c r="O25" s="1247">
        <f t="array" ref="O25">O21*(1-$C$4)</f>
        <v/>
      </c>
      <c r="P25" s="1247">
        <f t="array" ref="P25">P21*(1-$C$4)</f>
        <v/>
      </c>
      <c r="Q25" s="1247">
        <f t="array" ref="Q25">Q21*(1-$C$4)</f>
        <v/>
      </c>
      <c r="R25" s="1247">
        <f t="array" ref="R25">R21*(1-$C$4)</f>
        <v/>
      </c>
      <c r="S25" s="1247">
        <f t="array" ref="S25">S21*(1-$C$4)</f>
        <v/>
      </c>
      <c r="T25" s="1247">
        <f t="array" ref="T25">T21*(1-$C$4)</f>
        <v/>
      </c>
      <c r="U25" s="1247">
        <f t="array" ref="U25">U21*(1-$C$4)</f>
        <v/>
      </c>
      <c r="V25" s="1247">
        <f t="array" ref="V25">V21*(1-$C$4)</f>
        <v/>
      </c>
      <c r="W25" s="1247">
        <f t="array" ref="W25">W21*(1-$C$4)</f>
        <v/>
      </c>
      <c r="X25" s="1247">
        <f t="array" ref="X25">X21*(1-$C$4)</f>
        <v/>
      </c>
      <c r="Y25" s="1247">
        <f t="array" ref="Y25">Y21*(1-$C$4)</f>
        <v/>
      </c>
      <c r="Z25" s="1247">
        <f t="array" ref="Z25">Z21*(1-$C$4)</f>
        <v/>
      </c>
      <c r="AA25" s="1247">
        <f t="array" ref="AA25">AA21*(1-$C$4)</f>
        <v/>
      </c>
      <c r="AB25" s="1247">
        <f t="array" ref="AB25">AB21*(1-$C$4)</f>
        <v/>
      </c>
      <c r="AC25" s="1247">
        <f t="array" ref="AC25">AC21*(1-$C$4)</f>
        <v/>
      </c>
      <c r="AD25" s="1247">
        <f t="array" ref="AD25">AD21*(1-$C$4)</f>
        <v/>
      </c>
      <c r="AE25" s="1247">
        <f t="array" ref="AE25">AE21*(1-$C$4)</f>
        <v/>
      </c>
      <c r="AF25" s="1247">
        <f t="array" ref="AF25">AF21*(1-$C$4)</f>
        <v/>
      </c>
      <c r="AG25" s="1247">
        <f t="array" ref="AG25">AG21*(1-$C$4)</f>
        <v/>
      </c>
      <c r="AH25" s="1247">
        <f t="array" ref="AH25">AH21*(1-$C$4)</f>
        <v/>
      </c>
      <c r="AI25" s="1247">
        <f t="array" ref="AI25">AI21*(1-$C$4)</f>
        <v/>
      </c>
      <c r="AJ25" s="1247">
        <f t="array" ref="AJ25">AJ21*(1-$C$4)</f>
        <v/>
      </c>
      <c r="AK25" s="1247">
        <f t="array" ref="AK25">AK21*(1-$C$4)</f>
        <v/>
      </c>
      <c r="AL25" s="1247">
        <f t="array" ref="AL25">AL21*(1-$C$4)</f>
        <v/>
      </c>
      <c r="AM25" s="1247">
        <f t="array" ref="AM25">AM21*(1-$C$4)</f>
        <v/>
      </c>
      <c r="AN25" s="1247">
        <f t="array" ref="AN25">AN21*(1-$C$4)</f>
        <v/>
      </c>
      <c r="AO25" s="1247">
        <f t="array" ref="AO25">AO21*(1-$C$4)</f>
        <v/>
      </c>
      <c r="AP25" s="1247">
        <f t="array" ref="AP25">AP21*(1-$C$4)</f>
        <v/>
      </c>
      <c r="AQ25" s="1247">
        <f t="array" ref="AQ25">AQ21*(1-$C$4)</f>
        <v/>
      </c>
      <c r="AR25" s="2323">
        <f t="array" ref="AR25">(AQ25/D25)^(1/39)-1</f>
        <v/>
      </c>
      <c r="AS25" s="1247" t="n"/>
      <c r="AT25" s="1247" t="n"/>
      <c r="AU25" s="1247" t="n"/>
      <c r="AV25" s="1216" t="n"/>
    </row>
    <row r="26" ht="13.55" customHeight="1" s="1676">
      <c r="A26" s="1216" t="n"/>
      <c r="B26" s="1217" t="inlineStr">
        <is>
          <t>Text_623</t>
        </is>
      </c>
      <c r="C26" s="1247" t="n"/>
      <c r="D26" s="1247">
        <f t="array" ref="D26">D27*D19</f>
        <v/>
      </c>
      <c r="E26" s="1247">
        <f t="array" ref="E26">E27*E19</f>
        <v/>
      </c>
      <c r="F26" s="1247">
        <f t="array" ref="F26">F27*F19</f>
        <v/>
      </c>
      <c r="G26" s="1247">
        <f t="array" ref="G26">G27*G19</f>
        <v/>
      </c>
      <c r="H26" s="1247">
        <f t="array" ref="H26">H27*H19</f>
        <v/>
      </c>
      <c r="I26" s="1247">
        <f t="array" ref="I26">I27*I19</f>
        <v/>
      </c>
      <c r="J26" s="1247">
        <f t="array" ref="J26">J27*J19</f>
        <v/>
      </c>
      <c r="K26" s="1247">
        <f t="array" ref="K26">K27*K19</f>
        <v/>
      </c>
      <c r="L26" s="1247">
        <f t="array" ref="L26">L27*L19</f>
        <v/>
      </c>
      <c r="M26" s="1247">
        <f t="array" ref="M26">M27*M19</f>
        <v/>
      </c>
      <c r="N26" s="1247">
        <f t="array" ref="N26">N27*N19</f>
        <v/>
      </c>
      <c r="O26" s="1247">
        <f t="array" ref="O26">O27*O19</f>
        <v/>
      </c>
      <c r="P26" s="1247">
        <f t="array" ref="P26">P27*P19</f>
        <v/>
      </c>
      <c r="Q26" s="1247">
        <f t="array" ref="Q26">Q27*Q19</f>
        <v/>
      </c>
      <c r="R26" s="1247">
        <f t="array" ref="R26">R27*R19</f>
        <v/>
      </c>
      <c r="S26" s="1247">
        <f t="array" ref="S26">S27*S19</f>
        <v/>
      </c>
      <c r="T26" s="1247">
        <f t="array" ref="T26">T27*T19</f>
        <v/>
      </c>
      <c r="U26" s="1247">
        <f t="array" ref="U26">U27*U19</f>
        <v/>
      </c>
      <c r="V26" s="1247">
        <f t="array" ref="V26">V27*V19</f>
        <v/>
      </c>
      <c r="W26" s="1247">
        <f t="array" ref="W26">W27*W19</f>
        <v/>
      </c>
      <c r="X26" s="1247">
        <f t="array" ref="X26">X27*X19</f>
        <v/>
      </c>
      <c r="Y26" s="1247">
        <f t="array" ref="Y26">Y27*Y19</f>
        <v/>
      </c>
      <c r="Z26" s="1247">
        <f t="array" ref="Z26">Z27*Z19</f>
        <v/>
      </c>
      <c r="AA26" s="1247">
        <f t="array" ref="AA26">AA27*AA19</f>
        <v/>
      </c>
      <c r="AB26" s="1247">
        <f t="array" ref="AB26">AB27*AB19</f>
        <v/>
      </c>
      <c r="AC26" s="1247">
        <f t="array" ref="AC26">AC27*AC19</f>
        <v/>
      </c>
      <c r="AD26" s="1247">
        <f t="array" ref="AD26">AD27*AD19</f>
        <v/>
      </c>
      <c r="AE26" s="1247">
        <f t="array" ref="AE26">AE27*AE19</f>
        <v/>
      </c>
      <c r="AF26" s="1247">
        <f t="array" ref="AF26">AF27*AF19</f>
        <v/>
      </c>
      <c r="AG26" s="1247">
        <f t="array" ref="AG26">AG27*AG19</f>
        <v/>
      </c>
      <c r="AH26" s="1247">
        <f t="array" ref="AH26">AH27*AH19</f>
        <v/>
      </c>
      <c r="AI26" s="1247">
        <f t="array" ref="AI26">AI27*AI19</f>
        <v/>
      </c>
      <c r="AJ26" s="1247">
        <f t="array" ref="AJ26">AJ27*AJ19</f>
        <v/>
      </c>
      <c r="AK26" s="1247">
        <f t="array" ref="AK26">AK27*AK19</f>
        <v/>
      </c>
      <c r="AL26" s="1247">
        <f t="array" ref="AL26">AL27*AL19</f>
        <v/>
      </c>
      <c r="AM26" s="1247">
        <f t="array" ref="AM26">AM27*AM19</f>
        <v/>
      </c>
      <c r="AN26" s="1247">
        <f t="array" ref="AN26">AN27*AN19</f>
        <v/>
      </c>
      <c r="AO26" s="1247">
        <f t="array" ref="AO26">AO27*AO19</f>
        <v/>
      </c>
      <c r="AP26" s="1247">
        <f t="array" ref="AP26">AP27*AP19</f>
        <v/>
      </c>
      <c r="AQ26" s="1247">
        <f t="array" ref="AQ26">AQ27*AQ19</f>
        <v/>
      </c>
      <c r="AR26" s="2323">
        <f t="array" ref="AR26">(AQ26/D26)^(1/39)-1</f>
        <v/>
      </c>
      <c r="AS26" s="1247" t="n"/>
      <c r="AT26" s="1247" t="n"/>
      <c r="AU26" s="1247" t="n"/>
      <c r="AV26" s="1216" t="n"/>
    </row>
    <row r="27" ht="13.55" customHeight="1" s="1676">
      <c r="A27" s="1216" t="n"/>
      <c r="B27" s="1217" t="inlineStr">
        <is>
          <t>Text_100</t>
        </is>
      </c>
      <c r="C27" s="2323" t="n"/>
      <c r="D27" s="2332" t="n">
        <v>0.039358674788903</v>
      </c>
      <c r="E27" s="2332">
        <f t="array" ref="E27">D27-0.5%</f>
        <v/>
      </c>
      <c r="F27" s="2332">
        <f t="array" ref="F27">E27-0.5%</f>
        <v/>
      </c>
      <c r="G27" s="2332">
        <f t="array" ref="G27">F27-0.5%</f>
        <v/>
      </c>
      <c r="H27" s="2330">
        <f t="array" ref="H27">G27</f>
        <v/>
      </c>
      <c r="I27" s="2330">
        <f t="array" ref="I27">H27</f>
        <v/>
      </c>
      <c r="J27" s="2330">
        <f t="array" ref="J27">I27</f>
        <v/>
      </c>
      <c r="K27" s="2330">
        <f t="array" ref="K27">J27</f>
        <v/>
      </c>
      <c r="L27" s="2330">
        <f t="array" ref="L27">K27</f>
        <v/>
      </c>
      <c r="M27" s="2330">
        <f t="array" ref="M27">L27</f>
        <v/>
      </c>
      <c r="N27" s="2330">
        <f t="array" ref="N27">M27</f>
        <v/>
      </c>
      <c r="O27" s="2330">
        <f t="array" ref="O27">N27</f>
        <v/>
      </c>
      <c r="P27" s="2330">
        <f t="array" ref="P27">O27</f>
        <v/>
      </c>
      <c r="Q27" s="2330">
        <f t="array" ref="Q27">P27</f>
        <v/>
      </c>
      <c r="R27" s="2330">
        <f t="array" ref="R27">Q27</f>
        <v/>
      </c>
      <c r="S27" s="2330">
        <f t="array" ref="S27">R27</f>
        <v/>
      </c>
      <c r="T27" s="2330">
        <f t="array" ref="T27">S27</f>
        <v/>
      </c>
      <c r="U27" s="2330">
        <f t="array" ref="U27">T27</f>
        <v/>
      </c>
      <c r="V27" s="2330">
        <f t="array" ref="V27">U27</f>
        <v/>
      </c>
      <c r="W27" s="2330">
        <f t="array" ref="W27">V27</f>
        <v/>
      </c>
      <c r="X27" s="2330">
        <f t="array" ref="X27">W27</f>
        <v/>
      </c>
      <c r="Y27" s="2330">
        <f t="array" ref="Y27">X27</f>
        <v/>
      </c>
      <c r="Z27" s="2330">
        <f t="array" ref="Z27">Y27</f>
        <v/>
      </c>
      <c r="AA27" s="2330">
        <f t="array" ref="AA27">Z27</f>
        <v/>
      </c>
      <c r="AB27" s="2330">
        <f t="array" ref="AB27">AA27</f>
        <v/>
      </c>
      <c r="AC27" s="2330">
        <f t="array" ref="AC27">AB27</f>
        <v/>
      </c>
      <c r="AD27" s="2330">
        <f t="array" ref="AD27">AC27</f>
        <v/>
      </c>
      <c r="AE27" s="2330">
        <f t="array" ref="AE27">AD27</f>
        <v/>
      </c>
      <c r="AF27" s="2330">
        <f t="array" ref="AF27">AE27</f>
        <v/>
      </c>
      <c r="AG27" s="2330">
        <f t="array" ref="AG27">AF27</f>
        <v/>
      </c>
      <c r="AH27" s="2330">
        <f t="array" ref="AH27">AG27</f>
        <v/>
      </c>
      <c r="AI27" s="2330">
        <f t="array" ref="AI27">AH27</f>
        <v/>
      </c>
      <c r="AJ27" s="2330">
        <f t="array" ref="AJ27">AI27</f>
        <v/>
      </c>
      <c r="AK27" s="2330">
        <f t="array" ref="AK27">AJ27</f>
        <v/>
      </c>
      <c r="AL27" s="2330">
        <f t="array" ref="AL27">AK27</f>
        <v/>
      </c>
      <c r="AM27" s="2330">
        <f t="array" ref="AM27">AL27</f>
        <v/>
      </c>
      <c r="AN27" s="2330">
        <f t="array" ref="AN27">AM27</f>
        <v/>
      </c>
      <c r="AO27" s="2330">
        <f t="array" ref="AO27">AN27</f>
        <v/>
      </c>
      <c r="AP27" s="2330">
        <f t="array" ref="AP27">AO27</f>
        <v/>
      </c>
      <c r="AQ27" s="2330">
        <f t="array" ref="AQ27">AP27</f>
        <v/>
      </c>
      <c r="AR27" s="2323" t="n"/>
      <c r="AS27" s="2323" t="n"/>
      <c r="AT27" s="2323" t="n"/>
      <c r="AU27" s="2323" t="n"/>
      <c r="AV27" s="1216" t="n"/>
    </row>
    <row r="28" ht="13.55" customHeight="1" s="1676">
      <c r="A28" s="1216" t="n"/>
      <c r="B28" s="1217" t="inlineStr">
        <is>
          <t>Text_611</t>
        </is>
      </c>
      <c r="C28" s="1244" t="n"/>
      <c r="D28" s="1245">
        <f t="array" ref="D28">(0.5*'Model'!BA309)+(0.5*'Model'!BF309)</f>
        <v/>
      </c>
      <c r="E28" s="1245">
        <f t="array" ref="E28">(0.5*'Model'!BF309)+(0.5*'Model'!BK309)</f>
        <v/>
      </c>
      <c r="F28" s="1245">
        <f t="array" ref="F28">(0.5*'Model'!BK309)+(0.5*'Model'!BP309)</f>
        <v/>
      </c>
      <c r="G28" s="1245">
        <f t="array" ref="G28">(0.5*'Model'!BP309)+(0.5*'Model'!BU309)</f>
        <v/>
      </c>
      <c r="H28" s="1246">
        <f t="array" ref="H28">(H19-G19)*$C$6</f>
        <v/>
      </c>
      <c r="I28" s="1247">
        <f t="array" ref="I28">(I19-H19)*$C$6</f>
        <v/>
      </c>
      <c r="J28" s="1247">
        <f t="array" ref="J28">(J19-I19)*$C$6</f>
        <v/>
      </c>
      <c r="K28" s="1247">
        <f t="array" ref="K28">(K19-J19)*$C$6</f>
        <v/>
      </c>
      <c r="L28" s="1247">
        <f t="array" ref="L28">(L19-K19)*$C$6</f>
        <v/>
      </c>
      <c r="M28" s="1247">
        <f t="array" ref="M28">(M19-L19)*$C$6</f>
        <v/>
      </c>
      <c r="N28" s="1247">
        <f t="array" ref="N28">(N19-M19)*$C$6</f>
        <v/>
      </c>
      <c r="O28" s="1247">
        <f t="array" ref="O28">(O19-N19)*$C$6</f>
        <v/>
      </c>
      <c r="P28" s="1247">
        <f t="array" ref="P28">(P19-O19)*$C$6</f>
        <v/>
      </c>
      <c r="Q28" s="1247">
        <f t="array" ref="Q28">(Q19-P19)*$C$6</f>
        <v/>
      </c>
      <c r="R28" s="1247">
        <f t="array" ref="R28">(R19-Q19)*$C$6</f>
        <v/>
      </c>
      <c r="S28" s="1247">
        <f t="array" ref="S28">(S19-R19)*$C$6</f>
        <v/>
      </c>
      <c r="T28" s="1247">
        <f t="array" ref="T28">(T19-S19)*$C$6</f>
        <v/>
      </c>
      <c r="U28" s="1247">
        <f t="array" ref="U28">(U19-T19)*$C$6</f>
        <v/>
      </c>
      <c r="V28" s="1247">
        <f t="array" ref="V28">(V19-U19)*$C$6</f>
        <v/>
      </c>
      <c r="W28" s="1247">
        <f t="array" ref="W28">(W19-V19)*$C$6</f>
        <v/>
      </c>
      <c r="X28" s="1247">
        <f t="array" ref="X28">(X19-W19)*$C$6</f>
        <v/>
      </c>
      <c r="Y28" s="1247">
        <f t="array" ref="Y28">(Y19-X19)*$C$6</f>
        <v/>
      </c>
      <c r="Z28" s="1247">
        <f t="array" ref="Z28">(Z19-Y19)*$C$6</f>
        <v/>
      </c>
      <c r="AA28" s="1247">
        <f t="array" ref="AA28">(AA19-Z19)*$C$6</f>
        <v/>
      </c>
      <c r="AB28" s="1247">
        <f t="array" ref="AB28">(AB19-AA19)*$C$6</f>
        <v/>
      </c>
      <c r="AC28" s="1247">
        <f t="array" ref="AC28">(AC19-AB19)*$C$6</f>
        <v/>
      </c>
      <c r="AD28" s="1247">
        <f t="array" ref="AD28">(AD19-AC19)*$C$6</f>
        <v/>
      </c>
      <c r="AE28" s="1247">
        <f t="array" ref="AE28">(AE19-AD19)*$C$6</f>
        <v/>
      </c>
      <c r="AF28" s="1247">
        <f t="array" ref="AF28">(AF19-AE19)*$C$6</f>
        <v/>
      </c>
      <c r="AG28" s="1247">
        <f t="array" ref="AG28">(AG19-AF19)*$C$6</f>
        <v/>
      </c>
      <c r="AH28" s="1247">
        <f t="array" ref="AH28">(AH19-AG19)*$C$6</f>
        <v/>
      </c>
      <c r="AI28" s="1247">
        <f t="array" ref="AI28">(AI19-AH19)*$C$6</f>
        <v/>
      </c>
      <c r="AJ28" s="1247">
        <f t="array" ref="AJ28">(AJ19-AI19)*$C$6</f>
        <v/>
      </c>
      <c r="AK28" s="1247">
        <f t="array" ref="AK28">(AK19-AJ19)*$C$6</f>
        <v/>
      </c>
      <c r="AL28" s="1247">
        <f t="array" ref="AL28">(AL19-AK19)*$C$6</f>
        <v/>
      </c>
      <c r="AM28" s="1247">
        <f t="array" ref="AM28">(AM19-AL19)*$C$6</f>
        <v/>
      </c>
      <c r="AN28" s="1247">
        <f t="array" ref="AN28">(AN19-AM19)*$C$6</f>
        <v/>
      </c>
      <c r="AO28" s="1247">
        <f t="array" ref="AO28">(AO19-AN19)*$C$6</f>
        <v/>
      </c>
      <c r="AP28" s="1247">
        <f t="array" ref="AP28">(AP19-AO19)*$C$6</f>
        <v/>
      </c>
      <c r="AQ28" s="1247">
        <f t="array" ref="AQ28">(AQ19-AP19)*$C$6</f>
        <v/>
      </c>
      <c r="AR28" s="2323" t="n"/>
      <c r="AS28" s="1247" t="n"/>
      <c r="AT28" s="1247" t="n"/>
      <c r="AU28" s="1247" t="n"/>
      <c r="AV28" s="1216" t="n"/>
    </row>
    <row r="29" ht="13.55" customHeight="1" s="1676">
      <c r="A29" s="1250" t="n"/>
      <c r="B29" s="1217" t="inlineStr">
        <is>
          <t>Text_624</t>
        </is>
      </c>
      <c r="C29" s="1250" t="n"/>
      <c r="D29" s="1251" t="n"/>
      <c r="E29" s="1251">
        <f t="array" ref="E29">E28/(E19-D19)</f>
        <v/>
      </c>
      <c r="F29" s="1251">
        <f t="array" ref="F29">F28/(F19-E19)</f>
        <v/>
      </c>
      <c r="G29" s="1251">
        <f t="array" ref="G29">G28/(G19-F19)</f>
        <v/>
      </c>
      <c r="H29" s="1250">
        <f t="array" ref="H29">H28/(H19-G19)</f>
        <v/>
      </c>
      <c r="I29" s="1250">
        <f t="array" ref="I29">I28/(I19-H19)</f>
        <v/>
      </c>
      <c r="J29" s="1250">
        <f t="array" ref="J29">J28/(J19-I19)</f>
        <v/>
      </c>
      <c r="K29" s="1250">
        <f t="array" ref="K29">K28/(K19-J19)</f>
        <v/>
      </c>
      <c r="L29" s="1250">
        <f t="array" ref="L29">L28/(L19-K19)</f>
        <v/>
      </c>
      <c r="M29" s="1250">
        <f t="array" ref="M29">M28/(M19-L19)</f>
        <v/>
      </c>
      <c r="N29" s="1250">
        <f t="array" ref="N29">N28/(N19-M19)</f>
        <v/>
      </c>
      <c r="O29" s="1250">
        <f t="array" ref="O29">O28/(O19-N19)</f>
        <v/>
      </c>
      <c r="P29" s="1250">
        <f t="array" ref="P29">P28/(P19-O19)</f>
        <v/>
      </c>
      <c r="Q29" s="1250">
        <f t="array" ref="Q29">Q28/(Q19-P19)</f>
        <v/>
      </c>
      <c r="R29" s="1250">
        <f t="array" ref="R29">R28/(R19-Q19)</f>
        <v/>
      </c>
      <c r="S29" s="1250">
        <f t="array" ref="S29">S28/(S19-R19)</f>
        <v/>
      </c>
      <c r="T29" s="1250">
        <f t="array" ref="T29">T28/(T19-S19)</f>
        <v/>
      </c>
      <c r="U29" s="1250">
        <f t="array" ref="U29">U28/(U19-T19)</f>
        <v/>
      </c>
      <c r="V29" s="1250">
        <f t="array" ref="V29">V28/(V19-U19)</f>
        <v/>
      </c>
      <c r="W29" s="1250">
        <f t="array" ref="W29">W28/(W19-V19)</f>
        <v/>
      </c>
      <c r="X29" s="1250">
        <f t="array" ref="X29">X28/(X19-W19)</f>
        <v/>
      </c>
      <c r="Y29" s="1250">
        <f t="array" ref="Y29">Y28/(Y19-X19)</f>
        <v/>
      </c>
      <c r="Z29" s="1250">
        <f t="array" ref="Z29">Z28/(Z19-Y19)</f>
        <v/>
      </c>
      <c r="AA29" s="1250">
        <f t="array" ref="AA29">AA28/(AA19-Z19)</f>
        <v/>
      </c>
      <c r="AB29" s="1250">
        <f t="array" ref="AB29">AB28/(AB19-AA19)</f>
        <v/>
      </c>
      <c r="AC29" s="1250">
        <f t="array" ref="AC29">AC28/(AC19-AB19)</f>
        <v/>
      </c>
      <c r="AD29" s="1250">
        <f t="array" ref="AD29">AD28/(AD19-AC19)</f>
        <v/>
      </c>
      <c r="AE29" s="1250">
        <f t="array" ref="AE29">AE28/(AE19-AD19)</f>
        <v/>
      </c>
      <c r="AF29" s="1250">
        <f t="array" ref="AF29">AF28/(AF19-AE19)</f>
        <v/>
      </c>
      <c r="AG29" s="1250">
        <f t="array" ref="AG29">AG28/(AG19-AF19)</f>
        <v/>
      </c>
      <c r="AH29" s="1250">
        <f t="array" ref="AH29">AH28/(AH19-AG19)</f>
        <v/>
      </c>
      <c r="AI29" s="1250">
        <f t="array" ref="AI29">AI28/(AI19-AH19)</f>
        <v/>
      </c>
      <c r="AJ29" s="1250">
        <f t="array" ref="AJ29">AJ28/(AJ19-AI19)</f>
        <v/>
      </c>
      <c r="AK29" s="1250">
        <f t="array" ref="AK29">AK28/(AK19-AJ19)</f>
        <v/>
      </c>
      <c r="AL29" s="1250">
        <f t="array" ref="AL29">AL28/(AL19-AK19)</f>
        <v/>
      </c>
      <c r="AM29" s="1250">
        <f t="array" ref="AM29">AM28/(AM19-AL19)</f>
        <v/>
      </c>
      <c r="AN29" s="1250">
        <f t="array" ref="AN29">AN28/(AN19-AM19)</f>
        <v/>
      </c>
      <c r="AO29" s="1250">
        <f t="array" ref="AO29">AO28/(AO19-AN19)</f>
        <v/>
      </c>
      <c r="AP29" s="1250">
        <f t="array" ref="AP29">AP28/(AP19-AO19)</f>
        <v/>
      </c>
      <c r="AQ29" s="1250">
        <f t="array" ref="AQ29">AQ28/(AQ19-AP19)</f>
        <v/>
      </c>
      <c r="AR29" s="1250" t="n"/>
      <c r="AS29" s="1250" t="n"/>
      <c r="AT29" s="1250" t="n"/>
      <c r="AU29" s="1250" t="n"/>
      <c r="AV29" s="1216" t="n"/>
    </row>
    <row r="30" ht="13.55" customHeight="1" s="1676">
      <c r="A30" s="1250" t="n"/>
      <c r="B30" s="1217" t="inlineStr">
        <is>
          <t>Text_625</t>
        </is>
      </c>
      <c r="C30" s="1250" t="n"/>
      <c r="D30" s="2333">
        <f t="array" ref="D30">D28/D19</f>
        <v/>
      </c>
      <c r="E30" s="2333">
        <f t="array" ref="E30">E28/E19</f>
        <v/>
      </c>
      <c r="F30" s="2333">
        <f t="array" ref="F30">F28/F19</f>
        <v/>
      </c>
      <c r="G30" s="2333">
        <f t="array" ref="G30">G28/G19</f>
        <v/>
      </c>
      <c r="H30" s="2323">
        <f t="array" ref="H30">H28/H19</f>
        <v/>
      </c>
      <c r="I30" s="2323">
        <f t="array" ref="I30">I28/I19</f>
        <v/>
      </c>
      <c r="J30" s="2323">
        <f t="array" ref="J30">J28/J19</f>
        <v/>
      </c>
      <c r="K30" s="2323">
        <f t="array" ref="K30">K28/K19</f>
        <v/>
      </c>
      <c r="L30" s="2323">
        <f t="array" ref="L30">L28/L19</f>
        <v/>
      </c>
      <c r="M30" s="2323">
        <f t="array" ref="M30">M28/M19</f>
        <v/>
      </c>
      <c r="N30" s="2323">
        <f t="array" ref="N30">N28/N19</f>
        <v/>
      </c>
      <c r="O30" s="2323">
        <f t="array" ref="O30">O28/O19</f>
        <v/>
      </c>
      <c r="P30" s="2323">
        <f t="array" ref="P30">P28/P19</f>
        <v/>
      </c>
      <c r="Q30" s="2323">
        <f t="array" ref="Q30">Q28/Q19</f>
        <v/>
      </c>
      <c r="R30" s="2323">
        <f t="array" ref="R30">R28/R19</f>
        <v/>
      </c>
      <c r="S30" s="2323">
        <f t="array" ref="S30">S28/S19</f>
        <v/>
      </c>
      <c r="T30" s="2323">
        <f t="array" ref="T30">T28/T19</f>
        <v/>
      </c>
      <c r="U30" s="2323">
        <f t="array" ref="U30">U28/U19</f>
        <v/>
      </c>
      <c r="V30" s="2323">
        <f t="array" ref="V30">V28/V19</f>
        <v/>
      </c>
      <c r="W30" s="2323">
        <f t="array" ref="W30">W28/W19</f>
        <v/>
      </c>
      <c r="X30" s="2323">
        <f t="array" ref="X30">X28/X19</f>
        <v/>
      </c>
      <c r="Y30" s="2323">
        <f t="array" ref="Y30">Y28/Y19</f>
        <v/>
      </c>
      <c r="Z30" s="2323">
        <f t="array" ref="Z30">Z28/Z19</f>
        <v/>
      </c>
      <c r="AA30" s="2323">
        <f t="array" ref="AA30">AA28/AA19</f>
        <v/>
      </c>
      <c r="AB30" s="2323">
        <f t="array" ref="AB30">AB28/AB19</f>
        <v/>
      </c>
      <c r="AC30" s="2323">
        <f t="array" ref="AC30">AC28/AC19</f>
        <v/>
      </c>
      <c r="AD30" s="2323">
        <f t="array" ref="AD30">AD28/AD19</f>
        <v/>
      </c>
      <c r="AE30" s="2323">
        <f t="array" ref="AE30">AE28/AE19</f>
        <v/>
      </c>
      <c r="AF30" s="2323">
        <f t="array" ref="AF30">AF28/AF19</f>
        <v/>
      </c>
      <c r="AG30" s="2323">
        <f t="array" ref="AG30">AG28/AG19</f>
        <v/>
      </c>
      <c r="AH30" s="2323">
        <f t="array" ref="AH30">AH28/AH19</f>
        <v/>
      </c>
      <c r="AI30" s="2323">
        <f t="array" ref="AI30">AI28/AI19</f>
        <v/>
      </c>
      <c r="AJ30" s="2323">
        <f t="array" ref="AJ30">AJ28/AJ19</f>
        <v/>
      </c>
      <c r="AK30" s="2323">
        <f t="array" ref="AK30">AK28/AK19</f>
        <v/>
      </c>
      <c r="AL30" s="2323">
        <f t="array" ref="AL30">AL28/AL19</f>
        <v/>
      </c>
      <c r="AM30" s="2323">
        <f t="array" ref="AM30">AM28/AM19</f>
        <v/>
      </c>
      <c r="AN30" s="2323">
        <f t="array" ref="AN30">AN28/AN19</f>
        <v/>
      </c>
      <c r="AO30" s="2323">
        <f t="array" ref="AO30">AO28/AO19</f>
        <v/>
      </c>
      <c r="AP30" s="2323">
        <f t="array" ref="AP30">AP28/AP19</f>
        <v/>
      </c>
      <c r="AQ30" s="2323">
        <f t="array" ref="AQ30">AQ28/AQ19</f>
        <v/>
      </c>
      <c r="AR30" s="1250" t="n"/>
      <c r="AS30" s="1250" t="n"/>
      <c r="AT30" s="1250" t="n"/>
      <c r="AU30" s="1250" t="n"/>
      <c r="AV30" s="1216" t="n"/>
    </row>
    <row r="31" ht="13.55" customHeight="1" s="1676">
      <c r="A31" s="1216" t="n"/>
      <c r="B31" s="1217" t="inlineStr">
        <is>
          <t>Text_626</t>
        </is>
      </c>
      <c r="C31" s="1244" t="n"/>
      <c r="D31" s="1245">
        <f t="array" ref="D31">(0.5*'Model'!BA320)+(0.5*'Model'!BF320)</f>
        <v/>
      </c>
      <c r="E31" s="1245">
        <f t="array" ref="E31">(0.5*'Model'!BF320)+(0.5*'Model'!BK320)</f>
        <v/>
      </c>
      <c r="F31" s="1245">
        <f t="array" ref="F31">(0.5*'Model'!BK320)+(0.5*'Model'!BP320)</f>
        <v/>
      </c>
      <c r="G31" s="1245">
        <f t="array" ref="G31">(0.5*'Model'!BP320)+(0.5*'Model'!BU320)</f>
        <v/>
      </c>
      <c r="H31" s="1246">
        <f t="array" ref="H31">-H32*H19</f>
        <v/>
      </c>
      <c r="I31" s="1247">
        <f t="array" ref="I31">-I32*I19</f>
        <v/>
      </c>
      <c r="J31" s="1247">
        <f t="array" ref="J31">-J32*J19</f>
        <v/>
      </c>
      <c r="K31" s="1247">
        <f t="array" ref="K31">-K32*K19</f>
        <v/>
      </c>
      <c r="L31" s="1247">
        <f t="array" ref="L31">-L32*L19</f>
        <v/>
      </c>
      <c r="M31" s="1247">
        <f t="array" ref="M31">-M32*M19</f>
        <v/>
      </c>
      <c r="N31" s="1247">
        <f t="array" ref="N31">M31*(1+N20)</f>
        <v/>
      </c>
      <c r="O31" s="1247">
        <f t="array" ref="O31">N31*(1+O20)</f>
        <v/>
      </c>
      <c r="P31" s="1247">
        <f t="array" ref="P31">O31*(1+P20)</f>
        <v/>
      </c>
      <c r="Q31" s="1247">
        <f t="array" ref="Q31">P31*(1+Q20)</f>
        <v/>
      </c>
      <c r="R31" s="1247">
        <f t="array" ref="R31">Q31*(1+R20)</f>
        <v/>
      </c>
      <c r="S31" s="1247">
        <f t="array" ref="S31">R31*(1+S20)</f>
        <v/>
      </c>
      <c r="T31" s="1247">
        <f t="array" ref="T31">S31*(1+T20)</f>
        <v/>
      </c>
      <c r="U31" s="1247">
        <f t="array" ref="U31">-U32*U19</f>
        <v/>
      </c>
      <c r="V31" s="1247">
        <f t="array" ref="V31">-V32*V19</f>
        <v/>
      </c>
      <c r="W31" s="1247">
        <f t="array" ref="W31">-W32*W19</f>
        <v/>
      </c>
      <c r="X31" s="1247">
        <f t="array" ref="X31">W31*(1+X20)</f>
        <v/>
      </c>
      <c r="Y31" s="1247">
        <f t="array" ref="Y31">X31*(1+Y20)</f>
        <v/>
      </c>
      <c r="Z31" s="1247">
        <f t="array" ref="Z31">Y31*(1+Z20)</f>
        <v/>
      </c>
      <c r="AA31" s="1247">
        <f t="array" ref="AA31">Z31*(1+AA20)</f>
        <v/>
      </c>
      <c r="AB31" s="1247">
        <f t="array" ref="AB31">AA31*(1+AB20)</f>
        <v/>
      </c>
      <c r="AC31" s="1247">
        <f t="array" ref="AC31">AB31*(1+AC20)</f>
        <v/>
      </c>
      <c r="AD31" s="1247">
        <f t="array" ref="AD31">AC31*(1+AD20)</f>
        <v/>
      </c>
      <c r="AE31" s="1247">
        <f t="array" ref="AE31">-AE32*AE19</f>
        <v/>
      </c>
      <c r="AF31" s="1247">
        <f t="array" ref="AF31">-AF32*AF19</f>
        <v/>
      </c>
      <c r="AG31" s="1247">
        <f t="array" ref="AG31">-AG32*AG19</f>
        <v/>
      </c>
      <c r="AH31" s="1247">
        <f t="array" ref="AH31">AG31*(1+AH20)</f>
        <v/>
      </c>
      <c r="AI31" s="1247">
        <f t="array" ref="AI31">AH31*(1+AI20)</f>
        <v/>
      </c>
      <c r="AJ31" s="1247">
        <f t="array" ref="AJ31">AI31*(1+AJ20)</f>
        <v/>
      </c>
      <c r="AK31" s="1247">
        <f t="array" ref="AK31">AJ31*(1+AK20)</f>
        <v/>
      </c>
      <c r="AL31" s="1247">
        <f t="array" ref="AL31">AK31*(1+AL20)</f>
        <v/>
      </c>
      <c r="AM31" s="1247">
        <f t="array" ref="AM31">AL31*(1+AM20)</f>
        <v/>
      </c>
      <c r="AN31" s="1247">
        <f t="array" ref="AN31">AM31*(1+AN20)</f>
        <v/>
      </c>
      <c r="AO31" s="1247">
        <f t="array" ref="AO31">-AO32*AO19</f>
        <v/>
      </c>
      <c r="AP31" s="1247">
        <f t="array" ref="AP31">-AP32*AP19</f>
        <v/>
      </c>
      <c r="AQ31" s="1247">
        <f t="array" ref="AQ31">-AQ32*AQ19</f>
        <v/>
      </c>
      <c r="AR31" s="2323">
        <f t="array" ref="AR31">(AQ31/D31)^(1/39)-1</f>
        <v/>
      </c>
      <c r="AS31" s="1247" t="n"/>
      <c r="AT31" s="1247" t="n"/>
      <c r="AU31" s="1247" t="n"/>
      <c r="AV31" s="1216" t="n"/>
    </row>
    <row r="32" ht="13.55" customHeight="1" s="1676">
      <c r="A32" s="1216" t="n"/>
      <c r="B32" s="1217" t="inlineStr">
        <is>
          <t>Text_100</t>
        </is>
      </c>
      <c r="C32" s="2323" t="n"/>
      <c r="D32" s="2331">
        <f t="array" ref="D32">-D31/D19</f>
        <v/>
      </c>
      <c r="E32" s="2331">
        <f t="array" ref="E32">-E31/E19</f>
        <v/>
      </c>
      <c r="F32" s="2331">
        <f t="array" ref="F32">-F31/F19</f>
        <v/>
      </c>
      <c r="G32" s="2331">
        <f t="array" ref="G32">-G31/G19</f>
        <v/>
      </c>
      <c r="H32" s="2330">
        <f t="array" ref="H32">G32-0.1%</f>
        <v/>
      </c>
      <c r="I32" s="2330">
        <f t="array" ref="I32">H32-0.1%</f>
        <v/>
      </c>
      <c r="J32" s="2330">
        <f t="array" ref="J32">I32-0.1%</f>
        <v/>
      </c>
      <c r="K32" s="2330" t="n">
        <v>0.0312057831048918</v>
      </c>
      <c r="L32" s="2330">
        <f t="array" ref="L32">K32-0.1%</f>
        <v/>
      </c>
      <c r="M32" s="2330">
        <f t="array" ref="M32">L32-0.1%</f>
        <v/>
      </c>
      <c r="N32" s="2323">
        <f t="array" ref="N32">-N31/N19</f>
        <v/>
      </c>
      <c r="O32" s="2323">
        <f t="array" ref="O32">-O31/O19</f>
        <v/>
      </c>
      <c r="P32" s="2323">
        <f t="array" ref="P32">-P31/P19</f>
        <v/>
      </c>
      <c r="Q32" s="2323">
        <f t="array" ref="Q32">-Q31/Q19</f>
        <v/>
      </c>
      <c r="R32" s="2323">
        <f t="array" ref="R32">-R31/R19</f>
        <v/>
      </c>
      <c r="S32" s="2323">
        <f t="array" ref="S32">-S31/S19</f>
        <v/>
      </c>
      <c r="T32" s="2323">
        <f t="array" ref="T32">-T31/T19</f>
        <v/>
      </c>
      <c r="U32" s="2330" t="n">
        <v>0.0295683743076183</v>
      </c>
      <c r="V32" s="2330">
        <f t="array" ref="V32">U32-0.1%</f>
        <v/>
      </c>
      <c r="W32" s="2330">
        <f t="array" ref="W32">V32-0.1%</f>
        <v/>
      </c>
      <c r="X32" s="2323">
        <f t="array" ref="X32">-X31/X19</f>
        <v/>
      </c>
      <c r="Y32" s="2323">
        <f t="array" ref="Y32">-Y31/Y19</f>
        <v/>
      </c>
      <c r="Z32" s="2323">
        <f t="array" ref="Z32">-Z31/Z19</f>
        <v/>
      </c>
      <c r="AA32" s="2323">
        <f t="array" ref="AA32">-AA31/AA19</f>
        <v/>
      </c>
      <c r="AB32" s="2323">
        <f t="array" ref="AB32">-AB31/AB19</f>
        <v/>
      </c>
      <c r="AC32" s="2323">
        <f t="array" ref="AC32">-AC31/AC19</f>
        <v/>
      </c>
      <c r="AD32" s="2323">
        <f t="array" ref="AD32">-AD31/AD19</f>
        <v/>
      </c>
      <c r="AE32" s="2330" t="n">
        <v>0.0310030785968442</v>
      </c>
      <c r="AF32" s="2330">
        <f t="array" ref="AF32">AE32-0.1%</f>
        <v/>
      </c>
      <c r="AG32" s="2330">
        <f t="array" ref="AG32">AF32-0.1%</f>
        <v/>
      </c>
      <c r="AH32" s="2323">
        <f t="array" ref="AH32">-AH31/AH19</f>
        <v/>
      </c>
      <c r="AI32" s="2323">
        <f t="array" ref="AI32">-AI31/AI19</f>
        <v/>
      </c>
      <c r="AJ32" s="2323">
        <f t="array" ref="AJ32">-AJ31/AJ19</f>
        <v/>
      </c>
      <c r="AK32" s="2323">
        <f t="array" ref="AK32">-AK31/AK19</f>
        <v/>
      </c>
      <c r="AL32" s="2323">
        <f t="array" ref="AL32">-AL31/AL19</f>
        <v/>
      </c>
      <c r="AM32" s="2323">
        <f t="array" ref="AM32">-AM31/AM19</f>
        <v/>
      </c>
      <c r="AN32" s="2323">
        <f t="array" ref="AN32">-AN31/AN19</f>
        <v/>
      </c>
      <c r="AO32" s="2330" t="n">
        <v>0.0285019451871966</v>
      </c>
      <c r="AP32" s="2330">
        <f t="array" ref="AP32">AO32-0.1%</f>
        <v/>
      </c>
      <c r="AQ32" s="2330">
        <f t="array" ref="AQ32">AP32-0.1%</f>
        <v/>
      </c>
      <c r="AR32" s="2323" t="n"/>
      <c r="AS32" s="2334" t="n"/>
      <c r="AT32" s="2334" t="n"/>
      <c r="AU32" s="2334" t="n"/>
      <c r="AV32" s="1216" t="n"/>
    </row>
    <row r="33" ht="13.55" customHeight="1" s="1676">
      <c r="A33" s="1216" t="n"/>
      <c r="B33" s="1217" t="inlineStr">
        <is>
          <t>Text_15</t>
        </is>
      </c>
      <c r="C33" s="2323" t="n"/>
      <c r="D33" s="2323" t="n"/>
      <c r="E33" s="2323">
        <f t="array" ref="E33">E31/D31-1</f>
        <v/>
      </c>
      <c r="F33" s="2323">
        <f t="array" ref="F33">F31/E31-1</f>
        <v/>
      </c>
      <c r="G33" s="2323">
        <f t="array" ref="G33">G31/F31-1</f>
        <v/>
      </c>
      <c r="H33" s="2323">
        <f t="array" ref="H33">H31/G31-1</f>
        <v/>
      </c>
      <c r="I33" s="2323">
        <f t="array" ref="I33">I31/H31-1</f>
        <v/>
      </c>
      <c r="J33" s="2323">
        <f t="array" ref="J33">J31/I31-1</f>
        <v/>
      </c>
      <c r="K33" s="2323">
        <f t="array" ref="K33">K31/J31-1</f>
        <v/>
      </c>
      <c r="L33" s="2323">
        <f t="array" ref="L33">L31/K31-1</f>
        <v/>
      </c>
      <c r="M33" s="2323">
        <f t="array" ref="M33">M31/L31-1</f>
        <v/>
      </c>
      <c r="N33" s="2323">
        <f t="array" ref="N33">N31/M31-1</f>
        <v/>
      </c>
      <c r="O33" s="2323">
        <f t="array" ref="O33">O31/N31-1</f>
        <v/>
      </c>
      <c r="P33" s="2323">
        <f t="array" ref="P33">P31/O31-1</f>
        <v/>
      </c>
      <c r="Q33" s="2323">
        <f t="array" ref="Q33">Q31/P31-1</f>
        <v/>
      </c>
      <c r="R33" s="2323">
        <f t="array" ref="R33">R31/Q31-1</f>
        <v/>
      </c>
      <c r="S33" s="2323">
        <f t="array" ref="S33">S31/R31-1</f>
        <v/>
      </c>
      <c r="T33" s="2323">
        <f t="array" ref="T33">T31/S31-1</f>
        <v/>
      </c>
      <c r="U33" s="2323">
        <f t="array" ref="U33">U31/T31-1</f>
        <v/>
      </c>
      <c r="V33" s="2323">
        <f t="array" ref="V33">V31/U31-1</f>
        <v/>
      </c>
      <c r="W33" s="2323">
        <f t="array" ref="W33">W31/V31-1</f>
        <v/>
      </c>
      <c r="X33" s="2323">
        <f t="array" ref="X33">X31/W31-1</f>
        <v/>
      </c>
      <c r="Y33" s="2323">
        <f t="array" ref="Y33">Y31/X31-1</f>
        <v/>
      </c>
      <c r="Z33" s="2323">
        <f t="array" ref="Z33">Z31/Y31-1</f>
        <v/>
      </c>
      <c r="AA33" s="2323">
        <f t="array" ref="AA33">AA31/Z31-1</f>
        <v/>
      </c>
      <c r="AB33" s="2323">
        <f t="array" ref="AB33">AB31/AA31-1</f>
        <v/>
      </c>
      <c r="AC33" s="2323">
        <f t="array" ref="AC33">AC31/AB31-1</f>
        <v/>
      </c>
      <c r="AD33" s="2323">
        <f t="array" ref="AD33">AD31/AC31-1</f>
        <v/>
      </c>
      <c r="AE33" s="2323">
        <f t="array" ref="AE33">AE31/AD31-1</f>
        <v/>
      </c>
      <c r="AF33" s="2323">
        <f t="array" ref="AF33">AF31/AE31-1</f>
        <v/>
      </c>
      <c r="AG33" s="2323">
        <f t="array" ref="AG33">AG31/AF31-1</f>
        <v/>
      </c>
      <c r="AH33" s="2323">
        <f t="array" ref="AH33">AH31/AG31-1</f>
        <v/>
      </c>
      <c r="AI33" s="2323">
        <f t="array" ref="AI33">AI31/AH31-1</f>
        <v/>
      </c>
      <c r="AJ33" s="2323">
        <f t="array" ref="AJ33">AJ31/AI31-1</f>
        <v/>
      </c>
      <c r="AK33" s="2323">
        <f t="array" ref="AK33">AK31/AJ31-1</f>
        <v/>
      </c>
      <c r="AL33" s="2323">
        <f t="array" ref="AL33">AL31/AK31-1</f>
        <v/>
      </c>
      <c r="AM33" s="2323">
        <f t="array" ref="AM33">AM31/AL31-1</f>
        <v/>
      </c>
      <c r="AN33" s="2323">
        <f t="array" ref="AN33">AN31/AM31-1</f>
        <v/>
      </c>
      <c r="AO33" s="2323">
        <f t="array" ref="AO33">AO31/AN31-1</f>
        <v/>
      </c>
      <c r="AP33" s="2323">
        <f t="array" ref="AP33">AP31/AO31-1</f>
        <v/>
      </c>
      <c r="AQ33" s="2323">
        <f t="array" ref="AQ33">AQ31/AP31-1</f>
        <v/>
      </c>
      <c r="AR33" s="2323" t="n"/>
      <c r="AS33" s="2323" t="n"/>
      <c r="AT33" s="2323" t="n"/>
      <c r="AU33" s="2323" t="n"/>
      <c r="AV33" s="1216" t="n"/>
    </row>
    <row r="34" ht="13.55" customHeight="1" s="1676">
      <c r="A34" s="1216" t="n"/>
      <c r="B34" s="1254" t="inlineStr">
        <is>
          <t>Text_627</t>
        </is>
      </c>
      <c r="C34" s="1255" t="n"/>
      <c r="D34" s="1255">
        <f t="array" ref="D34">D25+D28+D31+D26</f>
        <v/>
      </c>
      <c r="E34" s="1255">
        <f t="array" ref="E34">E25+E28+E31+E26</f>
        <v/>
      </c>
      <c r="F34" s="1255">
        <f t="array" ref="F34">F25+F28+F31+F26</f>
        <v/>
      </c>
      <c r="G34" s="1255">
        <f t="array" ref="G34">G25+G28+G31+G26</f>
        <v/>
      </c>
      <c r="H34" s="1255">
        <f t="array" ref="H34">H25+H28+H31+H26</f>
        <v/>
      </c>
      <c r="I34" s="1255">
        <f t="array" ref="I34">I25+I28+I31+I26</f>
        <v/>
      </c>
      <c r="J34" s="1255">
        <f t="array" ref="J34">J25+J28+J31+J26</f>
        <v/>
      </c>
      <c r="K34" s="1255">
        <f t="array" ref="K34">K25+K28+K31+K26</f>
        <v/>
      </c>
      <c r="L34" s="1255">
        <f t="array" ref="L34">L25+L28+L31+L26</f>
        <v/>
      </c>
      <c r="M34" s="1255">
        <f t="array" ref="M34">M25+M28+M31+M26</f>
        <v/>
      </c>
      <c r="N34" s="1255">
        <f t="array" ref="N34">N25+N28+N31+N26</f>
        <v/>
      </c>
      <c r="O34" s="1255">
        <f t="array" ref="O34">O25+O28+O31+O26</f>
        <v/>
      </c>
      <c r="P34" s="1255">
        <f t="array" ref="P34">P25+P28+P31+P26</f>
        <v/>
      </c>
      <c r="Q34" s="1255">
        <f t="array" ref="Q34">Q25+Q28+Q31+Q26</f>
        <v/>
      </c>
      <c r="R34" s="1255">
        <f t="array" ref="R34">R25+R28+R31+R26</f>
        <v/>
      </c>
      <c r="S34" s="1255">
        <f t="array" ref="S34">S25+S28+S31+S26</f>
        <v/>
      </c>
      <c r="T34" s="1255">
        <f t="array" ref="T34">T25+T28+T31+T26</f>
        <v/>
      </c>
      <c r="U34" s="1255">
        <f t="array" ref="U34">U25+U28+U31+U26</f>
        <v/>
      </c>
      <c r="V34" s="1255">
        <f t="array" ref="V34">V25+V28+V31+V26</f>
        <v/>
      </c>
      <c r="W34" s="1255">
        <f t="array" ref="W34">W25+W28+W31+W26</f>
        <v/>
      </c>
      <c r="X34" s="1255">
        <f t="array" ref="X34">X25+X28+X31+X26</f>
        <v/>
      </c>
      <c r="Y34" s="1255">
        <f t="array" ref="Y34">Y25+Y28+Y31+Y26</f>
        <v/>
      </c>
      <c r="Z34" s="1255">
        <f t="array" ref="Z34">Z25+Z28+Z31+Z26</f>
        <v/>
      </c>
      <c r="AA34" s="1255">
        <f t="array" ref="AA34">AA25+AA28+AA31+AA26</f>
        <v/>
      </c>
      <c r="AB34" s="1255">
        <f t="array" ref="AB34">AB25+AB28+AB31+AB26</f>
        <v/>
      </c>
      <c r="AC34" s="1255">
        <f t="array" ref="AC34">AC25+AC28+AC31+AC26</f>
        <v/>
      </c>
      <c r="AD34" s="1255">
        <f t="array" ref="AD34">AD25+AD28+AD31+AD26</f>
        <v/>
      </c>
      <c r="AE34" s="1255">
        <f t="array" ref="AE34">AE25+AE28+AE31+AE26</f>
        <v/>
      </c>
      <c r="AF34" s="1255">
        <f t="array" ref="AF34">AF25+AF28+AF31+AF26</f>
        <v/>
      </c>
      <c r="AG34" s="1255">
        <f t="array" ref="AG34">AG25+AG28+AG31+AG26</f>
        <v/>
      </c>
      <c r="AH34" s="1255">
        <f t="array" ref="AH34">AH25+AH28+AH31+AH26</f>
        <v/>
      </c>
      <c r="AI34" s="1255">
        <f t="array" ref="AI34">AI25+AI28+AI31+AI26</f>
        <v/>
      </c>
      <c r="AJ34" s="1255">
        <f t="array" ref="AJ34">AJ25+AJ28+AJ31+AJ26</f>
        <v/>
      </c>
      <c r="AK34" s="1255">
        <f t="array" ref="AK34">AK25+AK28+AK31+AK26</f>
        <v/>
      </c>
      <c r="AL34" s="1255">
        <f t="array" ref="AL34">AL25+AL28+AL31+AL26</f>
        <v/>
      </c>
      <c r="AM34" s="1255">
        <f t="array" ref="AM34">AM25+AM28+AM31+AM26</f>
        <v/>
      </c>
      <c r="AN34" s="1255">
        <f t="array" ref="AN34">AN25+AN28+AN31+AN26</f>
        <v/>
      </c>
      <c r="AO34" s="1255">
        <f t="array" ref="AO34">AO25+AO28+AO31+AO26</f>
        <v/>
      </c>
      <c r="AP34" s="1255">
        <f t="array" ref="AP34">AP25+AP28+AP31+AP26</f>
        <v/>
      </c>
      <c r="AQ34" s="1255">
        <f t="array" ref="AQ34">AQ25+AQ28+AQ31+AQ26</f>
        <v/>
      </c>
      <c r="AR34" s="2328">
        <f t="array" ref="AR34">(AQ34/D34)^(1/39)-1</f>
        <v/>
      </c>
      <c r="AS34" s="2323" t="n"/>
      <c r="AT34" s="1255" t="n"/>
      <c r="AU34" s="1255" t="n"/>
      <c r="AV34" s="1216" t="n"/>
    </row>
    <row r="35" ht="13.55" customHeight="1" s="1676">
      <c r="A35" s="1216" t="n"/>
      <c r="B35" s="1217" t="inlineStr">
        <is>
          <t>Text_15</t>
        </is>
      </c>
      <c r="C35" s="2323" t="n"/>
      <c r="D35" s="2323" t="n"/>
      <c r="E35" s="2323">
        <f t="array" ref="E35">E34/D34-1</f>
        <v/>
      </c>
      <c r="F35" s="2323">
        <f t="array" ref="F35">F34/E34-1</f>
        <v/>
      </c>
      <c r="G35" s="2323">
        <f t="array" ref="G35">G34/F34-1</f>
        <v/>
      </c>
      <c r="H35" s="2323">
        <f t="array" ref="H35">H34/G34-1</f>
        <v/>
      </c>
      <c r="I35" s="2323">
        <f t="array" ref="I35">I34/H34-1</f>
        <v/>
      </c>
      <c r="J35" s="2323">
        <f t="array" ref="J35">J34/I34-1</f>
        <v/>
      </c>
      <c r="K35" s="2323">
        <f t="array" ref="K35">K34/J34-1</f>
        <v/>
      </c>
      <c r="L35" s="2323">
        <f t="array" ref="L35">L34/K34-1</f>
        <v/>
      </c>
      <c r="M35" s="2323">
        <f t="array" ref="M35">M34/L34-1</f>
        <v/>
      </c>
      <c r="N35" s="2323">
        <f t="array" ref="N35">N34/M34-1</f>
        <v/>
      </c>
      <c r="O35" s="2323">
        <f t="array" ref="O35">O34/N34-1</f>
        <v/>
      </c>
      <c r="P35" s="2323">
        <f t="array" ref="P35">P34/O34-1</f>
        <v/>
      </c>
      <c r="Q35" s="2323">
        <f t="array" ref="Q35">Q34/P34-1</f>
        <v/>
      </c>
      <c r="R35" s="2323">
        <f t="array" ref="R35">R34/Q34-1</f>
        <v/>
      </c>
      <c r="S35" s="2323">
        <f t="array" ref="S35">S34/R34-1</f>
        <v/>
      </c>
      <c r="T35" s="2323">
        <f t="array" ref="T35">T34/S34-1</f>
        <v/>
      </c>
      <c r="U35" s="2323">
        <f t="array" ref="U35">U34/T34-1</f>
        <v/>
      </c>
      <c r="V35" s="2323">
        <f t="array" ref="V35">V34/U34-1</f>
        <v/>
      </c>
      <c r="W35" s="2323">
        <f t="array" ref="W35">W34/V34-1</f>
        <v/>
      </c>
      <c r="X35" s="2323">
        <f t="array" ref="X35">X34/W34-1</f>
        <v/>
      </c>
      <c r="Y35" s="2323">
        <f t="array" ref="Y35">Y34/X34-1</f>
        <v/>
      </c>
      <c r="Z35" s="2323">
        <f t="array" ref="Z35">Z34/Y34-1</f>
        <v/>
      </c>
      <c r="AA35" s="2323">
        <f t="array" ref="AA35">AA34/Z34-1</f>
        <v/>
      </c>
      <c r="AB35" s="2323">
        <f t="array" ref="AB35">AB34/AA34-1</f>
        <v/>
      </c>
      <c r="AC35" s="2323">
        <f t="array" ref="AC35">AC34/AB34-1</f>
        <v/>
      </c>
      <c r="AD35" s="2323">
        <f t="array" ref="AD35">AD34/AC34-1</f>
        <v/>
      </c>
      <c r="AE35" s="2323">
        <f t="array" ref="AE35">AE34/AD34-1</f>
        <v/>
      </c>
      <c r="AF35" s="2323">
        <f t="array" ref="AF35">AF34/AE34-1</f>
        <v/>
      </c>
      <c r="AG35" s="2323">
        <f t="array" ref="AG35">AG34/AF34-1</f>
        <v/>
      </c>
      <c r="AH35" s="2323">
        <f t="array" ref="AH35">AH34/AG34-1</f>
        <v/>
      </c>
      <c r="AI35" s="2323">
        <f t="array" ref="AI35">AI34/AH34-1</f>
        <v/>
      </c>
      <c r="AJ35" s="2323">
        <f t="array" ref="AJ35">AJ34/AI34-1</f>
        <v/>
      </c>
      <c r="AK35" s="2323">
        <f t="array" ref="AK35">AK34/AJ34-1</f>
        <v/>
      </c>
      <c r="AL35" s="2323">
        <f t="array" ref="AL35">AL34/AK34-1</f>
        <v/>
      </c>
      <c r="AM35" s="2323">
        <f t="array" ref="AM35">AM34/AL34-1</f>
        <v/>
      </c>
      <c r="AN35" s="2323">
        <f t="array" ref="AN35">AN34/AM34-1</f>
        <v/>
      </c>
      <c r="AO35" s="2323">
        <f t="array" ref="AO35">AO34/AN34-1</f>
        <v/>
      </c>
      <c r="AP35" s="2323">
        <f t="array" ref="AP35">AP34/AO34-1</f>
        <v/>
      </c>
      <c r="AQ35" s="2323">
        <f t="array" ref="AQ35">AQ34/AP34-1</f>
        <v/>
      </c>
      <c r="AR35" s="2323" t="n"/>
      <c r="AS35" s="2323" t="n"/>
      <c r="AT35" s="2323" t="n"/>
      <c r="AU35" s="2323" t="n"/>
      <c r="AV35" s="1216" t="n"/>
    </row>
    <row r="36" ht="13.55" customHeight="1" s="1676">
      <c r="A36" s="1250" t="n"/>
      <c r="B36" s="1217" t="inlineStr">
        <is>
          <t>Text_628</t>
        </is>
      </c>
      <c r="C36" s="1250" t="n"/>
      <c r="D36" s="1250">
        <f t="array" ref="D36">D34/(D21+D26)</f>
        <v/>
      </c>
      <c r="E36" s="1250">
        <f t="array" ref="E36">E34/(E21+E26)</f>
        <v/>
      </c>
      <c r="F36" s="1250">
        <f t="array" ref="F36">F34/(F21+F26)</f>
        <v/>
      </c>
      <c r="G36" s="1250">
        <f t="array" ref="G36">G34/(G21+G26)</f>
        <v/>
      </c>
      <c r="H36" s="1250">
        <f t="array" ref="H36">H34/(H21+H26)</f>
        <v/>
      </c>
      <c r="I36" s="1250">
        <f t="array" ref="I36">I34/(I21+I26)</f>
        <v/>
      </c>
      <c r="J36" s="1250">
        <f t="array" ref="J36">J34/(J21+J26)</f>
        <v/>
      </c>
      <c r="K36" s="1250">
        <f t="array" ref="K36">K34/(K21+K26)</f>
        <v/>
      </c>
      <c r="L36" s="1250">
        <f t="array" ref="L36">L34/(L21+L26)</f>
        <v/>
      </c>
      <c r="M36" s="1250">
        <f t="array" ref="M36">M34/(M21+M26)</f>
        <v/>
      </c>
      <c r="N36" s="1250">
        <f t="array" ref="N36">N34/(N21+N26)</f>
        <v/>
      </c>
      <c r="O36" s="1250">
        <f t="array" ref="O36">O34/(O21+O26)</f>
        <v/>
      </c>
      <c r="P36" s="1250">
        <f t="array" ref="P36">P34/(P21+P26)</f>
        <v/>
      </c>
      <c r="Q36" s="1250">
        <f t="array" ref="Q36">Q34/(Q21+Q26)</f>
        <v/>
      </c>
      <c r="R36" s="1250">
        <f t="array" ref="R36">R34/(R21+R26)</f>
        <v/>
      </c>
      <c r="S36" s="1250">
        <f t="array" ref="S36">S34/(S21+S26)</f>
        <v/>
      </c>
      <c r="T36" s="1250">
        <f t="array" ref="T36">T34/(T21+T26)</f>
        <v/>
      </c>
      <c r="U36" s="1250">
        <f t="array" ref="U36">U34/(U21+U26)</f>
        <v/>
      </c>
      <c r="V36" s="1250">
        <f t="array" ref="V36">V34/(V21+V26)</f>
        <v/>
      </c>
      <c r="W36" s="1250">
        <f t="array" ref="W36">W34/(W21+W26)</f>
        <v/>
      </c>
      <c r="X36" s="1250">
        <f t="array" ref="X36">X34/(X21+X26)</f>
        <v/>
      </c>
      <c r="Y36" s="1250">
        <f t="array" ref="Y36">Y34/(Y21+Y26)</f>
        <v/>
      </c>
      <c r="Z36" s="1250">
        <f t="array" ref="Z36">Z34/(Z21+Z26)</f>
        <v/>
      </c>
      <c r="AA36" s="1250">
        <f t="array" ref="AA36">AA34/(AA21+AA26)</f>
        <v/>
      </c>
      <c r="AB36" s="1250">
        <f t="array" ref="AB36">AB34/(AB21+AB26)</f>
        <v/>
      </c>
      <c r="AC36" s="1250">
        <f t="array" ref="AC36">AC34/(AC21+AC26)</f>
        <v/>
      </c>
      <c r="AD36" s="1250">
        <f t="array" ref="AD36">AD34/(AD21+AD26)</f>
        <v/>
      </c>
      <c r="AE36" s="1250">
        <f t="array" ref="AE36">AE34/(AE21+AE26)</f>
        <v/>
      </c>
      <c r="AF36" s="1250">
        <f t="array" ref="AF36">AF34/(AF21+AF26)</f>
        <v/>
      </c>
      <c r="AG36" s="1250">
        <f t="array" ref="AG36">AG34/(AG21+AG26)</f>
        <v/>
      </c>
      <c r="AH36" s="1250">
        <f t="array" ref="AH36">AH34/(AH21+AH26)</f>
        <v/>
      </c>
      <c r="AI36" s="1250">
        <f t="array" ref="AI36">AI34/(AI21+AI26)</f>
        <v/>
      </c>
      <c r="AJ36" s="1250">
        <f t="array" ref="AJ36">AJ34/(AJ21+AJ26)</f>
        <v/>
      </c>
      <c r="AK36" s="1250">
        <f t="array" ref="AK36">AK34/(AK21+AK26)</f>
        <v/>
      </c>
      <c r="AL36" s="1250">
        <f t="array" ref="AL36">AL34/(AL21+AL26)</f>
        <v/>
      </c>
      <c r="AM36" s="1250">
        <f t="array" ref="AM36">AM34/(AM21+AM26)</f>
        <v/>
      </c>
      <c r="AN36" s="1250">
        <f t="array" ref="AN36">AN34/(AN21+AN26)</f>
        <v/>
      </c>
      <c r="AO36" s="1250">
        <f t="array" ref="AO36">AO34/(AO21+AO26)</f>
        <v/>
      </c>
      <c r="AP36" s="1250">
        <f t="array" ref="AP36">AP34/(AP21+AP26)</f>
        <v/>
      </c>
      <c r="AQ36" s="1250">
        <f t="array" ref="AQ36">AQ34/(AQ21+AQ26)</f>
        <v/>
      </c>
      <c r="AR36" s="1250" t="n"/>
      <c r="AS36" s="1250" t="n"/>
      <c r="AT36" s="1250" t="n"/>
      <c r="AU36" s="1250" t="n"/>
      <c r="AV36" s="1250" t="n"/>
    </row>
    <row r="37" ht="13.55" customHeight="1" s="1676">
      <c r="A37" s="1216" t="n"/>
      <c r="B37" s="1217" t="inlineStr">
        <is>
          <t>Text_629</t>
        </is>
      </c>
      <c r="C37" s="1247" t="n"/>
      <c r="D37" s="1247">
        <f t="array" ref="D37">D34/(1+$C$2)^D9</f>
        <v/>
      </c>
      <c r="E37" s="1247">
        <f t="array" ref="E37">E34/(1+$C$2)^E9</f>
        <v/>
      </c>
      <c r="F37" s="1247">
        <f t="array" ref="F37">F34/(1+$C$2)^F9</f>
        <v/>
      </c>
      <c r="G37" s="1247">
        <f t="array" ref="G37">G34/(1+$C$2)^G9</f>
        <v/>
      </c>
      <c r="H37" s="1247">
        <f t="array" ref="H37">H34/(1+$C$2)^H9</f>
        <v/>
      </c>
      <c r="I37" s="1247">
        <f t="array" ref="I37">I34/(1+$C$2)^I9</f>
        <v/>
      </c>
      <c r="J37" s="1247">
        <f t="array" ref="J37">J34/(1+$C$2)^J9</f>
        <v/>
      </c>
      <c r="K37" s="1247">
        <f t="array" ref="K37">K34/(1+$C$2)^K9</f>
        <v/>
      </c>
      <c r="L37" s="1247">
        <f t="array" ref="L37">L34/(1+$C$2)^L9</f>
        <v/>
      </c>
      <c r="M37" s="1247">
        <f t="array" ref="M37">M34/(1+$C$2)^M9</f>
        <v/>
      </c>
      <c r="N37" s="1247">
        <f t="array" ref="N37">N34/(1+$C$2)^N9</f>
        <v/>
      </c>
      <c r="O37" s="1247">
        <f t="array" ref="O37">O34/(1+$C$2)^O9</f>
        <v/>
      </c>
      <c r="P37" s="1247">
        <f t="array" ref="P37">P34/(1+$C$2)^P9</f>
        <v/>
      </c>
      <c r="Q37" s="1247">
        <f t="array" ref="Q37">Q34/(1+$C$2)^Q9</f>
        <v/>
      </c>
      <c r="R37" s="1247">
        <f t="array" ref="R37">R34/(1+$C$2)^R9</f>
        <v/>
      </c>
      <c r="S37" s="1247">
        <f t="array" ref="S37">S34/(1+$C$2)^S9</f>
        <v/>
      </c>
      <c r="T37" s="1247">
        <f t="array" ref="T37">T34/(1+$C$2)^T9</f>
        <v/>
      </c>
      <c r="U37" s="1247">
        <f t="array" ref="U37">U34/(1+$C$2)^U9</f>
        <v/>
      </c>
      <c r="V37" s="1247">
        <f t="array" ref="V37">V34/(1+$C$2)^V9</f>
        <v/>
      </c>
      <c r="W37" s="1247">
        <f t="array" ref="W37">W34/(1+$C$2)^W9</f>
        <v/>
      </c>
      <c r="X37" s="1247">
        <f t="array" ref="X37">X34/(1+$C$2)^X9</f>
        <v/>
      </c>
      <c r="Y37" s="1247">
        <f t="array" ref="Y37">Y34/(1+$C$2)^Y9</f>
        <v/>
      </c>
      <c r="Z37" s="1247">
        <f t="array" ref="Z37">Z34/(1+$C$2)^Z9</f>
        <v/>
      </c>
      <c r="AA37" s="1247">
        <f t="array" ref="AA37">AA34/(1+$C$2)^AA9</f>
        <v/>
      </c>
      <c r="AB37" s="1247">
        <f t="array" ref="AB37">AB34/(1+$C$2)^AB9</f>
        <v/>
      </c>
      <c r="AC37" s="1247">
        <f t="array" ref="AC37">AC34/(1+$C$2)^AC9</f>
        <v/>
      </c>
      <c r="AD37" s="1247">
        <f t="array" ref="AD37">AD34/(1+$C$2)^AD9</f>
        <v/>
      </c>
      <c r="AE37" s="1247">
        <f t="array" ref="AE37">AE34/(1+$C$2)^AE9</f>
        <v/>
      </c>
      <c r="AF37" s="1247">
        <f t="array" ref="AF37">AF34/(1+$C$2)^AF9</f>
        <v/>
      </c>
      <c r="AG37" s="1247">
        <f t="array" ref="AG37">AG34/(1+$C$2)^AG9</f>
        <v/>
      </c>
      <c r="AH37" s="1247">
        <f t="array" ref="AH37">AH34/(1+$C$2)^AH9</f>
        <v/>
      </c>
      <c r="AI37" s="1247">
        <f t="array" ref="AI37">AI34/(1+$C$2)^AI9</f>
        <v/>
      </c>
      <c r="AJ37" s="1247">
        <f t="array" ref="AJ37">AJ34/(1+$C$2)^AJ9</f>
        <v/>
      </c>
      <c r="AK37" s="1247">
        <f t="array" ref="AK37">AK34/(1+$C$2)^AK9</f>
        <v/>
      </c>
      <c r="AL37" s="1247">
        <f t="array" ref="AL37">AL34/(1+$C$2)^AL9</f>
        <v/>
      </c>
      <c r="AM37" s="1247">
        <f t="array" ref="AM37">AM34/(1+$C$2)^AM9</f>
        <v/>
      </c>
      <c r="AN37" s="1247">
        <f t="array" ref="AN37">AN34/(1+$C$2)^AN9</f>
        <v/>
      </c>
      <c r="AO37" s="1247">
        <f t="array" ref="AO37">AO34/(1+$C$2)^AO9</f>
        <v/>
      </c>
      <c r="AP37" s="1247">
        <f t="array" ref="AP37">AP34/(1+$C$2)^AP9</f>
        <v/>
      </c>
      <c r="AQ37" s="1247">
        <f t="array" ref="AQ37">AQ34/(1+$C$2)^AQ9</f>
        <v/>
      </c>
      <c r="AR37" s="2323" t="n"/>
      <c r="AS37" s="1247" t="n"/>
      <c r="AT37" s="1247" t="n"/>
      <c r="AU37" s="1247" t="n"/>
      <c r="AV37" s="1216" t="n"/>
    </row>
    <row r="38" ht="13.55" customHeight="1" s="1676">
      <c r="A38" s="1216" t="n"/>
      <c r="B38" s="2323" t="n"/>
      <c r="C38" s="1247" t="n"/>
      <c r="D38" s="1247" t="n"/>
      <c r="E38" s="1247" t="n"/>
      <c r="F38" s="1247" t="n"/>
      <c r="G38" s="1247" t="n"/>
      <c r="H38" s="1247" t="n"/>
      <c r="I38" s="1247" t="n"/>
      <c r="J38" s="1247" t="n"/>
      <c r="K38" s="1247" t="n"/>
      <c r="L38" s="1247" t="n"/>
      <c r="M38" s="1247" t="n"/>
      <c r="N38" s="1247" t="n"/>
      <c r="O38" s="1247" t="n"/>
      <c r="P38" s="1247" t="n"/>
      <c r="Q38" s="1247" t="n"/>
      <c r="R38" s="1247" t="n"/>
      <c r="S38" s="1247" t="n"/>
      <c r="T38" s="1247" t="n"/>
      <c r="U38" s="1247" t="n"/>
      <c r="V38" s="1247" t="n"/>
      <c r="W38" s="1247" t="n"/>
      <c r="X38" s="1247" t="n"/>
      <c r="Y38" s="1247" t="n"/>
      <c r="Z38" s="1247" t="n"/>
      <c r="AA38" s="1247" t="n"/>
      <c r="AB38" s="1247" t="n"/>
      <c r="AC38" s="1247" t="n"/>
      <c r="AD38" s="1247" t="n"/>
      <c r="AE38" s="1247" t="n"/>
      <c r="AF38" s="1247" t="n"/>
      <c r="AG38" s="1247" t="n"/>
      <c r="AH38" s="1247" t="n"/>
      <c r="AI38" s="1247" t="n"/>
      <c r="AJ38" s="1247" t="n"/>
      <c r="AK38" s="1247" t="n"/>
      <c r="AL38" s="1247" t="n"/>
      <c r="AM38" s="1247" t="n"/>
      <c r="AN38" s="1247" t="n"/>
      <c r="AO38" s="1247" t="n"/>
      <c r="AP38" s="1247" t="n"/>
      <c r="AQ38" s="1247" t="n"/>
      <c r="AR38" s="2323" t="n"/>
      <c r="AS38" s="1247" t="n"/>
      <c r="AT38" s="1247" t="n"/>
      <c r="AU38" s="1247" t="n"/>
      <c r="AV38" s="1216" t="n"/>
    </row>
    <row r="39" ht="13.55" customHeight="1" s="1676">
      <c r="A39" s="1216" t="n"/>
      <c r="B39" s="1217" t="inlineStr">
        <is>
          <t>Text_630</t>
        </is>
      </c>
      <c r="C39" s="1247">
        <f t="array" ref="C39">'Model'!AW388-'Model'!AW377-'Model'!AW379-'Model'!AW351</f>
        <v/>
      </c>
      <c r="D39" s="1247">
        <f t="array" ref="D39">C39-D31-D28-D26</f>
        <v/>
      </c>
      <c r="E39" s="1247">
        <f t="array" ref="E39">D39-E31-E28-E26</f>
        <v/>
      </c>
      <c r="F39" s="1247">
        <f t="array" ref="F39">E39-F31-F28-F26</f>
        <v/>
      </c>
      <c r="G39" s="1247">
        <f t="array" ref="G39">F39-G31-G28-G26</f>
        <v/>
      </c>
      <c r="H39" s="1247">
        <f t="array" ref="H39">G39-H31-H28-H26</f>
        <v/>
      </c>
      <c r="I39" s="1247">
        <f t="array" ref="I39">H39-I31-I28-I26</f>
        <v/>
      </c>
      <c r="J39" s="1247">
        <f t="array" ref="J39">I39-J31-J28-J26</f>
        <v/>
      </c>
      <c r="K39" s="1247">
        <f t="array" ref="K39">J39-K31-K28-K26</f>
        <v/>
      </c>
      <c r="L39" s="1247">
        <f t="array" ref="L39">K39-L31-L28-L26</f>
        <v/>
      </c>
      <c r="M39" s="1247">
        <f t="array" ref="M39">L39-M31-M28-M26</f>
        <v/>
      </c>
      <c r="N39" s="1247">
        <f t="array" ref="N39">M39-N31-N28-N26</f>
        <v/>
      </c>
      <c r="O39" s="1247">
        <f t="array" ref="O39">N39-O31-O28-O26</f>
        <v/>
      </c>
      <c r="P39" s="1247">
        <f t="array" ref="P39">O39-P31-P28-P26</f>
        <v/>
      </c>
      <c r="Q39" s="1247">
        <f t="array" ref="Q39">P39-Q31-Q28-Q26</f>
        <v/>
      </c>
      <c r="R39" s="1247">
        <f t="array" ref="R39">Q39-R31-R28-R26</f>
        <v/>
      </c>
      <c r="S39" s="1247">
        <f t="array" ref="S39">R39-S31-S28-S26</f>
        <v/>
      </c>
      <c r="T39" s="1247">
        <f t="array" ref="T39">S39-T31-T28-T26</f>
        <v/>
      </c>
      <c r="U39" s="1247">
        <f t="array" ref="U39">T39-U31-U28-U26</f>
        <v/>
      </c>
      <c r="V39" s="1247">
        <f t="array" ref="V39">U39-V31-V28-V26</f>
        <v/>
      </c>
      <c r="W39" s="1247">
        <f t="array" ref="W39">V39-W31-W28-W26</f>
        <v/>
      </c>
      <c r="X39" s="1247">
        <f t="array" ref="X39">W39-X31-X28-X26</f>
        <v/>
      </c>
      <c r="Y39" s="1247">
        <f t="array" ref="Y39">X39-Y31-Y28-Y26</f>
        <v/>
      </c>
      <c r="Z39" s="1247">
        <f t="array" ref="Z39">Y39-Z31-Z28-Z26</f>
        <v/>
      </c>
      <c r="AA39" s="1247">
        <f t="array" ref="AA39">Z39-AA31-AA28-AA26</f>
        <v/>
      </c>
      <c r="AB39" s="1247">
        <f t="array" ref="AB39">AA39-AB31-AB28-AB26</f>
        <v/>
      </c>
      <c r="AC39" s="1247">
        <f t="array" ref="AC39">AB39-AC31-AC28-AC26</f>
        <v/>
      </c>
      <c r="AD39" s="1247">
        <f t="array" ref="AD39">AC39-AD31-AD28-AD26</f>
        <v/>
      </c>
      <c r="AE39" s="1247">
        <f t="array" ref="AE39">AD39-AE31-AE28-AE26</f>
        <v/>
      </c>
      <c r="AF39" s="1247">
        <f t="array" ref="AF39">AE39-AF31-AF28-AF26</f>
        <v/>
      </c>
      <c r="AG39" s="1247">
        <f t="array" ref="AG39">AF39-AG31-AG28-AG26</f>
        <v/>
      </c>
      <c r="AH39" s="1247">
        <f t="array" ref="AH39">AG39-AH31-AH28-AH26</f>
        <v/>
      </c>
      <c r="AI39" s="1247">
        <f t="array" ref="AI39">AH39-AI31-AI28-AI26</f>
        <v/>
      </c>
      <c r="AJ39" s="1247">
        <f t="array" ref="AJ39">AI39-AJ31-AJ28-AJ26</f>
        <v/>
      </c>
      <c r="AK39" s="1247">
        <f t="array" ref="AK39">AJ39-AK31-AK28-AK26</f>
        <v/>
      </c>
      <c r="AL39" s="1247">
        <f t="array" ref="AL39">AK39-AL31-AL28-AL26</f>
        <v/>
      </c>
      <c r="AM39" s="1247">
        <f t="array" ref="AM39">AL39-AM31-AM28-AM26</f>
        <v/>
      </c>
      <c r="AN39" s="1247">
        <f t="array" ref="AN39">AM39-AN31-AN28-AN26</f>
        <v/>
      </c>
      <c r="AO39" s="1247">
        <f t="array" ref="AO39">AN39-AO31-AO28-AO26</f>
        <v/>
      </c>
      <c r="AP39" s="1247">
        <f t="array" ref="AP39">AO39-AP31-AP28-AP26</f>
        <v/>
      </c>
      <c r="AQ39" s="1247">
        <f t="array" ref="AQ39">AP39-AQ31-AQ28-AQ26</f>
        <v/>
      </c>
      <c r="AR39" s="2323">
        <f t="array" ref="AR39">(AQ39/D39)^(1/39)-1</f>
        <v/>
      </c>
      <c r="AS39" s="1247" t="n"/>
      <c r="AT39" s="1247" t="n"/>
      <c r="AU39" s="1247" t="n"/>
      <c r="AV39" s="1216" t="n"/>
    </row>
    <row r="40" ht="13.55" customHeight="1" s="1676">
      <c r="A40" s="1216" t="n"/>
      <c r="B40" s="1217" t="inlineStr">
        <is>
          <t>Text_631</t>
        </is>
      </c>
      <c r="C40" s="2323" t="n"/>
      <c r="D40" s="2323">
        <f t="array" ref="D40">D25/D39</f>
        <v/>
      </c>
      <c r="E40" s="2323">
        <f t="array" ref="E40">E25/E39</f>
        <v/>
      </c>
      <c r="F40" s="2323">
        <f t="array" ref="F40">F25/F39</f>
        <v/>
      </c>
      <c r="G40" s="2323">
        <f t="array" ref="G40">G25/G39</f>
        <v/>
      </c>
      <c r="H40" s="2323">
        <f t="array" ref="H40">H25/H39</f>
        <v/>
      </c>
      <c r="I40" s="2323">
        <f t="array" ref="I40">I25/I39</f>
        <v/>
      </c>
      <c r="J40" s="2323">
        <f t="array" ref="J40">J25/J39</f>
        <v/>
      </c>
      <c r="K40" s="2323">
        <f t="array" ref="K40">K25/K39</f>
        <v/>
      </c>
      <c r="L40" s="2323">
        <f t="array" ref="L40">L25/L39</f>
        <v/>
      </c>
      <c r="M40" s="2323">
        <f t="array" ref="M40">M25/M39</f>
        <v/>
      </c>
      <c r="N40" s="2323">
        <f t="array" ref="N40">N25/N39</f>
        <v/>
      </c>
      <c r="O40" s="2323">
        <f t="array" ref="O40">O25/O39</f>
        <v/>
      </c>
      <c r="P40" s="2323">
        <f t="array" ref="P40">P25/P39</f>
        <v/>
      </c>
      <c r="Q40" s="2323">
        <f t="array" ref="Q40">Q25/Q39</f>
        <v/>
      </c>
      <c r="R40" s="2323">
        <f t="array" ref="R40">R25/R39</f>
        <v/>
      </c>
      <c r="S40" s="2323">
        <f t="array" ref="S40">S25/S39</f>
        <v/>
      </c>
      <c r="T40" s="2323">
        <f t="array" ref="T40">T25/T39</f>
        <v/>
      </c>
      <c r="U40" s="2323">
        <f t="array" ref="U40">U25/U39</f>
        <v/>
      </c>
      <c r="V40" s="2323">
        <f t="array" ref="V40">V25/V39</f>
        <v/>
      </c>
      <c r="W40" s="2323">
        <f t="array" ref="W40">W25/W39</f>
        <v/>
      </c>
      <c r="X40" s="2323">
        <f t="array" ref="X40">X25/X39</f>
        <v/>
      </c>
      <c r="Y40" s="2323">
        <f t="array" ref="Y40">Y25/Y39</f>
        <v/>
      </c>
      <c r="Z40" s="2323">
        <f t="array" ref="Z40">Z25/Z39</f>
        <v/>
      </c>
      <c r="AA40" s="2323">
        <f t="array" ref="AA40">AA25/AA39</f>
        <v/>
      </c>
      <c r="AB40" s="2323">
        <f t="array" ref="AB40">AB25/AB39</f>
        <v/>
      </c>
      <c r="AC40" s="2323">
        <f t="array" ref="AC40">AC25/AC39</f>
        <v/>
      </c>
      <c r="AD40" s="2323">
        <f t="array" ref="AD40">AD25/AD39</f>
        <v/>
      </c>
      <c r="AE40" s="2323">
        <f t="array" ref="AE40">AE25/AE39</f>
        <v/>
      </c>
      <c r="AF40" s="2323">
        <f t="array" ref="AF40">AF25/AF39</f>
        <v/>
      </c>
      <c r="AG40" s="2323">
        <f t="array" ref="AG40">AG25/AG39</f>
        <v/>
      </c>
      <c r="AH40" s="2323">
        <f t="array" ref="AH40">AH25/AH39</f>
        <v/>
      </c>
      <c r="AI40" s="2323">
        <f t="array" ref="AI40">AI25/AI39</f>
        <v/>
      </c>
      <c r="AJ40" s="2323">
        <f t="array" ref="AJ40">AJ25/AJ39</f>
        <v/>
      </c>
      <c r="AK40" s="2323">
        <f t="array" ref="AK40">AK25/AK39</f>
        <v/>
      </c>
      <c r="AL40" s="2323">
        <f t="array" ref="AL40">AL25/AL39</f>
        <v/>
      </c>
      <c r="AM40" s="2323">
        <f t="array" ref="AM40">AM25/AM39</f>
        <v/>
      </c>
      <c r="AN40" s="2323">
        <f t="array" ref="AN40">AN25/AN39</f>
        <v/>
      </c>
      <c r="AO40" s="2323">
        <f t="array" ref="AO40">AO25/AO39</f>
        <v/>
      </c>
      <c r="AP40" s="2323">
        <f t="array" ref="AP40">AP25/AP39</f>
        <v/>
      </c>
      <c r="AQ40" s="2323">
        <f t="array" ref="AQ40">AQ25/AQ39</f>
        <v/>
      </c>
      <c r="AR40" s="1247" t="n"/>
      <c r="AS40" s="1247" t="n"/>
      <c r="AT40" s="1247" t="n"/>
      <c r="AU40" s="1247" t="n"/>
      <c r="AV40" s="1216" t="n"/>
    </row>
    <row r="41" ht="13.55" customHeight="1" s="1676">
      <c r="A41" s="1216" t="n"/>
      <c r="B41" s="1216" t="n"/>
      <c r="C41" s="1247" t="n"/>
      <c r="D41" s="1247" t="n"/>
      <c r="E41" s="1247" t="n"/>
      <c r="F41" s="1247" t="n"/>
      <c r="G41" s="1247" t="n"/>
      <c r="H41" s="1247" t="n"/>
      <c r="I41" s="1247" t="n"/>
      <c r="J41" s="1247" t="n"/>
      <c r="K41" s="1247" t="n"/>
      <c r="L41" s="1247" t="n"/>
      <c r="M41" s="1247" t="n"/>
      <c r="N41" s="1247" t="n"/>
      <c r="O41" s="1247" t="n"/>
      <c r="P41" s="1247" t="n"/>
      <c r="Q41" s="1247" t="n"/>
      <c r="R41" s="1247" t="n"/>
      <c r="S41" s="1247" t="n"/>
      <c r="T41" s="1247" t="n"/>
      <c r="U41" s="1247" t="n"/>
      <c r="V41" s="1247" t="n"/>
      <c r="W41" s="1247" t="n"/>
      <c r="X41" s="1247" t="n"/>
      <c r="Y41" s="1247" t="n"/>
      <c r="Z41" s="1247" t="n"/>
      <c r="AA41" s="1247" t="n"/>
      <c r="AB41" s="1247" t="n"/>
      <c r="AC41" s="1247" t="n"/>
      <c r="AD41" s="1247" t="n"/>
      <c r="AE41" s="1247" t="n"/>
      <c r="AF41" s="1247" t="n"/>
      <c r="AG41" s="1247" t="n"/>
      <c r="AH41" s="1247" t="n"/>
      <c r="AI41" s="1247" t="n"/>
      <c r="AJ41" s="1247" t="n"/>
      <c r="AK41" s="1247" t="n"/>
      <c r="AL41" s="1247" t="n"/>
      <c r="AM41" s="1247" t="n"/>
      <c r="AN41" s="1247" t="n"/>
      <c r="AO41" s="1247" t="n"/>
      <c r="AP41" s="1247" t="n"/>
      <c r="AQ41" s="1247" t="n"/>
      <c r="AR41" s="1247" t="n"/>
      <c r="AS41" s="1247" t="n"/>
      <c r="AT41" s="1247" t="n"/>
      <c r="AU41" s="1247" t="n"/>
      <c r="AV41" s="1216" t="n"/>
    </row>
    <row r="42" ht="13.55" customHeight="1" s="1676">
      <c r="A42" s="1216" t="n"/>
      <c r="B42" s="1217" t="inlineStr">
        <is>
          <t>Text_632</t>
        </is>
      </c>
      <c r="C42" s="1247">
        <f t="array" ref="C42">SUM(D37:AQ37)</f>
        <v/>
      </c>
      <c r="D42" s="1216" t="n"/>
      <c r="E42" s="1216" t="n"/>
      <c r="F42" s="1216" t="n"/>
      <c r="G42" s="1216" t="n"/>
      <c r="H42" s="1216" t="n"/>
      <c r="I42" s="1216" t="n"/>
      <c r="J42" s="1216" t="n"/>
      <c r="K42" s="1216" t="n"/>
      <c r="L42" s="1216" t="n"/>
      <c r="M42" s="1216" t="n"/>
      <c r="N42" s="1216" t="n"/>
      <c r="O42" s="1216" t="n"/>
      <c r="P42" s="1216" t="n"/>
      <c r="Q42" s="1216" t="n"/>
      <c r="R42" s="1216" t="n"/>
      <c r="S42" s="1216" t="n"/>
      <c r="T42" s="1216" t="n"/>
      <c r="U42" s="1216" t="n"/>
      <c r="V42" s="1216" t="n"/>
      <c r="W42" s="1216" t="n"/>
      <c r="X42" s="1216" t="n"/>
      <c r="Y42" s="1216" t="n"/>
      <c r="Z42" s="1216" t="n"/>
      <c r="AA42" s="1216" t="n"/>
      <c r="AB42" s="1216" t="n"/>
      <c r="AC42" s="1216" t="n"/>
      <c r="AD42" s="1216" t="n"/>
      <c r="AE42" s="1216" t="n"/>
      <c r="AF42" s="1216" t="n"/>
      <c r="AG42" s="1216" t="n"/>
      <c r="AH42" s="1216" t="n"/>
      <c r="AI42" s="1216" t="n"/>
      <c r="AJ42" s="1216" t="n"/>
      <c r="AK42" s="1216" t="n"/>
      <c r="AL42" s="1216" t="n"/>
      <c r="AM42" s="1216" t="n"/>
      <c r="AN42" s="1216" t="n"/>
      <c r="AO42" s="1216" t="n"/>
      <c r="AP42" s="1216" t="n"/>
      <c r="AQ42" s="1216" t="n"/>
      <c r="AR42" s="1216" t="n"/>
      <c r="AS42" s="1216" t="n"/>
      <c r="AT42" s="1216" t="n"/>
      <c r="AU42" s="1216" t="n"/>
      <c r="AV42" s="1216" t="n"/>
    </row>
    <row r="43" ht="13.55" customHeight="1" s="1676">
      <c r="A43" s="1216" t="n"/>
      <c r="B43" s="1217" t="inlineStr">
        <is>
          <t>Text_633</t>
        </is>
      </c>
      <c r="C43" s="1247">
        <f t="array" ref="C43">(AQ34*(1+C3))/(C2-C3)</f>
        <v/>
      </c>
      <c r="D43" s="1216" t="n"/>
      <c r="E43" s="1216" t="n"/>
      <c r="F43" s="1216" t="n"/>
      <c r="G43" s="1216" t="n"/>
      <c r="H43" s="1216" t="n"/>
      <c r="I43" s="1216" t="n"/>
      <c r="J43" s="1216" t="n"/>
      <c r="K43" s="1216" t="n"/>
      <c r="L43" s="1216" t="n"/>
      <c r="M43" s="1216" t="n"/>
      <c r="N43" s="1216" t="n"/>
      <c r="O43" s="1216" t="n"/>
      <c r="P43" s="1216" t="n"/>
      <c r="Q43" s="1216" t="n"/>
      <c r="R43" s="1216" t="n"/>
      <c r="S43" s="1216" t="n"/>
      <c r="T43" s="1216" t="n"/>
      <c r="U43" s="1216" t="n"/>
      <c r="V43" s="1216" t="n"/>
      <c r="W43" s="1216" t="n"/>
      <c r="X43" s="1216" t="n"/>
      <c r="Y43" s="1216" t="n"/>
      <c r="Z43" s="1216" t="n"/>
      <c r="AA43" s="1216" t="n"/>
      <c r="AB43" s="1216" t="n"/>
      <c r="AC43" s="1216" t="n"/>
      <c r="AD43" s="1216" t="n"/>
      <c r="AE43" s="1216" t="n"/>
      <c r="AF43" s="1216" t="n"/>
      <c r="AG43" s="1216" t="n"/>
      <c r="AH43" s="1216" t="n"/>
      <c r="AI43" s="1216" t="n"/>
      <c r="AJ43" s="1216" t="n"/>
      <c r="AK43" s="1216" t="n"/>
      <c r="AL43" s="1216" t="n"/>
      <c r="AM43" s="1216" t="n"/>
      <c r="AN43" s="1216" t="n"/>
      <c r="AO43" s="1216" t="n"/>
      <c r="AP43" s="1216" t="n"/>
      <c r="AQ43" s="1216" t="n"/>
      <c r="AR43" s="1216" t="n"/>
      <c r="AS43" s="1216" t="n"/>
      <c r="AT43" s="1216" t="n"/>
      <c r="AU43" s="1216" t="n"/>
      <c r="AV43" s="1216" t="n"/>
    </row>
    <row r="44" ht="13.55" customHeight="1" s="1676">
      <c r="A44" s="1216" t="n"/>
      <c r="B44" s="1217" t="inlineStr">
        <is>
          <t>Text_634</t>
        </is>
      </c>
      <c r="C44" s="1247">
        <f t="array" ref="C44">C43/((1+C2)^AQ9)</f>
        <v/>
      </c>
      <c r="D44" s="1216" t="n"/>
      <c r="E44" s="1216" t="n"/>
      <c r="F44" s="1216" t="n"/>
      <c r="G44" s="1216" t="n"/>
      <c r="H44" s="1216" t="n"/>
      <c r="I44" s="1216" t="n"/>
      <c r="J44" s="1216" t="n"/>
      <c r="K44" s="1216" t="n"/>
      <c r="L44" s="1216" t="n"/>
      <c r="M44" s="1216" t="n"/>
      <c r="N44" s="1216" t="n"/>
      <c r="O44" s="1216" t="n"/>
      <c r="P44" s="1216" t="n"/>
      <c r="Q44" s="1216" t="n"/>
      <c r="R44" s="1216" t="n"/>
      <c r="S44" s="1216" t="n"/>
      <c r="T44" s="1216" t="n"/>
      <c r="U44" s="1216" t="n"/>
      <c r="V44" s="1216" t="n"/>
      <c r="W44" s="1216" t="n"/>
      <c r="X44" s="1216" t="n"/>
      <c r="Y44" s="1216" t="n"/>
      <c r="Z44" s="1216" t="n"/>
      <c r="AA44" s="1216" t="n"/>
      <c r="AB44" s="1216" t="n"/>
      <c r="AC44" s="1216" t="n"/>
      <c r="AD44" s="1216" t="n"/>
      <c r="AE44" s="1216" t="n"/>
      <c r="AF44" s="1216" t="n"/>
      <c r="AG44" s="1216" t="n"/>
      <c r="AH44" s="1216" t="n"/>
      <c r="AI44" s="1216" t="n"/>
      <c r="AJ44" s="1216" t="n"/>
      <c r="AK44" s="1216" t="n"/>
      <c r="AL44" s="1216" t="n"/>
      <c r="AM44" s="1216" t="n"/>
      <c r="AN44" s="1216" t="n"/>
      <c r="AO44" s="1216" t="n"/>
      <c r="AP44" s="1216" t="n"/>
      <c r="AQ44" s="1216" t="n"/>
      <c r="AR44" s="1216" t="n"/>
      <c r="AS44" s="1216" t="n"/>
      <c r="AT44" s="1216" t="n"/>
      <c r="AU44" s="1216" t="n"/>
      <c r="AV44" s="1216" t="n"/>
    </row>
    <row r="45" ht="13.55" customHeight="1" s="1676">
      <c r="A45" s="1216" t="n"/>
      <c r="B45" s="1217" t="inlineStr">
        <is>
          <t>Text_635</t>
        </is>
      </c>
      <c r="C45" s="1256">
        <f t="array" ref="C45">C42+C44</f>
        <v/>
      </c>
      <c r="D45" s="1216" t="n"/>
      <c r="E45" s="1216" t="n"/>
      <c r="F45" s="1216" t="n"/>
      <c r="G45" s="1216" t="n"/>
      <c r="H45" s="1216" t="n"/>
      <c r="I45" s="1216" t="n"/>
      <c r="J45" s="1216" t="n"/>
      <c r="K45" s="1216" t="n"/>
      <c r="L45" s="1216" t="n"/>
      <c r="M45" s="2335" t="n"/>
      <c r="N45" s="2335" t="n"/>
      <c r="O45" s="2335" t="n"/>
      <c r="P45" s="2335" t="n"/>
      <c r="Q45" s="2335" t="n"/>
      <c r="R45" s="2335" t="n"/>
      <c r="S45" s="2335" t="n"/>
      <c r="T45" s="2335" t="n"/>
      <c r="U45" s="2335" t="n"/>
      <c r="V45" s="2335" t="n"/>
      <c r="W45" s="1216" t="n"/>
      <c r="X45" s="1216" t="n"/>
      <c r="Y45" s="1216" t="n"/>
      <c r="Z45" s="1216" t="n"/>
      <c r="AA45" s="1216" t="n"/>
      <c r="AB45" s="1216" t="n"/>
      <c r="AC45" s="1216" t="n"/>
      <c r="AD45" s="1216" t="n"/>
      <c r="AE45" s="1216" t="n"/>
      <c r="AF45" s="1216" t="n"/>
      <c r="AG45" s="1216" t="n"/>
      <c r="AH45" s="1216" t="n"/>
      <c r="AI45" s="1216" t="n"/>
      <c r="AJ45" s="1216" t="n"/>
      <c r="AK45" s="1216" t="n"/>
      <c r="AL45" s="1216" t="n"/>
      <c r="AM45" s="1216" t="n"/>
      <c r="AN45" s="1216" t="n"/>
      <c r="AO45" s="1216" t="n"/>
      <c r="AP45" s="1216" t="n"/>
      <c r="AQ45" s="1216" t="n"/>
      <c r="AR45" s="1216" t="n"/>
      <c r="AS45" s="1216" t="n"/>
      <c r="AT45" s="1216" t="n"/>
      <c r="AU45" s="1216" t="n"/>
      <c r="AV45" s="1216" t="n"/>
    </row>
    <row r="46" ht="13.55" customHeight="1" s="1676">
      <c r="A46" s="1216" t="n"/>
      <c r="B46" s="1258" t="inlineStr">
        <is>
          <t>Text_636</t>
        </is>
      </c>
      <c r="C46" s="1245">
        <f t="array" ref="C46">-'Model'!AX355</f>
        <v/>
      </c>
      <c r="D46" s="1259" t="n"/>
      <c r="E46" s="1216" t="n"/>
      <c r="F46" s="1216" t="n"/>
      <c r="G46" s="1216" t="n"/>
      <c r="H46" s="1216" t="n"/>
      <c r="I46" s="1216" t="n"/>
      <c r="J46" s="1216" t="n"/>
      <c r="K46" s="1216" t="n"/>
      <c r="L46" s="1216" t="n"/>
      <c r="M46" s="2323" t="n"/>
      <c r="N46" s="2323" t="n"/>
      <c r="O46" s="2323" t="n"/>
      <c r="P46" s="2323" t="n"/>
      <c r="Q46" s="2323" t="n"/>
      <c r="R46" s="2323" t="n"/>
      <c r="S46" s="2323" t="n"/>
      <c r="T46" s="2323" t="n"/>
      <c r="U46" s="2323" t="n"/>
      <c r="V46" s="2323" t="n"/>
      <c r="W46" s="1216" t="n"/>
      <c r="X46" s="1216" t="n"/>
      <c r="Y46" s="1216" t="n"/>
      <c r="Z46" s="1216" t="n"/>
      <c r="AA46" s="1216" t="n"/>
      <c r="AB46" s="1216" t="n"/>
      <c r="AC46" s="1216" t="n"/>
      <c r="AD46" s="1216" t="n"/>
      <c r="AE46" s="1216" t="n"/>
      <c r="AF46" s="1216" t="n"/>
      <c r="AG46" s="1216" t="n"/>
      <c r="AH46" s="1216" t="n"/>
      <c r="AI46" s="1216" t="n"/>
      <c r="AJ46" s="1216" t="n"/>
      <c r="AK46" s="1216" t="n"/>
      <c r="AL46" s="1216" t="n"/>
      <c r="AM46" s="1216" t="n"/>
      <c r="AN46" s="1216" t="n"/>
      <c r="AO46" s="1216" t="n"/>
      <c r="AP46" s="1216" t="n"/>
      <c r="AQ46" s="1216" t="n"/>
      <c r="AR46" s="1216" t="n"/>
      <c r="AS46" s="1216" t="n"/>
      <c r="AT46" s="1216" t="n"/>
      <c r="AU46" s="1216" t="n"/>
      <c r="AV46" s="1216" t="n"/>
    </row>
    <row r="47" ht="13.55" customHeight="1" s="1676">
      <c r="A47" s="1216" t="n"/>
      <c r="B47" s="1217" t="inlineStr">
        <is>
          <t>Text_637</t>
        </is>
      </c>
      <c r="C47" s="1260">
        <f t="array" ref="C47">C45-C46</f>
        <v/>
      </c>
      <c r="D47" s="1216" t="n"/>
      <c r="E47" s="1216" t="n"/>
      <c r="F47" s="1216" t="n"/>
      <c r="G47" s="1216" t="n"/>
      <c r="H47" s="1216" t="n"/>
      <c r="I47" s="1216" t="n"/>
      <c r="J47" s="1216" t="n"/>
      <c r="K47" s="1216" t="n"/>
      <c r="L47" s="1216" t="n"/>
      <c r="M47" s="1216" t="n"/>
      <c r="N47" s="1216" t="n"/>
      <c r="O47" s="1216" t="n"/>
      <c r="P47" s="1216" t="n"/>
      <c r="Q47" s="1216" t="n"/>
      <c r="R47" s="1216" t="n"/>
      <c r="S47" s="1216" t="n"/>
      <c r="T47" s="1216" t="n"/>
      <c r="U47" s="1216" t="n"/>
      <c r="V47" s="1216" t="n"/>
      <c r="W47" s="1216" t="n"/>
      <c r="X47" s="1216" t="n"/>
      <c r="Y47" s="1216" t="n"/>
      <c r="Z47" s="1216" t="n"/>
      <c r="AA47" s="1216" t="n"/>
      <c r="AB47" s="1216" t="n"/>
      <c r="AC47" s="1216" t="n"/>
      <c r="AD47" s="1216" t="n"/>
      <c r="AE47" s="1216" t="n"/>
      <c r="AF47" s="1216" t="n"/>
      <c r="AG47" s="1216" t="n"/>
      <c r="AH47" s="1216" t="n"/>
      <c r="AI47" s="1216" t="n"/>
      <c r="AJ47" s="1216" t="n"/>
      <c r="AK47" s="1216" t="n"/>
      <c r="AL47" s="1216" t="n"/>
      <c r="AM47" s="1216" t="n"/>
      <c r="AN47" s="1216" t="n"/>
      <c r="AO47" s="1216" t="n"/>
      <c r="AP47" s="1216" t="n"/>
      <c r="AQ47" s="1216" t="n"/>
      <c r="AR47" s="1216" t="n"/>
      <c r="AS47" s="1216" t="n"/>
      <c r="AT47" s="1216" t="n"/>
      <c r="AU47" s="1216" t="n"/>
      <c r="AV47" s="1216" t="n"/>
    </row>
    <row r="48" ht="13.55" customHeight="1" s="1676">
      <c r="A48" s="1216" t="n"/>
      <c r="B48" s="1258" t="inlineStr">
        <is>
          <t>Text_638</t>
        </is>
      </c>
      <c r="C48" s="1245">
        <f t="array" ref="C48">'Model'!AX269</f>
        <v/>
      </c>
      <c r="D48" s="1259" t="n"/>
      <c r="E48" s="1216" t="n"/>
      <c r="F48" s="1216" t="n"/>
      <c r="G48" s="1216" t="n"/>
      <c r="H48" s="1216" t="n"/>
      <c r="I48" s="1216" t="n"/>
      <c r="J48" s="1216" t="n"/>
      <c r="K48" s="1216" t="n"/>
      <c r="L48" s="1216" t="n"/>
      <c r="M48" s="2335" t="n"/>
      <c r="N48" s="2335" t="n"/>
      <c r="O48" s="2335" t="n"/>
      <c r="P48" s="2335" t="n"/>
      <c r="Q48" s="2335" t="n"/>
      <c r="R48" s="2335" t="n"/>
      <c r="S48" s="2335" t="n"/>
      <c r="T48" s="2335" t="n"/>
      <c r="U48" s="2335" t="n"/>
      <c r="V48" s="2335" t="n"/>
      <c r="W48" s="1216" t="n"/>
      <c r="X48" s="1216" t="n"/>
      <c r="Y48" s="1216" t="n"/>
      <c r="Z48" s="1216" t="n"/>
      <c r="AA48" s="1216" t="n"/>
      <c r="AB48" s="1216" t="n"/>
      <c r="AC48" s="1216" t="n"/>
      <c r="AD48" s="1216" t="n"/>
      <c r="AE48" s="1216" t="n"/>
      <c r="AF48" s="1216" t="n"/>
      <c r="AG48" s="1216" t="n"/>
      <c r="AH48" s="1216" t="n"/>
      <c r="AI48" s="1216" t="n"/>
      <c r="AJ48" s="1216" t="n"/>
      <c r="AK48" s="1216" t="n"/>
      <c r="AL48" s="1216" t="n"/>
      <c r="AM48" s="1216" t="n"/>
      <c r="AN48" s="1216" t="n"/>
      <c r="AO48" s="1216" t="n"/>
      <c r="AP48" s="1216" t="n"/>
      <c r="AQ48" s="1216" t="n"/>
      <c r="AR48" s="1216" t="n"/>
      <c r="AS48" s="1216" t="n"/>
      <c r="AT48" s="1216" t="n"/>
      <c r="AU48" s="1216" t="n"/>
      <c r="AV48" s="1216" t="n"/>
    </row>
    <row r="49" ht="13.55" customHeight="1" s="1676">
      <c r="A49" s="1216" t="n"/>
      <c r="B49" s="1258" t="inlineStr">
        <is>
          <t>Text_474</t>
        </is>
      </c>
      <c r="C49" s="2336">
        <f t="array" ref="C49">C47/C48</f>
        <v/>
      </c>
      <c r="D49" s="1259" t="n"/>
      <c r="E49" s="2337" t="n"/>
      <c r="F49" s="1216" t="n"/>
      <c r="G49" s="1216" t="n"/>
      <c r="H49" s="1216" t="n"/>
      <c r="I49" s="1216" t="n"/>
      <c r="J49" s="1216" t="n"/>
      <c r="K49" s="1216" t="n"/>
      <c r="L49" s="1216" t="n"/>
      <c r="M49" s="2323" t="n"/>
      <c r="N49" s="2323" t="n"/>
      <c r="O49" s="2323" t="n"/>
      <c r="P49" s="2323" t="n"/>
      <c r="Q49" s="2323" t="n"/>
      <c r="R49" s="2323" t="n"/>
      <c r="S49" s="2323" t="n"/>
      <c r="T49" s="2323" t="n"/>
      <c r="U49" s="2323" t="n"/>
      <c r="V49" s="2323" t="n"/>
      <c r="W49" s="1216" t="n"/>
      <c r="X49" s="1216" t="n"/>
      <c r="Y49" s="1216" t="n"/>
      <c r="Z49" s="1216" t="n"/>
      <c r="AA49" s="1216" t="n"/>
      <c r="AB49" s="1216" t="n"/>
      <c r="AC49" s="1216" t="n"/>
      <c r="AD49" s="1216" t="n"/>
      <c r="AE49" s="1216" t="n"/>
      <c r="AF49" s="1216" t="n"/>
      <c r="AG49" s="1216" t="n"/>
      <c r="AH49" s="1216" t="n"/>
      <c r="AI49" s="1216" t="n"/>
      <c r="AJ49" s="1216" t="n"/>
      <c r="AK49" s="1216" t="n"/>
      <c r="AL49" s="1216" t="n"/>
      <c r="AM49" s="1216" t="n"/>
      <c r="AN49" s="1216" t="n"/>
      <c r="AO49" s="1216" t="n"/>
      <c r="AP49" s="1216" t="n"/>
      <c r="AQ49" s="1216" t="n"/>
      <c r="AR49" s="1216" t="n"/>
      <c r="AS49" s="1216" t="n"/>
      <c r="AT49" s="1216" t="n"/>
      <c r="AU49" s="1216" t="n"/>
      <c r="AV49" s="1216" t="n"/>
    </row>
    <row r="50" ht="13.55" customHeight="1" s="1676">
      <c r="A50" s="1216" t="n"/>
      <c r="B50" s="1217" t="inlineStr">
        <is>
          <t>Text_639</t>
        </is>
      </c>
      <c r="C50" s="1263">
        <f t="array" ref="C50">C49/C52-1</f>
        <v/>
      </c>
      <c r="D50" s="1250" t="n"/>
      <c r="E50" s="1250" t="n"/>
      <c r="F50" s="1250" t="n"/>
      <c r="G50" s="1250" t="n"/>
      <c r="H50" s="1250" t="n"/>
      <c r="I50" s="1250" t="n"/>
      <c r="J50" s="1250" t="n"/>
      <c r="K50" s="1250" t="n"/>
      <c r="L50" s="1250" t="n"/>
      <c r="M50" s="1250" t="n"/>
      <c r="N50" s="1250" t="n"/>
      <c r="O50" s="1250" t="n"/>
      <c r="P50" s="1250" t="n"/>
      <c r="Q50" s="1250" t="n"/>
      <c r="R50" s="1250" t="n"/>
      <c r="S50" s="1250" t="n"/>
      <c r="T50" s="1250" t="n"/>
      <c r="U50" s="1250" t="n"/>
      <c r="V50" s="1250" t="n"/>
      <c r="W50" s="1250" t="n"/>
      <c r="X50" s="1250" t="n"/>
      <c r="Y50" s="1250" t="n"/>
      <c r="Z50" s="1250" t="n"/>
      <c r="AA50" s="1250" t="n"/>
      <c r="AB50" s="1250" t="n"/>
      <c r="AC50" s="1250" t="n"/>
      <c r="AD50" s="1250" t="n"/>
      <c r="AE50" s="1250" t="n"/>
      <c r="AF50" s="1250" t="n"/>
      <c r="AG50" s="1250" t="n"/>
      <c r="AH50" s="1250" t="n"/>
      <c r="AI50" s="1250" t="n"/>
      <c r="AJ50" s="1250" t="n"/>
      <c r="AK50" s="1250" t="n"/>
      <c r="AL50" s="1250" t="n"/>
      <c r="AM50" s="1250" t="n"/>
      <c r="AN50" s="1250" t="n"/>
      <c r="AO50" s="1250" t="n"/>
      <c r="AP50" s="1250" t="n"/>
      <c r="AQ50" s="1250" t="n"/>
      <c r="AR50" s="1250" t="n"/>
      <c r="AS50" s="1250" t="n"/>
      <c r="AT50" s="1250" t="n"/>
      <c r="AU50" s="1250" t="n"/>
      <c r="AV50" s="1216" t="n"/>
    </row>
    <row r="51" ht="13.55" customHeight="1" s="1676">
      <c r="A51" s="1216" t="n"/>
      <c r="B51" s="1216" t="n"/>
      <c r="C51" s="1220" t="n"/>
      <c r="D51" s="1216" t="n"/>
      <c r="E51" s="1216" t="n"/>
      <c r="F51" s="1216" t="n"/>
      <c r="G51" s="1216" t="n"/>
      <c r="H51" s="1216" t="n"/>
      <c r="I51" s="1216" t="n"/>
      <c r="J51" s="1216" t="n"/>
      <c r="K51" s="1216" t="n"/>
      <c r="L51" s="1216" t="n"/>
      <c r="M51" s="1216" t="n"/>
      <c r="N51" s="1216" t="n"/>
      <c r="O51" s="1216" t="n"/>
      <c r="P51" s="1216" t="n"/>
      <c r="Q51" s="1216" t="n"/>
      <c r="R51" s="1216" t="n"/>
      <c r="S51" s="1216" t="n"/>
      <c r="T51" s="1216" t="n"/>
      <c r="U51" s="1216" t="n"/>
      <c r="V51" s="1216" t="n"/>
      <c r="W51" s="1216" t="n"/>
      <c r="X51" s="1216" t="n"/>
      <c r="Y51" s="1216" t="n"/>
      <c r="Z51" s="1216" t="n"/>
      <c r="AA51" s="1216" t="n"/>
      <c r="AB51" s="1216" t="n"/>
      <c r="AC51" s="1216" t="n"/>
      <c r="AD51" s="1216" t="n"/>
      <c r="AE51" s="1216" t="n"/>
      <c r="AF51" s="1216" t="n"/>
      <c r="AG51" s="1216" t="n"/>
      <c r="AH51" s="1216" t="n"/>
      <c r="AI51" s="1216" t="n"/>
      <c r="AJ51" s="1216" t="n"/>
      <c r="AK51" s="1216" t="n"/>
      <c r="AL51" s="1216" t="n"/>
      <c r="AM51" s="1216" t="n"/>
      <c r="AN51" s="1216" t="n"/>
      <c r="AO51" s="1216" t="n"/>
      <c r="AP51" s="1216" t="n"/>
      <c r="AQ51" s="1216" t="n"/>
      <c r="AR51" s="1216" t="n"/>
      <c r="AS51" s="1216" t="n"/>
      <c r="AT51" s="1216" t="n"/>
      <c r="AU51" s="1216" t="n"/>
      <c r="AV51" s="1216" t="n"/>
    </row>
    <row r="52" ht="13.55" customHeight="1" s="1676">
      <c r="A52" s="1216" t="n"/>
      <c r="B52" s="1258" t="inlineStr">
        <is>
          <t>Text_640</t>
        </is>
      </c>
      <c r="C52" s="1264">
        <f t="array" ref="C52">'Model'!CA4</f>
        <v/>
      </c>
      <c r="D52" s="1259" t="n"/>
      <c r="E52" s="1216" t="n"/>
      <c r="F52" s="1216" t="n"/>
      <c r="G52" s="1216" t="n"/>
      <c r="H52" s="1216" t="n"/>
      <c r="I52" s="1216" t="n"/>
      <c r="J52" s="1216" t="n"/>
      <c r="K52" s="1216" t="n"/>
      <c r="L52" s="1216" t="n"/>
      <c r="M52" s="1216" t="n"/>
      <c r="N52" s="1216" t="n"/>
      <c r="O52" s="1216" t="n"/>
      <c r="P52" s="1216" t="n"/>
      <c r="Q52" s="1216" t="n"/>
      <c r="R52" s="1216" t="n"/>
      <c r="S52" s="1216" t="n"/>
      <c r="T52" s="1216" t="n"/>
      <c r="U52" s="1216" t="n"/>
      <c r="V52" s="1216" t="n"/>
      <c r="W52" s="1216" t="n"/>
      <c r="X52" s="1216" t="n"/>
      <c r="Y52" s="1216" t="n"/>
      <c r="Z52" s="1216" t="n"/>
      <c r="AA52" s="1216" t="n"/>
      <c r="AB52" s="1216" t="n"/>
      <c r="AC52" s="1216" t="n"/>
      <c r="AD52" s="1216" t="n"/>
      <c r="AE52" s="1216" t="n"/>
      <c r="AF52" s="1216" t="n"/>
      <c r="AG52" s="1216" t="n"/>
      <c r="AH52" s="1216" t="n"/>
      <c r="AI52" s="1216" t="n"/>
      <c r="AJ52" s="1216" t="n"/>
      <c r="AK52" s="1216" t="n"/>
      <c r="AL52" s="1216" t="n"/>
      <c r="AM52" s="1216" t="n"/>
      <c r="AN52" s="1216" t="n"/>
      <c r="AO52" s="1216" t="n"/>
      <c r="AP52" s="1216" t="n"/>
      <c r="AQ52" s="1216" t="n"/>
      <c r="AR52" s="1216" t="n"/>
      <c r="AS52" s="1216" t="n"/>
      <c r="AT52" s="1216" t="n"/>
      <c r="AU52" s="1216" t="n"/>
      <c r="AV52" s="1216" t="n"/>
    </row>
    <row r="53" ht="13.55" customHeight="1" s="1676">
      <c r="A53" s="1216" t="n"/>
      <c r="B53" s="1216" t="n"/>
      <c r="C53" s="1265" t="n"/>
      <c r="D53" s="1216" t="n"/>
      <c r="E53" s="1216" t="n"/>
      <c r="F53" s="1216" t="n"/>
      <c r="G53" s="1216" t="n"/>
      <c r="H53" s="1216" t="n"/>
      <c r="I53" s="1216" t="n"/>
      <c r="J53" s="1216" t="n"/>
      <c r="K53" s="1216" t="n"/>
      <c r="L53" s="1216" t="n"/>
      <c r="M53" s="1216" t="n"/>
      <c r="N53" s="1216" t="n"/>
      <c r="O53" s="1216" t="n"/>
      <c r="P53" s="1216" t="n"/>
      <c r="Q53" s="1216" t="n"/>
      <c r="R53" s="1216" t="n"/>
      <c r="S53" s="1216" t="n"/>
      <c r="T53" s="1216" t="n"/>
      <c r="U53" s="1216" t="n"/>
      <c r="V53" s="1216" t="n"/>
      <c r="W53" s="1216" t="n"/>
      <c r="X53" s="1216" t="n"/>
      <c r="Y53" s="1216" t="n"/>
      <c r="Z53" s="1216" t="n"/>
      <c r="AA53" s="1216" t="n"/>
      <c r="AB53" s="1216" t="n"/>
      <c r="AC53" s="1216" t="n"/>
      <c r="AD53" s="1216" t="n"/>
      <c r="AE53" s="1216" t="n"/>
      <c r="AF53" s="1216" t="n"/>
      <c r="AG53" s="1216" t="n"/>
      <c r="AH53" s="1216" t="n"/>
      <c r="AI53" s="1216" t="n"/>
      <c r="AJ53" s="1216" t="n"/>
      <c r="AK53" s="1216" t="n"/>
      <c r="AL53" s="1216" t="n"/>
      <c r="AM53" s="1216" t="n"/>
      <c r="AN53" s="1216" t="n"/>
      <c r="AO53" s="1216" t="n"/>
      <c r="AP53" s="1216" t="n"/>
      <c r="AQ53" s="1216" t="n"/>
      <c r="AR53" s="1216" t="n"/>
      <c r="AS53" s="1216" t="n"/>
      <c r="AT53" s="1216" t="n"/>
      <c r="AU53" s="1216" t="n"/>
      <c r="AV53" s="1216" t="n"/>
    </row>
    <row r="54" ht="13.55" customHeight="1" s="1676">
      <c r="A54" s="1216" t="n"/>
      <c r="B54" s="1216" t="n"/>
      <c r="C54" s="1216" t="n"/>
      <c r="D54" s="1216" t="n"/>
      <c r="E54" s="1216" t="n"/>
      <c r="F54" s="1216" t="n"/>
      <c r="G54" s="1216" t="n"/>
      <c r="H54" s="1216" t="n"/>
      <c r="I54" s="1216" t="n"/>
      <c r="J54" s="1216" t="n"/>
      <c r="K54" s="1216" t="n"/>
      <c r="L54" s="1216" t="n"/>
      <c r="M54" s="1216" t="n"/>
      <c r="N54" s="1216" t="n"/>
      <c r="O54" s="1216" t="n"/>
      <c r="P54" s="1216" t="n"/>
      <c r="Q54" s="1216" t="n"/>
      <c r="R54" s="1216" t="n"/>
      <c r="S54" s="1216" t="n"/>
      <c r="T54" s="1216" t="n"/>
      <c r="U54" s="1216" t="n"/>
      <c r="V54" s="1216" t="n"/>
      <c r="W54" s="1216" t="n"/>
      <c r="X54" s="1216" t="n"/>
      <c r="Y54" s="1216" t="n"/>
      <c r="Z54" s="1216" t="n"/>
      <c r="AA54" s="1216" t="n"/>
      <c r="AB54" s="1216" t="n"/>
      <c r="AC54" s="1216" t="n"/>
      <c r="AD54" s="1216" t="n"/>
      <c r="AE54" s="1216" t="n"/>
      <c r="AF54" s="1216" t="n"/>
      <c r="AG54" s="1216" t="n"/>
      <c r="AH54" s="1216" t="n"/>
      <c r="AI54" s="1216" t="n"/>
      <c r="AJ54" s="1216" t="n"/>
      <c r="AK54" s="1216" t="n"/>
      <c r="AL54" s="1216" t="n"/>
      <c r="AM54" s="1216" t="n"/>
      <c r="AN54" s="1216" t="n"/>
      <c r="AO54" s="1216" t="n"/>
      <c r="AP54" s="1216" t="n"/>
      <c r="AQ54" s="1216" t="n"/>
      <c r="AR54" s="1216" t="n"/>
      <c r="AS54" s="1216" t="n"/>
      <c r="AT54" s="1216" t="n"/>
      <c r="AU54" s="1216" t="n"/>
      <c r="AV54" s="1216" t="n"/>
    </row>
    <row r="55" ht="13.55" customHeight="1" s="1676">
      <c r="A55" s="1216" t="n"/>
      <c r="B55" s="1216" t="n"/>
      <c r="C55" s="1216" t="n"/>
      <c r="D55" s="1216" t="n"/>
      <c r="E55" s="1216" t="n"/>
      <c r="F55" s="1216" t="n"/>
      <c r="G55" s="1216" t="n"/>
      <c r="H55" s="1216" t="n"/>
      <c r="I55" s="1216" t="n"/>
      <c r="J55" s="1216" t="n"/>
      <c r="K55" s="1216" t="n"/>
      <c r="L55" s="1216" t="n"/>
      <c r="M55" s="1216" t="n"/>
      <c r="N55" s="1216" t="n"/>
      <c r="O55" s="1216" t="n"/>
      <c r="P55" s="1216" t="n"/>
      <c r="Q55" s="1216" t="n"/>
      <c r="R55" s="1216" t="n"/>
      <c r="S55" s="1216" t="n"/>
      <c r="T55" s="1216" t="n"/>
      <c r="U55" s="1216" t="n"/>
      <c r="V55" s="1216" t="n"/>
      <c r="W55" s="1216" t="n"/>
      <c r="X55" s="1216" t="n"/>
      <c r="Y55" s="1216" t="n"/>
      <c r="Z55" s="1216" t="n"/>
      <c r="AA55" s="1216" t="n"/>
      <c r="AB55" s="1216" t="n"/>
      <c r="AC55" s="1216" t="n"/>
      <c r="AD55" s="1216" t="n"/>
      <c r="AE55" s="1216" t="n"/>
      <c r="AF55" s="1216" t="n"/>
      <c r="AG55" s="1216" t="n"/>
      <c r="AH55" s="1216" t="n"/>
      <c r="AI55" s="1216" t="n"/>
      <c r="AJ55" s="1216" t="n"/>
      <c r="AK55" s="1216" t="n"/>
      <c r="AL55" s="1216" t="n"/>
      <c r="AM55" s="1216" t="n"/>
      <c r="AN55" s="1216" t="n"/>
      <c r="AO55" s="1216" t="n"/>
      <c r="AP55" s="1216" t="n"/>
      <c r="AQ55" s="1216" t="n"/>
      <c r="AR55" s="1216" t="n"/>
      <c r="AS55" s="1216" t="n"/>
      <c r="AT55" s="1216" t="n"/>
      <c r="AU55" s="1216" t="n"/>
      <c r="AV55" s="1216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21"/>
  <sheetViews>
    <sheetView showGridLines="0" defaultGridColor="1" workbookViewId="0">
      <selection activeCell="A1" sqref="A1"/>
    </sheetView>
  </sheetViews>
  <sheetFormatPr baseColWidth="8" defaultColWidth="9.16667" defaultRowHeight="15" customHeight="1" outlineLevelRow="0"/>
  <cols>
    <col width="2.5" customWidth="1" style="1623" min="1" max="1"/>
    <col width="36" customWidth="1" style="1623" min="2" max="2"/>
    <col width="4.5" customWidth="1" style="1623" min="3" max="3"/>
    <col width="8.851559999999999" customWidth="1" style="1623" min="4" max="4"/>
    <col width="6.5" customWidth="1" style="1623" min="5" max="6"/>
    <col width="4.5" customWidth="1" style="1623" min="7" max="7"/>
    <col width="8.851559999999999" customWidth="1" style="1623" min="8" max="8"/>
    <col width="6.5" customWidth="1" style="1623" min="9" max="10"/>
    <col width="4.5" customWidth="1" style="1623" min="11" max="11"/>
    <col width="8.851559999999999" customWidth="1" style="1623" min="12" max="12"/>
    <col width="6.5" customWidth="1" style="1623" min="13" max="14"/>
    <col width="3.85156" customWidth="1" style="1623" min="15" max="15"/>
    <col width="8.851559999999999" customWidth="1" style="1623" min="16" max="16"/>
    <col width="6.5" customWidth="1" style="1623" min="17" max="18"/>
    <col width="3.85156" customWidth="1" style="1623" min="19" max="19"/>
    <col width="8.851559999999999" customWidth="1" style="1623" min="20" max="20"/>
    <col width="6.5" customWidth="1" style="1623" min="21" max="22"/>
    <col width="3.85156" customWidth="1" style="1623" min="23" max="23"/>
    <col width="8.851559999999999" customWidth="1" style="1623" min="24" max="24"/>
    <col width="6.5" customWidth="1" style="1623" min="25" max="26"/>
    <col width="3.85156" customWidth="1" style="1623" min="27" max="27"/>
    <col width="8.851559999999999" customWidth="1" style="1623" min="28" max="28"/>
    <col width="6.5" customWidth="1" style="1623" min="29" max="30"/>
    <col width="3.85156" customWidth="1" style="1623" min="31" max="31"/>
    <col width="8.851559999999999" customWidth="1" style="1623" min="32" max="32"/>
    <col width="6.5" customWidth="1" style="1623" min="33" max="33"/>
    <col width="3.85156" customWidth="1" style="1623" min="34" max="34"/>
    <col width="8" customWidth="1" style="1623" min="35" max="35"/>
    <col width="9.17188" customWidth="1" style="1623" min="36" max="43"/>
    <col width="9.17188" customWidth="1" style="1623" min="44" max="16384"/>
  </cols>
  <sheetData>
    <row r="1" ht="13.55" customHeight="1" s="1676">
      <c r="A1" s="1267" t="n"/>
      <c r="B1" s="1268" t="n"/>
      <c r="C1" s="1268" t="n"/>
      <c r="D1" s="1268" t="n"/>
      <c r="E1" s="1268" t="n"/>
      <c r="F1" s="1268" t="n"/>
      <c r="G1" s="1268" t="n"/>
      <c r="H1" s="1268" t="n"/>
      <c r="I1" s="1268" t="n"/>
      <c r="J1" s="1268" t="n"/>
      <c r="K1" s="1268" t="n"/>
      <c r="L1" s="1268" t="n"/>
      <c r="M1" s="1268" t="n"/>
      <c r="N1" s="1268" t="n"/>
      <c r="O1" s="1268" t="n"/>
      <c r="P1" s="1268" t="n"/>
      <c r="Q1" s="1268" t="n"/>
      <c r="R1" s="1268" t="n"/>
      <c r="S1" s="1268" t="n"/>
      <c r="T1" s="1268" t="n"/>
      <c r="U1" s="1268" t="n"/>
      <c r="V1" s="1268" t="n"/>
      <c r="W1" s="1268" t="n"/>
      <c r="X1" s="1268" t="n"/>
      <c r="Y1" s="1268" t="n"/>
      <c r="Z1" s="1268" t="n"/>
      <c r="AA1" s="1268" t="n"/>
      <c r="AB1" s="1268" t="n"/>
      <c r="AC1" s="1268" t="n"/>
      <c r="AD1" s="1268" t="n"/>
      <c r="AE1" s="1268" t="n"/>
      <c r="AF1" s="1268" t="n"/>
      <c r="AG1" s="1268" t="n"/>
      <c r="AH1" s="1268" t="n"/>
      <c r="AI1" s="1268" t="n"/>
      <c r="AJ1" s="1268" t="n"/>
      <c r="AK1" s="1268" t="n"/>
      <c r="AL1" s="1268" t="n"/>
      <c r="AM1" s="1268" t="n"/>
      <c r="AN1" s="1268" t="n"/>
      <c r="AO1" s="1268" t="n"/>
      <c r="AP1" s="1268" t="n"/>
      <c r="AQ1" s="1269" t="n"/>
    </row>
    <row r="2" ht="15" customHeight="1" s="1676">
      <c r="A2" s="1270" t="n"/>
      <c r="B2" s="1271" t="inlineStr">
        <is>
          <t>Text_642</t>
        </is>
      </c>
      <c r="C2" s="1272" t="n"/>
      <c r="D2" s="1273" t="inlineStr">
        <is>
          <t>Text_618</t>
        </is>
      </c>
      <c r="E2" s="1274" t="inlineStr">
        <is>
          <t>Text_643</t>
        </is>
      </c>
      <c r="F2" s="1275" t="n"/>
      <c r="G2" s="1272" t="n"/>
      <c r="H2" s="1273" t="inlineStr">
        <is>
          <t>Text_618</t>
        </is>
      </c>
      <c r="I2" s="1274" t="inlineStr">
        <is>
          <t>Text_643</t>
        </is>
      </c>
      <c r="J2" s="1275" t="n"/>
      <c r="K2" s="1272" t="n"/>
      <c r="L2" s="1273" t="inlineStr">
        <is>
          <t>Text_618</t>
        </is>
      </c>
      <c r="M2" s="1274" t="inlineStr">
        <is>
          <t>Text_643</t>
        </is>
      </c>
      <c r="N2" s="1275" t="n"/>
      <c r="O2" s="1272" t="n"/>
      <c r="P2" s="1273" t="inlineStr">
        <is>
          <t>Text_618</t>
        </is>
      </c>
      <c r="Q2" s="1274" t="inlineStr">
        <is>
          <t>Text_643</t>
        </is>
      </c>
      <c r="R2" s="1275" t="n"/>
      <c r="S2" s="1272" t="n"/>
      <c r="T2" s="1273" t="inlineStr">
        <is>
          <t>Text_618</t>
        </is>
      </c>
      <c r="U2" s="1274" t="inlineStr">
        <is>
          <t>Text_643</t>
        </is>
      </c>
      <c r="V2" s="1275" t="n"/>
      <c r="W2" s="1272" t="n"/>
      <c r="X2" s="1273" t="inlineStr">
        <is>
          <t>Text_618</t>
        </is>
      </c>
      <c r="Y2" s="1274" t="inlineStr">
        <is>
          <t>Text_643</t>
        </is>
      </c>
      <c r="Z2" s="1275" t="n"/>
      <c r="AA2" s="1272" t="n"/>
      <c r="AB2" s="1273" t="inlineStr">
        <is>
          <t>Text_618</t>
        </is>
      </c>
      <c r="AC2" s="1274" t="inlineStr">
        <is>
          <t>Text_643</t>
        </is>
      </c>
      <c r="AD2" s="1275" t="n"/>
      <c r="AE2" s="1272" t="n"/>
      <c r="AF2" s="1273" t="inlineStr">
        <is>
          <t>Text_618</t>
        </is>
      </c>
      <c r="AG2" s="1274" t="inlineStr">
        <is>
          <t>Text_643</t>
        </is>
      </c>
      <c r="AH2" s="1272" t="n"/>
      <c r="AI2" s="1272" t="n"/>
      <c r="AJ2" s="1276" t="inlineStr">
        <is>
          <t>Text_644</t>
        </is>
      </c>
      <c r="AK2" s="1272" t="n"/>
      <c r="AL2" s="1272" t="n"/>
      <c r="AM2" s="1272" t="n"/>
      <c r="AN2" s="1272" t="n"/>
      <c r="AO2" s="1272" t="n"/>
      <c r="AP2" s="1272" t="n"/>
      <c r="AQ2" s="1277" t="n"/>
    </row>
    <row r="3" ht="15.75" customHeight="1" s="1676">
      <c r="A3" s="1270" t="n"/>
      <c r="B3" s="1278" t="inlineStr">
        <is>
          <t>Text_645</t>
        </is>
      </c>
      <c r="C3" s="1272" t="n"/>
      <c r="D3" s="1347" t="n">
        <v>1901.58484214768</v>
      </c>
      <c r="E3" s="1282" t="n">
        <v>2081.31213863413</v>
      </c>
      <c r="F3" s="1274" t="inlineStr">
        <is>
          <t>Text_646</t>
        </is>
      </c>
      <c r="G3" s="1272" t="n"/>
      <c r="H3" s="1347" t="n">
        <v>1981.86972360399</v>
      </c>
      <c r="I3" s="1282" t="n">
        <v>1818.42839393925</v>
      </c>
      <c r="J3" s="1274" t="inlineStr">
        <is>
          <t>Text_646</t>
        </is>
      </c>
      <c r="K3" s="1272" t="n"/>
      <c r="L3" s="1347" t="n">
        <v>1788.53431810312</v>
      </c>
      <c r="M3" s="1282" t="n">
        <v>2049.31159204033</v>
      </c>
      <c r="N3" s="1274" t="inlineStr">
        <is>
          <t>Text_646</t>
        </is>
      </c>
      <c r="O3" s="1272" t="n"/>
      <c r="P3" s="1347" t="n">
        <v>2263.86229817138</v>
      </c>
      <c r="Q3" s="1282">
        <f t="array" ref="Q3">P3</f>
        <v/>
      </c>
      <c r="R3" s="1274" t="inlineStr">
        <is>
          <t>Text_646</t>
        </is>
      </c>
      <c r="S3" s="1272" t="n"/>
      <c r="T3" s="1281" t="inlineStr">
        <is>
          <t>2019</t>
        </is>
      </c>
      <c r="U3" s="1282">
        <f t="array" ref="U3">T3</f>
        <v/>
      </c>
      <c r="V3" s="1274" t="inlineStr">
        <is>
          <t>Text_646</t>
        </is>
      </c>
      <c r="W3" s="1272" t="n"/>
      <c r="X3" s="1347" t="n">
        <v>1923.53198344202</v>
      </c>
      <c r="Y3" s="1282">
        <f t="array" ref="Y3">X3</f>
        <v/>
      </c>
      <c r="Z3" s="1274" t="inlineStr">
        <is>
          <t>Text_646</t>
        </is>
      </c>
      <c r="AA3" s="1272" t="n"/>
      <c r="AB3" s="1347" t="n">
        <v>2157.98836488041</v>
      </c>
      <c r="AC3" s="1282">
        <f t="array" ref="AC3">AB3</f>
        <v/>
      </c>
      <c r="AD3" s="1274" t="inlineStr">
        <is>
          <t>Text_646</t>
        </is>
      </c>
      <c r="AE3" s="1272" t="n"/>
      <c r="AF3" s="1347" t="n">
        <v>2111.95838746757</v>
      </c>
      <c r="AG3" s="1282">
        <f t="array" ref="AG3">AF3</f>
        <v/>
      </c>
      <c r="AH3" s="1272" t="n"/>
      <c r="AI3" s="1278" t="inlineStr">
        <is>
          <t>Text_647</t>
        </is>
      </c>
      <c r="AJ3" s="2338" t="n"/>
      <c r="AK3" s="1272" t="n"/>
      <c r="AL3" s="1272" t="n"/>
      <c r="AM3" s="1272" t="n"/>
      <c r="AN3" s="1272" t="n"/>
      <c r="AO3" s="1272" t="n"/>
      <c r="AP3" s="1272" t="n"/>
      <c r="AQ3" s="1277" t="n"/>
    </row>
    <row r="4" ht="8" customHeight="1" s="1676">
      <c r="A4" s="1284" t="n"/>
      <c r="B4" s="1285" t="n"/>
      <c r="C4" s="1272" t="n"/>
      <c r="D4" s="2339" t="n"/>
      <c r="E4" s="2339" t="n"/>
      <c r="F4" s="2340" t="n"/>
      <c r="G4" s="1272" t="n"/>
      <c r="H4" s="2339" t="n"/>
      <c r="I4" s="2339" t="n"/>
      <c r="J4" s="2340" t="n"/>
      <c r="K4" s="1272" t="n"/>
      <c r="L4" s="2339" t="n"/>
      <c r="M4" s="2339" t="n"/>
      <c r="N4" s="2340" t="n"/>
      <c r="O4" s="1272" t="n"/>
      <c r="P4" s="2339" t="n"/>
      <c r="Q4" s="1288" t="n"/>
      <c r="R4" s="2340" t="n"/>
      <c r="S4" s="1272" t="n"/>
      <c r="T4" s="2339" t="n"/>
      <c r="U4" s="1289" t="n"/>
      <c r="V4" s="2340" t="n"/>
      <c r="W4" s="1272" t="n"/>
      <c r="X4" s="2339" t="n"/>
      <c r="Y4" s="1289" t="n"/>
      <c r="Z4" s="2340" t="n"/>
      <c r="AA4" s="1272" t="n"/>
      <c r="AB4" s="2339" t="n"/>
      <c r="AC4" s="1289" t="n"/>
      <c r="AD4" s="2340" t="n"/>
      <c r="AE4" s="1272" t="n"/>
      <c r="AF4" s="2339" t="n"/>
      <c r="AG4" s="1289" t="n"/>
      <c r="AH4" s="1272" t="n"/>
      <c r="AI4" s="1285" t="n"/>
      <c r="AJ4" s="1285" t="n"/>
      <c r="AK4" s="1272" t="n"/>
      <c r="AL4" s="1272" t="n"/>
      <c r="AM4" s="1272" t="n"/>
      <c r="AN4" s="1272" t="n"/>
      <c r="AO4" s="1272" t="n"/>
      <c r="AP4" s="1272" t="n"/>
      <c r="AQ4" s="1277" t="n"/>
    </row>
    <row r="5" ht="13.55" customHeight="1" s="1676">
      <c r="A5" s="1284" t="n"/>
      <c r="B5" s="1290" t="inlineStr">
        <is>
          <t>Text_132</t>
        </is>
      </c>
      <c r="C5" s="1291" t="n"/>
      <c r="D5" s="2341" t="n">
        <v>8093.53086148766</v>
      </c>
      <c r="E5" s="1293">
        <f t="array" ref="E5">D5/$D$17</f>
        <v/>
      </c>
      <c r="F5" s="1294">
        <f t="array" ref="F5">D5/H5-1</f>
        <v/>
      </c>
      <c r="G5" s="1291" t="n"/>
      <c r="H5" s="2341" t="n">
        <v>8501.433448454891</v>
      </c>
      <c r="I5" s="1293">
        <f t="array" ref="I5">H5/$H$17</f>
        <v/>
      </c>
      <c r="J5" s="1294">
        <f t="array" ref="J5">H5/L5-1</f>
        <v/>
      </c>
      <c r="K5" s="1291" t="n"/>
      <c r="L5" s="2341" t="n">
        <v>5775.95147882381</v>
      </c>
      <c r="M5" s="1293">
        <f t="array" ref="M5">L5/$L$17</f>
        <v/>
      </c>
      <c r="N5" s="1294">
        <f t="array" ref="N5">L5/P5-1</f>
        <v/>
      </c>
      <c r="O5" s="1295" t="n"/>
      <c r="P5" s="2341" t="n">
        <v>4058.2808794734</v>
      </c>
      <c r="Q5" s="1293">
        <f t="array" ref="Q5">P5/$P$17</f>
        <v/>
      </c>
      <c r="R5" s="1294">
        <f t="array" ref="R5">P5/T5-1</f>
        <v/>
      </c>
      <c r="S5" s="1295" t="n"/>
      <c r="T5" s="2341" t="n">
        <v>3747.13191201875</v>
      </c>
      <c r="U5" s="1293">
        <f t="array" ref="U5">T5/$T$17</f>
        <v/>
      </c>
      <c r="V5" s="1294">
        <f t="array" ref="V5">T5/X5-1</f>
        <v/>
      </c>
      <c r="W5" s="1295" t="n"/>
      <c r="X5" s="2341" t="n">
        <v>3165.41487009668</v>
      </c>
      <c r="Y5" s="1293">
        <f t="array" ref="Y5">X5/$X$17</f>
        <v/>
      </c>
      <c r="Z5" s="1294">
        <f t="array" ref="Z5">X5/AB5-1</f>
        <v/>
      </c>
      <c r="AA5" s="1295" t="n"/>
      <c r="AB5" s="2341" t="n">
        <v>2670.24508313758</v>
      </c>
      <c r="AC5" s="1293">
        <f t="array" ref="AC5">AB5/$X$17</f>
        <v/>
      </c>
      <c r="AD5" s="1294">
        <f t="array" ref="AD5">AB5/AF5-1</f>
        <v/>
      </c>
      <c r="AE5" s="1295" t="n"/>
      <c r="AF5" s="2341" t="n">
        <v>2052.90344016789</v>
      </c>
      <c r="AG5" s="1293">
        <f t="array" ref="AG5">AF5/$X$17</f>
        <v/>
      </c>
      <c r="AH5" s="1295" t="n"/>
      <c r="AI5" s="1294">
        <f t="array" ref="AI5">(H5/AF5)^(1/6)-1</f>
        <v/>
      </c>
      <c r="AJ5" s="2340">
        <f t="array" ref="AJ5">H5-AF5</f>
        <v/>
      </c>
      <c r="AK5" s="1272" t="n"/>
      <c r="AL5" s="1272" t="n"/>
      <c r="AM5" s="1272" t="n"/>
      <c r="AN5" s="1272" t="n"/>
      <c r="AO5" s="1272" t="n"/>
      <c r="AP5" s="1272" t="n"/>
      <c r="AQ5" s="1277" t="n"/>
    </row>
    <row r="6" ht="13.55" customHeight="1" s="1676">
      <c r="A6" s="1284" t="n"/>
      <c r="B6" s="1296" t="inlineStr">
        <is>
          <t>Text_648</t>
        </is>
      </c>
      <c r="C6" s="1291" t="n"/>
      <c r="D6" s="1297" t="n">
        <v>1304.19614873705</v>
      </c>
      <c r="E6" s="1298">
        <f t="array" ref="E6">D6/$D$17</f>
        <v/>
      </c>
      <c r="F6" s="1299">
        <f t="array" ref="F6">D6/H6-1</f>
        <v/>
      </c>
      <c r="G6" s="1291" t="n"/>
      <c r="H6" s="2342" t="n">
        <v>1837.25477347491</v>
      </c>
      <c r="I6" s="1298">
        <f t="array" ref="I6">H6/$L$17</f>
        <v/>
      </c>
      <c r="J6" s="1299">
        <f t="array" ref="J6">H6/L6-1</f>
        <v/>
      </c>
      <c r="K6" s="1291" t="n"/>
      <c r="L6" s="2342" t="n">
        <v>1148.99816354015</v>
      </c>
      <c r="M6" s="1298">
        <f t="array" ref="M6">L6/$L$17</f>
        <v/>
      </c>
      <c r="N6" s="1299">
        <f t="array" ref="N6">L6/P6-1</f>
        <v/>
      </c>
      <c r="O6" s="1272" t="n"/>
      <c r="P6" s="2342" t="n">
        <v>876.248504082047</v>
      </c>
      <c r="Q6" s="1298">
        <f t="array" ref="Q6">P6/$P$17</f>
        <v/>
      </c>
      <c r="R6" s="1299">
        <f t="array" ref="R6">P6/T6-1</f>
        <v/>
      </c>
      <c r="S6" s="1272" t="n"/>
      <c r="T6" s="2342" t="n">
        <v>698.96481622716</v>
      </c>
      <c r="U6" s="1298">
        <f t="array" ref="U6">T6/$T$17</f>
        <v/>
      </c>
      <c r="V6" s="1299">
        <f t="array" ref="V6">T6/X6-1</f>
        <v/>
      </c>
      <c r="W6" s="1272" t="n"/>
      <c r="X6" s="2342" t="n">
        <v>650.836815908298</v>
      </c>
      <c r="Y6" s="1298">
        <f t="array" ref="Y6">X6/$X$17</f>
        <v/>
      </c>
      <c r="Z6" s="1299">
        <f t="array" ref="Z6">X6/AB6-1</f>
        <v/>
      </c>
      <c r="AA6" s="1272" t="n"/>
      <c r="AB6" s="2342" t="n">
        <v>745.33774149582</v>
      </c>
      <c r="AC6" s="1298">
        <f t="array" ref="AC6">AB6/$X$17</f>
        <v/>
      </c>
      <c r="AD6" s="1299">
        <f t="array" ref="AD6">AB6/AF6-1</f>
        <v/>
      </c>
      <c r="AE6" s="1272" t="n"/>
      <c r="AF6" s="2342" t="n">
        <v>530.104316028591</v>
      </c>
      <c r="AG6" s="1298">
        <f t="array" ref="AG6">AF6/$X$17</f>
        <v/>
      </c>
      <c r="AH6" s="1272" t="n"/>
      <c r="AI6" s="1299">
        <f t="array" ref="AI6">(H6/AF6)^(1/6)-1</f>
        <v/>
      </c>
      <c r="AJ6" s="2340">
        <f t="array" ref="AJ6">H6-AF6</f>
        <v/>
      </c>
      <c r="AK6" s="1272" t="n"/>
      <c r="AL6" s="1272" t="n"/>
      <c r="AM6" s="1272" t="n"/>
      <c r="AN6" s="1272" t="n"/>
      <c r="AO6" s="1272" t="n"/>
      <c r="AP6" s="1272" t="n"/>
      <c r="AQ6" s="1277" t="n"/>
    </row>
    <row r="7" ht="13.55" customHeight="1" s="1676">
      <c r="A7" s="1284" t="n"/>
      <c r="B7" s="1296" t="inlineStr">
        <is>
          <t>Text_649</t>
        </is>
      </c>
      <c r="C7" s="1291" t="n"/>
      <c r="D7" s="1297" t="n">
        <v>991.210936362348</v>
      </c>
      <c r="E7" s="1298">
        <f t="array" ref="E7">D7/$D$17</f>
        <v/>
      </c>
      <c r="F7" s="1299">
        <f t="array" ref="F7">D7/H7-1</f>
        <v/>
      </c>
      <c r="G7" s="1291" t="n"/>
      <c r="H7" s="2342" t="n">
        <v>657.593624336056</v>
      </c>
      <c r="I7" s="1298">
        <f t="array" ref="I7">H7/$L$17</f>
        <v/>
      </c>
      <c r="J7" s="1299">
        <f t="array" ref="J7">H7/L7-1</f>
        <v/>
      </c>
      <c r="K7" s="1291" t="n"/>
      <c r="L7" s="2342" t="n">
        <v>556.356633783417</v>
      </c>
      <c r="M7" s="1298">
        <f t="array" ref="M7">L7/$L$17</f>
        <v/>
      </c>
      <c r="N7" s="1299">
        <f t="array" ref="N7">L7/P7-1</f>
        <v/>
      </c>
      <c r="O7" s="1272" t="n"/>
      <c r="P7" s="2342" t="n">
        <v>346.190548858115</v>
      </c>
      <c r="Q7" s="1298">
        <f t="array" ref="Q7">P7/$P$17</f>
        <v/>
      </c>
      <c r="R7" s="1299">
        <f t="array" ref="R7">P7/T7-1</f>
        <v/>
      </c>
      <c r="S7" s="1272" t="n"/>
      <c r="T7" s="2342" t="n">
        <v>233.518797196692</v>
      </c>
      <c r="U7" s="1298">
        <f t="array" ref="U7">T7/$T$17</f>
        <v/>
      </c>
      <c r="V7" s="1299">
        <f t="array" ref="V7">T7/X7-1</f>
        <v/>
      </c>
      <c r="W7" s="1272" t="n"/>
      <c r="X7" s="2342" t="n">
        <v>137.158265822618</v>
      </c>
      <c r="Y7" s="1298">
        <f t="array" ref="Y7">X7/$X$17</f>
        <v/>
      </c>
      <c r="Z7" s="1299">
        <f t="array" ref="Z7">X7/AB7-1</f>
        <v/>
      </c>
      <c r="AA7" s="1272" t="n"/>
      <c r="AB7" s="2342" t="n">
        <v>94.2648067848891</v>
      </c>
      <c r="AC7" s="1298">
        <f t="array" ref="AC7">AB7/$X$17</f>
        <v/>
      </c>
      <c r="AD7" s="1299">
        <f t="array" ref="AD7">AB7/AF7-1</f>
        <v/>
      </c>
      <c r="AE7" s="1272" t="n"/>
      <c r="AF7" s="2342" t="n">
        <v>77.9398419409614</v>
      </c>
      <c r="AG7" s="1298">
        <f t="array" ref="AG7">AF7/$X$17</f>
        <v/>
      </c>
      <c r="AH7" s="1272" t="n"/>
      <c r="AI7" s="1299">
        <f t="array" ref="AI7">(H7/AF7)^(1/6)-1</f>
        <v/>
      </c>
      <c r="AJ7" s="2340">
        <f t="array" ref="AJ7">H7-AF7</f>
        <v/>
      </c>
      <c r="AK7" s="1272" t="n"/>
      <c r="AL7" s="1272" t="n"/>
      <c r="AM7" s="1272" t="n"/>
      <c r="AN7" s="1272" t="n"/>
      <c r="AO7" s="1272" t="n"/>
      <c r="AP7" s="1272" t="n"/>
      <c r="AQ7" s="1277" t="n"/>
    </row>
    <row r="8" ht="13.55" customHeight="1" s="1676">
      <c r="A8" s="1284" t="n"/>
      <c r="B8" s="1296" t="inlineStr">
        <is>
          <t>Text_650</t>
        </is>
      </c>
      <c r="C8" s="1291" t="n"/>
      <c r="D8" s="1297" t="n">
        <v>812.160834738836</v>
      </c>
      <c r="E8" s="1298">
        <f t="array" ref="E8">D8/$D$17</f>
        <v/>
      </c>
      <c r="F8" s="1299">
        <f t="array" ref="F8">D8/H8-1</f>
        <v/>
      </c>
      <c r="G8" s="1291" t="n"/>
      <c r="H8" s="2342" t="n">
        <v>732.53546301892</v>
      </c>
      <c r="I8" s="1298">
        <f t="array" ref="I8">H8/$L$17</f>
        <v/>
      </c>
      <c r="J8" s="1299">
        <f t="array" ref="J8">H8/L8-1</f>
        <v/>
      </c>
      <c r="K8" s="1291" t="n"/>
      <c r="L8" s="2342" t="n">
        <v>826.510275787998</v>
      </c>
      <c r="M8" s="1298">
        <f t="array" ref="M8">L8/$L$17</f>
        <v/>
      </c>
      <c r="N8" s="1299">
        <f t="array" ref="N8">L8/P8-1</f>
        <v/>
      </c>
      <c r="O8" s="1272" t="n"/>
      <c r="P8" s="2342" t="n">
        <v>697.674465999801</v>
      </c>
      <c r="Q8" s="1298">
        <f t="array" ref="Q8">P8/$P$17</f>
        <v/>
      </c>
      <c r="R8" s="1299">
        <f t="array" ref="R8">P8/T8-1</f>
        <v/>
      </c>
      <c r="S8" s="1272" t="n"/>
      <c r="T8" s="2342" t="n">
        <v>598.715771146615</v>
      </c>
      <c r="U8" s="1298">
        <f t="array" ref="U8">T8/$T$17</f>
        <v/>
      </c>
      <c r="V8" s="1299">
        <f t="array" ref="V8">T8/X8-1</f>
        <v/>
      </c>
      <c r="W8" s="1272" t="n"/>
      <c r="X8" s="2342" t="n">
        <v>658.812040811158</v>
      </c>
      <c r="Y8" s="1298">
        <f t="array" ref="Y8">X8/$X$17</f>
        <v/>
      </c>
      <c r="Z8" s="1299">
        <f t="array" ref="Z8">X8/AB8-1</f>
        <v/>
      </c>
      <c r="AA8" s="1272" t="n"/>
      <c r="AB8" s="2342" t="n">
        <v>666.523777811384</v>
      </c>
      <c r="AC8" s="1298">
        <f t="array" ref="AC8">AB8/$X$17</f>
        <v/>
      </c>
      <c r="AD8" s="1299">
        <f t="array" ref="AD8">AB8/AF8-1</f>
        <v/>
      </c>
      <c r="AE8" s="1272" t="n"/>
      <c r="AF8" s="2342" t="n">
        <v>489.877887991567</v>
      </c>
      <c r="AG8" s="1298">
        <f t="array" ref="AG8">AF8/$X$17</f>
        <v/>
      </c>
      <c r="AH8" s="1272" t="n"/>
      <c r="AI8" s="1299">
        <f t="array" ref="AI8">(H8/AF8)^(1/6)-1</f>
        <v/>
      </c>
      <c r="AJ8" s="2340">
        <f t="array" ref="AJ8">H8-AF8</f>
        <v/>
      </c>
      <c r="AK8" s="1272" t="n"/>
      <c r="AL8" s="1272" t="n"/>
      <c r="AM8" s="1272" t="n"/>
      <c r="AN8" s="1272" t="n"/>
      <c r="AO8" s="1272" t="n"/>
      <c r="AP8" s="1272" t="n"/>
      <c r="AQ8" s="1277" t="n"/>
    </row>
    <row r="9" ht="13.55" customHeight="1" s="1676">
      <c r="A9" s="1284" t="n"/>
      <c r="B9" s="1296" t="inlineStr">
        <is>
          <t>Text_651</t>
        </is>
      </c>
      <c r="C9" s="1291" t="n"/>
      <c r="D9" s="1297" t="n">
        <v>576.370405710852</v>
      </c>
      <c r="E9" s="1298">
        <f t="array" ref="E9">D9/$D$17</f>
        <v/>
      </c>
      <c r="F9" s="1299">
        <f t="array" ref="F9">D9/H9-1</f>
        <v/>
      </c>
      <c r="G9" s="1291" t="n"/>
      <c r="H9" s="2342" t="n">
        <v>685.163047607918</v>
      </c>
      <c r="I9" s="1298">
        <f t="array" ref="I9">H9/$L$17</f>
        <v/>
      </c>
      <c r="J9" s="1299">
        <f t="array" ref="J9">H9/L9-1</f>
        <v/>
      </c>
      <c r="K9" s="1291" t="n"/>
      <c r="L9" s="2342" t="n">
        <v>546.4250251321409</v>
      </c>
      <c r="M9" s="1298">
        <f t="array" ref="M9">L9/$L$17</f>
        <v/>
      </c>
      <c r="N9" s="1299">
        <f t="array" ref="N9">L9/P9-1</f>
        <v/>
      </c>
      <c r="O9" s="1272" t="n"/>
      <c r="P9" s="2342" t="n">
        <v>454.134883535949</v>
      </c>
      <c r="Q9" s="1298">
        <f t="array" ref="Q9">P9/$P$17</f>
        <v/>
      </c>
      <c r="R9" s="1299">
        <f t="array" ref="R9">P9/T9-1</f>
        <v/>
      </c>
      <c r="S9" s="1272" t="n"/>
      <c r="T9" s="2342">
        <f t="array" ref="T9">85.1453018188476+162.080184936523+128.165740966796</f>
        <v/>
      </c>
      <c r="U9" s="1298">
        <f t="array" ref="U9">T9/$T$17</f>
        <v/>
      </c>
      <c r="V9" s="1299">
        <f t="array" ref="V9">T9/X9-1</f>
        <v/>
      </c>
      <c r="W9" s="1272" t="n"/>
      <c r="X9" s="2342">
        <f t="array" ref="X9">267.700012207031+207.800003051757</f>
        <v/>
      </c>
      <c r="Y9" s="1298">
        <f t="array" ref="Y9">X9/$X$17</f>
        <v/>
      </c>
      <c r="Z9" s="1299">
        <f t="array" ref="Z9">X9/AB9-1</f>
        <v/>
      </c>
      <c r="AA9" s="1272" t="n"/>
      <c r="AB9" s="2342">
        <f t="array" ref="AB9">214.875+183.6</f>
        <v/>
      </c>
      <c r="AC9" s="1298">
        <f t="array" ref="AC9">AB9/$X$17</f>
        <v/>
      </c>
      <c r="AD9" s="1299">
        <f t="array" ref="AD9">AB9/AF9-1</f>
        <v/>
      </c>
      <c r="AE9" s="1272" t="n"/>
      <c r="AF9" s="2342">
        <f t="array" ref="AF9">184.1+161.899993896484</f>
        <v/>
      </c>
      <c r="AG9" s="1298">
        <f t="array" ref="AG9">AF9/$X$17</f>
        <v/>
      </c>
      <c r="AH9" s="1272" t="n"/>
      <c r="AI9" s="1299">
        <f t="array" ref="AI9">(H9/AF9)^(1/6)-1</f>
        <v/>
      </c>
      <c r="AJ9" s="2340">
        <f t="array" ref="AJ9">H9-AF9</f>
        <v/>
      </c>
      <c r="AK9" s="1272" t="n"/>
      <c r="AL9" s="1272" t="n"/>
      <c r="AM9" s="1272" t="n"/>
      <c r="AN9" s="1272" t="n"/>
      <c r="AO9" s="1272" t="n"/>
      <c r="AP9" s="1272" t="n"/>
      <c r="AQ9" s="1277" t="n"/>
    </row>
    <row r="10" ht="13.55" customHeight="1" s="1676">
      <c r="A10" s="1284" t="n"/>
      <c r="B10" s="1296" t="inlineStr">
        <is>
          <t>Text_652</t>
        </is>
      </c>
      <c r="C10" s="1291" t="n"/>
      <c r="D10" s="1297" t="n">
        <v>572.482169291855</v>
      </c>
      <c r="E10" s="1298">
        <f t="array" ref="E10">D10/$D$17</f>
        <v/>
      </c>
      <c r="F10" s="1299">
        <f t="array" ref="F10">D10/H10-1</f>
        <v/>
      </c>
      <c r="G10" s="1291" t="n"/>
      <c r="H10" s="2342" t="n">
        <v>628.616602852858</v>
      </c>
      <c r="I10" s="1298">
        <f t="array" ref="I10">H10/$L$17</f>
        <v/>
      </c>
      <c r="J10" s="1299">
        <f t="array" ref="J10">H10/L10-1</f>
        <v/>
      </c>
      <c r="K10" s="1291" t="n"/>
      <c r="L10" s="2342" t="n">
        <v>628.4338168821509</v>
      </c>
      <c r="M10" s="1298">
        <f t="array" ref="M10">L10/$L$17</f>
        <v/>
      </c>
      <c r="N10" s="1299">
        <f t="array" ref="N10">L10/P10-1</f>
        <v/>
      </c>
      <c r="O10" s="1272" t="n"/>
      <c r="P10" s="2342" t="n">
        <v>369.470970644675</v>
      </c>
      <c r="Q10" s="1298">
        <f t="array" ref="Q10">P10/$P$17</f>
        <v/>
      </c>
      <c r="R10" s="1299">
        <f t="array" ref="R10">P10/T10-1</f>
        <v/>
      </c>
      <c r="S10" s="1272" t="n"/>
      <c r="T10" s="2342" t="n">
        <v>313.623937242297</v>
      </c>
      <c r="U10" s="1298">
        <f t="array" ref="U10">T10/$T$17</f>
        <v/>
      </c>
      <c r="V10" s="1299">
        <f t="array" ref="V10">T10/X10-1</f>
        <v/>
      </c>
      <c r="W10" s="1272" t="n"/>
      <c r="X10" s="2342" t="n">
        <v>362.964442737585</v>
      </c>
      <c r="Y10" s="1298">
        <f t="array" ref="Y10">X10/$X$17</f>
        <v/>
      </c>
      <c r="Z10" s="1299">
        <f t="array" ref="Z10">X10/AB10-1</f>
        <v/>
      </c>
      <c r="AA10" s="1272" t="n"/>
      <c r="AB10" s="2342" t="n">
        <v>342.130380950242</v>
      </c>
      <c r="AC10" s="1298">
        <f t="array" ref="AC10">AB10/$X$17</f>
        <v/>
      </c>
      <c r="AD10" s="1299">
        <f t="array" ref="AD10">AB10/AF10-1</f>
        <v/>
      </c>
      <c r="AE10" s="1272" t="n"/>
      <c r="AF10" s="2342" t="n">
        <v>167.500715354913</v>
      </c>
      <c r="AG10" s="1298">
        <f t="array" ref="AG10">AF10/$X$17</f>
        <v/>
      </c>
      <c r="AH10" s="1272" t="n"/>
      <c r="AI10" s="1299">
        <f t="array" ref="AI10">(H10/AF10)^(1/6)-1</f>
        <v/>
      </c>
      <c r="AJ10" s="2340">
        <f t="array" ref="AJ10">H10-AF10</f>
        <v/>
      </c>
      <c r="AK10" s="1272" t="n"/>
      <c r="AL10" s="1272" t="n"/>
      <c r="AM10" s="1272" t="n"/>
      <c r="AN10" s="1272" t="n"/>
      <c r="AO10" s="1272" t="n"/>
      <c r="AP10" s="1272" t="n"/>
      <c r="AQ10" s="1277" t="n"/>
    </row>
    <row r="11" ht="13.55" customHeight="1" s="1676">
      <c r="A11" s="1284" t="n"/>
      <c r="B11" s="1296" t="inlineStr">
        <is>
          <t>Text_653</t>
        </is>
      </c>
      <c r="C11" s="1272" t="n"/>
      <c r="D11" s="1297" t="n">
        <v>402.248073371872</v>
      </c>
      <c r="E11" s="1298">
        <f t="array" ref="E11">D11/$D$17</f>
        <v/>
      </c>
      <c r="F11" s="1299">
        <f t="array" ref="F11">D11/H11-1</f>
        <v/>
      </c>
      <c r="G11" s="1272" t="n"/>
      <c r="H11" s="2342" t="n">
        <v>438.648840501992</v>
      </c>
      <c r="I11" s="1298">
        <f t="array" ref="I11">H11/$L$17</f>
        <v/>
      </c>
      <c r="J11" s="1299">
        <f t="array" ref="J11">H11/L11-1</f>
        <v/>
      </c>
      <c r="K11" s="1272" t="n"/>
      <c r="L11" s="2342" t="n">
        <v>323.104795432124</v>
      </c>
      <c r="M11" s="1298">
        <f t="array" ref="M11">L11/$L$17</f>
        <v/>
      </c>
      <c r="N11" s="1299">
        <f t="array" ref="N11">L11/P11-1</f>
        <v/>
      </c>
      <c r="O11" s="1272" t="n"/>
      <c r="P11" s="2342" t="n">
        <v>228.495818398355</v>
      </c>
      <c r="Q11" s="1298">
        <f t="array" ref="Q11">P11/$P$17</f>
        <v/>
      </c>
      <c r="R11" s="1299">
        <f t="array" ref="R11">P11/T11-1</f>
        <v/>
      </c>
      <c r="S11" s="1272" t="n"/>
      <c r="T11" s="2342" t="n">
        <v>158.581479962677</v>
      </c>
      <c r="U11" s="1298">
        <f t="array" ref="U11">T11/$T$17</f>
        <v/>
      </c>
      <c r="V11" s="1299">
        <f t="array" ref="V11">T11/X11-1</f>
        <v/>
      </c>
      <c r="W11" s="1272" t="n"/>
      <c r="X11" s="2342" t="n">
        <v>175.515638054542</v>
      </c>
      <c r="Y11" s="1298">
        <f t="array" ref="Y11">X11/$X$17</f>
        <v/>
      </c>
      <c r="Z11" s="1299">
        <f t="array" ref="Z11">X11/AB11-1</f>
        <v/>
      </c>
      <c r="AA11" s="1272" t="n"/>
      <c r="AB11" s="2342" t="n">
        <v>152.320731445891</v>
      </c>
      <c r="AC11" s="1298">
        <f t="array" ref="AC11">AB11/$X$17</f>
        <v/>
      </c>
      <c r="AD11" s="1299">
        <f t="array" ref="AD11">AB11/AF11-1</f>
        <v/>
      </c>
      <c r="AE11" s="1272" t="n"/>
      <c r="AF11" s="2342" t="n">
        <v>121.215584669229</v>
      </c>
      <c r="AG11" s="1298">
        <f t="array" ref="AG11">AF11/$X$17</f>
        <v/>
      </c>
      <c r="AH11" s="1272" t="n"/>
      <c r="AI11" s="1299">
        <f t="array" ref="AI11">(H11/AF11)^(1/6)-1</f>
        <v/>
      </c>
      <c r="AJ11" s="2340">
        <f t="array" ref="AJ11">H11-AF11</f>
        <v/>
      </c>
      <c r="AK11" s="1272" t="n"/>
      <c r="AL11" s="1272" t="n"/>
      <c r="AM11" s="1272" t="n"/>
      <c r="AN11" s="1272" t="n"/>
      <c r="AO11" s="1272" t="n"/>
      <c r="AP11" s="1272" t="n"/>
      <c r="AQ11" s="1277" t="n"/>
    </row>
    <row r="12" ht="13.55" customHeight="1" s="1676">
      <c r="A12" s="1284" t="n"/>
      <c r="B12" s="1296" t="inlineStr">
        <is>
          <t>Text_654</t>
        </is>
      </c>
      <c r="C12" s="1272" t="n"/>
      <c r="D12" s="1297" t="n">
        <v>299.8838483473</v>
      </c>
      <c r="E12" s="1298">
        <f t="array" ref="E12">D12/$D$17</f>
        <v/>
      </c>
      <c r="F12" s="1299">
        <f t="array" ref="F12">D12/H12-1</f>
        <v/>
      </c>
      <c r="G12" s="1272" t="n"/>
      <c r="H12" s="2342" t="n">
        <v>339.279510318604</v>
      </c>
      <c r="I12" s="1298">
        <f t="array" ref="I12">H12/$L$17</f>
        <v/>
      </c>
      <c r="J12" s="1299">
        <f t="array" ref="J12">H12/L12-1</f>
        <v/>
      </c>
      <c r="K12" s="1272" t="n"/>
      <c r="L12" s="2342" t="n">
        <v>237.615147010362</v>
      </c>
      <c r="M12" s="1298">
        <f t="array" ref="M12">L12/$L$17</f>
        <v/>
      </c>
      <c r="N12" s="1299">
        <f t="array" ref="N12">L12/P12-1</f>
        <v/>
      </c>
      <c r="O12" s="1272" t="n"/>
      <c r="P12" s="2342" t="n">
        <v>143.005304708309</v>
      </c>
      <c r="Q12" s="1298">
        <f t="array" ref="Q12">P12/$P$17</f>
        <v/>
      </c>
      <c r="R12" s="1299">
        <f t="array" ref="R12">P12/T12-1</f>
        <v/>
      </c>
      <c r="S12" s="1272" t="n"/>
      <c r="T12" s="2342" t="n">
        <v>139.187269007573</v>
      </c>
      <c r="U12" s="1298">
        <f t="array" ref="U12">T12/$T$17</f>
        <v/>
      </c>
      <c r="V12" s="1299">
        <f t="array" ref="V12">T12/X12-1</f>
        <v/>
      </c>
      <c r="W12" s="1272" t="n"/>
      <c r="X12" s="2342" t="n">
        <v>113.548513113756</v>
      </c>
      <c r="Y12" s="1298">
        <f t="array" ref="Y12">X12/$X$17</f>
        <v/>
      </c>
      <c r="Z12" s="1299">
        <f t="array" ref="Z12">X12/AB12-1</f>
        <v/>
      </c>
      <c r="AA12" s="1272" t="n"/>
      <c r="AB12" s="2342" t="n">
        <v>76.7479741620936</v>
      </c>
      <c r="AC12" s="1298">
        <f t="array" ref="AC12">AB12/$X$17</f>
        <v/>
      </c>
      <c r="AD12" s="1299">
        <f t="array" ref="AD12">AB12/AF12-1</f>
        <v/>
      </c>
      <c r="AE12" s="1272" t="n"/>
      <c r="AF12" s="2342" t="n">
        <v>71.0183066894611</v>
      </c>
      <c r="AG12" s="1298">
        <f t="array" ref="AG12">AF12/$X$17</f>
        <v/>
      </c>
      <c r="AH12" s="1272" t="n"/>
      <c r="AI12" s="1299">
        <f t="array" ref="AI12">(H12/AF12)^(1/6)-1</f>
        <v/>
      </c>
      <c r="AJ12" s="2340">
        <f t="array" ref="AJ12">H12-AF12</f>
        <v/>
      </c>
      <c r="AK12" s="1272" t="n"/>
      <c r="AL12" s="1272" t="n"/>
      <c r="AM12" s="1272" t="n"/>
      <c r="AN12" s="1272" t="n"/>
      <c r="AO12" s="1272" t="n"/>
      <c r="AP12" s="1272" t="n"/>
      <c r="AQ12" s="1277" t="n"/>
    </row>
    <row r="13" ht="13.55" customHeight="1" s="1676">
      <c r="A13" s="1284" t="n"/>
      <c r="B13" s="1296" t="inlineStr">
        <is>
          <t>Text_655</t>
        </is>
      </c>
      <c r="C13" s="1272" t="n"/>
      <c r="D13" s="1297" t="n">
        <v>229.976921517069</v>
      </c>
      <c r="E13" s="1298">
        <f t="array" ref="E13">D13/$D$17</f>
        <v/>
      </c>
      <c r="F13" s="1299">
        <f t="array" ref="F13">D13/H13-1</f>
        <v/>
      </c>
      <c r="G13" s="1272" t="n"/>
      <c r="H13" s="2342" t="n">
        <v>222.902923253639</v>
      </c>
      <c r="I13" s="1298">
        <f t="array" ref="I13">H13/$L$17</f>
        <v/>
      </c>
      <c r="J13" s="1299">
        <f t="array" ref="J13">H13/L13-1</f>
        <v/>
      </c>
      <c r="K13" s="1272" t="n"/>
      <c r="L13" s="2342" t="n">
        <v>183.838734064971</v>
      </c>
      <c r="M13" s="1298">
        <f t="array" ref="M13">L13/$L$17</f>
        <v/>
      </c>
      <c r="N13" s="1299">
        <f t="array" ref="N13">L13/P13-1</f>
        <v/>
      </c>
      <c r="O13" s="1272" t="n"/>
      <c r="P13" s="2342" t="n">
        <v>171.30861717064</v>
      </c>
      <c r="Q13" s="1298">
        <f t="array" ref="Q13">P13/$P$17</f>
        <v/>
      </c>
      <c r="R13" s="1299">
        <f t="array" ref="R13">P13/T13-1</f>
        <v/>
      </c>
      <c r="S13" s="1272" t="n"/>
      <c r="T13" s="2342" t="n">
        <v>176.842444870422</v>
      </c>
      <c r="U13" s="1298">
        <f t="array" ref="U13">T13/$T$17</f>
        <v/>
      </c>
      <c r="V13" s="1299">
        <f t="array" ref="V13">T13/X13-1</f>
        <v/>
      </c>
      <c r="W13" s="1272" t="n"/>
      <c r="X13" s="2342" t="n">
        <v>154.909797940643</v>
      </c>
      <c r="Y13" s="1298">
        <f t="array" ref="Y13">X13/$X$17</f>
        <v/>
      </c>
      <c r="Z13" s="1299">
        <f t="array" ref="Z13">X13/AB13-1</f>
        <v/>
      </c>
      <c r="AA13" s="1272" t="n"/>
      <c r="AB13" s="2342" t="n">
        <v>140.57692693148</v>
      </c>
      <c r="AC13" s="1298">
        <f t="array" ref="AC13">AB13/$X$17</f>
        <v/>
      </c>
      <c r="AD13" s="1299">
        <f t="array" ref="AD13">AB13/AF13-1</f>
        <v/>
      </c>
      <c r="AE13" s="1272" t="n"/>
      <c r="AF13" s="2342" t="n">
        <v>109.811735964934</v>
      </c>
      <c r="AG13" s="1298">
        <f t="array" ref="AG13">AF13/$X$17</f>
        <v/>
      </c>
      <c r="AH13" s="1272" t="n"/>
      <c r="AI13" s="1299">
        <f t="array" ref="AI13">(H13/AF13)^(1/6)-1</f>
        <v/>
      </c>
      <c r="AJ13" s="2340">
        <f t="array" ref="AJ13">H13-AF13</f>
        <v/>
      </c>
      <c r="AK13" s="1272" t="n"/>
      <c r="AL13" s="1272" t="n"/>
      <c r="AM13" s="1272" t="n"/>
      <c r="AN13" s="1272" t="n"/>
      <c r="AO13" s="1272" t="n"/>
      <c r="AP13" s="1272" t="n"/>
      <c r="AQ13" s="1277" t="n"/>
    </row>
    <row r="14" ht="13.55" customHeight="1" s="1676">
      <c r="A14" s="1284" t="n"/>
      <c r="B14" s="1296" t="inlineStr">
        <is>
          <t>Text_656</t>
        </is>
      </c>
      <c r="C14" s="1272" t="n"/>
      <c r="D14" s="1297" t="n">
        <v>125.721548993056</v>
      </c>
      <c r="E14" s="1298">
        <f t="array" ref="E14">D14/$D$17</f>
        <v/>
      </c>
      <c r="F14" s="1299">
        <f t="array" ref="F14">D14/H14-1</f>
        <v/>
      </c>
      <c r="G14" s="1272" t="n"/>
      <c r="H14" s="2342" t="n">
        <v>110.049791340086</v>
      </c>
      <c r="I14" s="1298">
        <f t="array" ref="I14">H14/$L$17</f>
        <v/>
      </c>
      <c r="J14" s="1299">
        <f t="array" ref="J14">H14/L14-1</f>
        <v/>
      </c>
      <c r="K14" s="1272" t="n"/>
      <c r="L14" s="2342" t="n">
        <v>90.6635199014695</v>
      </c>
      <c r="M14" s="1298">
        <f t="array" ref="M14">L14/$L$17</f>
        <v/>
      </c>
      <c r="N14" s="1299">
        <f t="array" ref="N14">L14/P14-1</f>
        <v/>
      </c>
      <c r="O14" s="1272" t="n"/>
      <c r="P14" s="2342" t="n">
        <v>87.5411788954349</v>
      </c>
      <c r="Q14" s="1298">
        <f t="array" ref="Q14">P14/$P$17</f>
        <v/>
      </c>
      <c r="R14" s="1299">
        <f t="array" ref="R14">P14/T14-1</f>
        <v/>
      </c>
      <c r="S14" s="1272" t="n"/>
      <c r="T14" s="2342" t="n">
        <v>81.899995677223</v>
      </c>
      <c r="U14" s="1298">
        <f t="array" ref="U14">T14/$T$17</f>
        <v/>
      </c>
      <c r="V14" s="1299">
        <f t="array" ref="V14">T14/X14-1</f>
        <v/>
      </c>
      <c r="W14" s="1272" t="n"/>
      <c r="X14" s="2342" t="n">
        <v>89.62466451460379</v>
      </c>
      <c r="Y14" s="1298">
        <f t="array" ref="Y14">X14/$X$17</f>
        <v/>
      </c>
      <c r="Z14" s="1299">
        <f t="array" ref="Z14">X14/AB14-1</f>
        <v/>
      </c>
      <c r="AA14" s="1272" t="n"/>
      <c r="AB14" s="2342" t="n">
        <v>49.7075549241247</v>
      </c>
      <c r="AC14" s="1298">
        <f t="array" ref="AC14">AB14/$X$17</f>
        <v/>
      </c>
      <c r="AD14" s="1299">
        <f t="array" ref="AD14">AB14/AF14-1</f>
        <v/>
      </c>
      <c r="AE14" s="1272" t="n"/>
      <c r="AF14" s="2342" t="n">
        <v>35.476541091853</v>
      </c>
      <c r="AG14" s="1298">
        <f t="array" ref="AG14">AF14/$X$17</f>
        <v/>
      </c>
      <c r="AH14" s="1272" t="n"/>
      <c r="AI14" s="1299">
        <f t="array" ref="AI14">(H14/AF14)^(1/6)-1</f>
        <v/>
      </c>
      <c r="AJ14" s="2340">
        <f t="array" ref="AJ14">H14-AF14</f>
        <v/>
      </c>
      <c r="AK14" s="1272" t="n"/>
      <c r="AL14" s="1272" t="n"/>
      <c r="AM14" s="1272" t="n"/>
      <c r="AN14" s="1272" t="n"/>
      <c r="AO14" s="1272" t="n"/>
      <c r="AP14" s="1272" t="n"/>
      <c r="AQ14" s="1277" t="n"/>
    </row>
    <row r="15" ht="13.55" customHeight="1" s="1676">
      <c r="A15" s="1284" t="n"/>
      <c r="B15" s="1296" t="inlineStr">
        <is>
          <t>Text_657</t>
        </is>
      </c>
      <c r="C15" s="1272" t="n"/>
      <c r="D15" s="2342">
        <f t="array" ref="D15">D17-D14-D12-D13-D11-D10-D7-D9-D8-D6-D5</f>
        <v/>
      </c>
      <c r="E15" s="1298">
        <f t="array" ref="E15">D15/$D$17</f>
        <v/>
      </c>
      <c r="F15" s="1299">
        <f t="array" ref="F15">D15/H15-1</f>
        <v/>
      </c>
      <c r="G15" s="1272" t="n"/>
      <c r="H15" s="2342">
        <f t="array" ref="H15">H17-H14-H12-H13-H11-H10-H7-H9-H8-H6-H5</f>
        <v/>
      </c>
      <c r="I15" s="1298">
        <f t="array" ref="I15">H15/$L$17</f>
        <v/>
      </c>
      <c r="J15" s="1299">
        <f t="array" ref="J15">H15/L15-1</f>
        <v/>
      </c>
      <c r="K15" s="1272" t="n"/>
      <c r="L15" s="2342">
        <f t="array" ref="L15">L17-L14-L12-L13-L11-L10-L7-L9-L8-L6-L5</f>
        <v/>
      </c>
      <c r="M15" s="1298">
        <f t="array" ref="M15">L15/$L$17</f>
        <v/>
      </c>
      <c r="N15" s="1299">
        <f t="array" ref="N15">L15/P15-1</f>
        <v/>
      </c>
      <c r="O15" s="1272" t="n"/>
      <c r="P15" s="2342">
        <f t="array" ref="P15">P17-P14-P12-P13-P11-P10-P7-P9-P8-P6-P5</f>
        <v/>
      </c>
      <c r="Q15" s="1298">
        <f t="array" ref="Q15">P15/$P$17</f>
        <v/>
      </c>
      <c r="R15" s="1299">
        <f t="array" ref="R15">P15/T15-1</f>
        <v/>
      </c>
      <c r="S15" s="1272" t="n"/>
      <c r="T15" s="2342">
        <f t="array" ref="T15">T17-T14-T12-T13-T11-T10-T7-T9-T8-T6-T5</f>
        <v/>
      </c>
      <c r="U15" s="1298">
        <f t="array" ref="U15">T15/$P$17</f>
        <v/>
      </c>
      <c r="V15" s="1299">
        <f t="array" ref="V15">T15/X15-1</f>
        <v/>
      </c>
      <c r="W15" s="1272" t="n"/>
      <c r="X15" s="2342">
        <f t="array" ref="X15">X17-X14-X12-X13-X11-X10-X7-X9-X8-X6-X5</f>
        <v/>
      </c>
      <c r="Y15" s="1298">
        <f t="array" ref="Y15">X15/$P$17</f>
        <v/>
      </c>
      <c r="Z15" s="1299">
        <f t="array" ref="Z15">X15/AB15-1</f>
        <v/>
      </c>
      <c r="AA15" s="1272" t="n"/>
      <c r="AB15" s="2342">
        <f t="array" ref="AB15">AB17-AB14-AB12-AB13-AB11-AB10-AB7-AB9-AB8-AB6-AB5</f>
        <v/>
      </c>
      <c r="AC15" s="1298">
        <f t="array" ref="AC15">AB15/$P$17</f>
        <v/>
      </c>
      <c r="AD15" s="1299">
        <f t="array" ref="AD15">AB15/AF15-1</f>
        <v/>
      </c>
      <c r="AE15" s="1272" t="n"/>
      <c r="AF15" s="2342">
        <f t="array" ref="AF15">AF17-AF14-AF12-AF13-AF11-AF10-AF7-AF9-AF8-AF6-AF5</f>
        <v/>
      </c>
      <c r="AG15" s="1298">
        <f t="array" ref="AG15">AF15/$P$17</f>
        <v/>
      </c>
      <c r="AH15" s="1272" t="n"/>
      <c r="AI15" s="1299">
        <f t="array" ref="AI15">(H15/AF15)^(1/6)-1</f>
        <v/>
      </c>
      <c r="AJ15" s="2340">
        <f t="array" ref="AJ15">H15-AF15</f>
        <v/>
      </c>
      <c r="AK15" s="1272" t="n"/>
      <c r="AL15" s="1272" t="n"/>
      <c r="AM15" s="1272" t="n"/>
      <c r="AN15" s="1272" t="n"/>
      <c r="AO15" s="1272" t="n"/>
      <c r="AP15" s="1272" t="n"/>
      <c r="AQ15" s="1277" t="n"/>
    </row>
    <row r="16" ht="8" customHeight="1" s="1676">
      <c r="A16" s="1284" t="n"/>
      <c r="B16" s="1301" t="n"/>
      <c r="C16" s="1272" t="n"/>
      <c r="D16" s="2343" t="n"/>
      <c r="E16" s="2340" t="n"/>
      <c r="F16" s="1299" t="n"/>
      <c r="G16" s="1272" t="n"/>
      <c r="H16" s="2343" t="n"/>
      <c r="I16" s="2340" t="n"/>
      <c r="J16" s="2340" t="n"/>
      <c r="K16" s="1272" t="n"/>
      <c r="L16" s="2343" t="n"/>
      <c r="M16" s="2340" t="n"/>
      <c r="N16" s="2340" t="n"/>
      <c r="O16" s="1272" t="n"/>
      <c r="P16" s="2343" t="n"/>
      <c r="Q16" s="1303" t="n"/>
      <c r="R16" s="2340" t="n"/>
      <c r="S16" s="1272" t="n"/>
      <c r="T16" s="2343" t="n"/>
      <c r="U16" s="1291" t="n"/>
      <c r="V16" s="2340" t="n"/>
      <c r="W16" s="1272" t="n"/>
      <c r="X16" s="2343" t="n"/>
      <c r="Y16" s="1291" t="n"/>
      <c r="Z16" s="2340" t="n"/>
      <c r="AA16" s="1272" t="n"/>
      <c r="AB16" s="2343" t="n"/>
      <c r="AC16" s="1291" t="n"/>
      <c r="AD16" s="2340" t="n"/>
      <c r="AE16" s="1272" t="n"/>
      <c r="AF16" s="2343" t="n"/>
      <c r="AG16" s="1291" t="n"/>
      <c r="AH16" s="1272" t="n"/>
      <c r="AI16" s="1301" t="n"/>
      <c r="AJ16" s="1272" t="n"/>
      <c r="AK16" s="1272" t="n"/>
      <c r="AL16" s="1272" t="n"/>
      <c r="AM16" s="1272" t="n"/>
      <c r="AN16" s="1272" t="n"/>
      <c r="AO16" s="1272" t="n"/>
      <c r="AP16" s="1272" t="n"/>
      <c r="AQ16" s="1277" t="n"/>
    </row>
    <row r="17" ht="15.75" customHeight="1" s="1676">
      <c r="A17" s="1304" t="n"/>
      <c r="B17" s="1305" t="inlineStr">
        <is>
          <t>Text_658</t>
        </is>
      </c>
      <c r="C17" s="1306" t="n"/>
      <c r="D17" s="2344" t="n">
        <v>11244.7325591065</v>
      </c>
      <c r="E17" s="1308" t="n"/>
      <c r="F17" s="1299" t="n"/>
      <c r="G17" s="1306" t="n"/>
      <c r="H17" s="2344" t="n">
        <v>14013.4981742341</v>
      </c>
      <c r="I17" s="1308" t="n"/>
      <c r="J17" s="1308" t="n"/>
      <c r="K17" s="1306" t="n"/>
      <c r="L17" s="2344" t="n">
        <v>11845.0093696557</v>
      </c>
      <c r="M17" s="1308" t="n"/>
      <c r="N17" s="1308" t="n"/>
      <c r="O17" s="1306" t="n"/>
      <c r="P17" s="2344" t="n">
        <v>7615.66588442846</v>
      </c>
      <c r="Q17" s="1308" t="n"/>
      <c r="R17" s="1308" t="n"/>
      <c r="S17" s="1306" t="n"/>
      <c r="T17" s="2344" t="n">
        <v>5394.94249669097</v>
      </c>
      <c r="U17" s="1306" t="n"/>
      <c r="V17" s="1308" t="n"/>
      <c r="W17" s="1306" t="n"/>
      <c r="X17" s="2344" t="n">
        <v>6114.52464440584</v>
      </c>
      <c r="Y17" s="1309" t="n"/>
      <c r="Z17" s="1308" t="n"/>
      <c r="AA17" s="1306" t="n"/>
      <c r="AB17" s="2344" t="n">
        <v>5570.11481791314</v>
      </c>
      <c r="AC17" s="1309" t="n"/>
      <c r="AD17" s="1308" t="n"/>
      <c r="AE17" s="1306" t="n"/>
      <c r="AF17" s="2344" t="n">
        <v>4565.52000394572</v>
      </c>
      <c r="AG17" s="1309" t="n"/>
      <c r="AH17" s="1306" t="n"/>
      <c r="AI17" s="1310">
        <f t="array" ref="AI17">(P17/AF17)^(1/4)-1</f>
        <v/>
      </c>
      <c r="AJ17" s="1272" t="n"/>
      <c r="AK17" s="1272" t="n"/>
      <c r="AL17" s="1272" t="n"/>
      <c r="AM17" s="1272" t="n"/>
      <c r="AN17" s="1272" t="n"/>
      <c r="AO17" s="1272" t="n"/>
      <c r="AP17" s="1272" t="n"/>
      <c r="AQ17" s="1277" t="n"/>
    </row>
    <row r="18" ht="14.05" customHeight="1" s="1676">
      <c r="A18" s="1304" t="n"/>
      <c r="B18" s="1311" t="inlineStr">
        <is>
          <t>Text_15</t>
        </is>
      </c>
      <c r="C18" s="1272" t="n"/>
      <c r="D18" s="1289">
        <f t="array" ref="D18">D17/H17-1</f>
        <v/>
      </c>
      <c r="E18" s="1312" t="n"/>
      <c r="F18" s="1299" t="n"/>
      <c r="G18" s="1272" t="n"/>
      <c r="H18" s="1289">
        <f t="array" ref="H18">H17/L17-1</f>
        <v/>
      </c>
      <c r="I18" s="1312" t="n"/>
      <c r="J18" s="1312" t="n"/>
      <c r="K18" s="1272" t="n"/>
      <c r="L18" s="1289">
        <f t="array" ref="L18">L17/P17-1</f>
        <v/>
      </c>
      <c r="M18" s="1312" t="n"/>
      <c r="N18" s="1312" t="n"/>
      <c r="O18" s="1272" t="n"/>
      <c r="P18" s="1289">
        <f t="array" ref="P18">P17/T17-1</f>
        <v/>
      </c>
      <c r="Q18" s="1312" t="n"/>
      <c r="R18" s="1312" t="n"/>
      <c r="S18" s="1272" t="n"/>
      <c r="T18" s="1289">
        <f t="array" ref="T18">T17/X17-1</f>
        <v/>
      </c>
      <c r="U18" s="1272" t="n"/>
      <c r="V18" s="1312" t="n"/>
      <c r="W18" s="1272" t="n"/>
      <c r="X18" s="1289">
        <f t="array" ref="X18">X17/AB17-1</f>
        <v/>
      </c>
      <c r="Y18" s="1272" t="n"/>
      <c r="Z18" s="1312" t="n"/>
      <c r="AA18" s="1272" t="n"/>
      <c r="AB18" s="1289">
        <f t="array" ref="AB18">AB17/AF17-1</f>
        <v/>
      </c>
      <c r="AC18" s="1272" t="n"/>
      <c r="AD18" s="1312" t="n"/>
      <c r="AE18" s="1272" t="n"/>
      <c r="AF18" s="2339" t="n"/>
      <c r="AG18" s="1272" t="n"/>
      <c r="AH18" s="1272" t="n"/>
      <c r="AI18" s="1285" t="n"/>
      <c r="AJ18" s="1272" t="n"/>
      <c r="AK18" s="1272" t="n"/>
      <c r="AL18" s="1272" t="n"/>
      <c r="AM18" s="1272" t="n"/>
      <c r="AN18" s="1272" t="n"/>
      <c r="AO18" s="1272" t="n"/>
      <c r="AP18" s="1272" t="n"/>
      <c r="AQ18" s="1277" t="n"/>
    </row>
    <row r="19" ht="8" customHeight="1" s="1676">
      <c r="A19" s="1304" t="n"/>
      <c r="B19" s="1272" t="n"/>
      <c r="C19" s="1272" t="n"/>
      <c r="D19" s="1272" t="n"/>
      <c r="E19" s="1312" t="n"/>
      <c r="F19" s="1299" t="n"/>
      <c r="G19" s="1272" t="n"/>
      <c r="H19" s="1272" t="n"/>
      <c r="I19" s="1312" t="n"/>
      <c r="J19" s="1312" t="n"/>
      <c r="K19" s="1272" t="n"/>
      <c r="L19" s="1272" t="n"/>
      <c r="M19" s="1312" t="n"/>
      <c r="N19" s="1312" t="n"/>
      <c r="O19" s="1272" t="n"/>
      <c r="P19" s="1272" t="n"/>
      <c r="Q19" s="1312" t="n"/>
      <c r="R19" s="1312" t="n"/>
      <c r="S19" s="1272" t="n"/>
      <c r="T19" s="2340" t="n"/>
      <c r="U19" s="1272" t="n"/>
      <c r="V19" s="1312" t="n"/>
      <c r="W19" s="1272" t="n"/>
      <c r="X19" s="1272" t="n"/>
      <c r="Y19" s="1272" t="n"/>
      <c r="Z19" s="1312" t="n"/>
      <c r="AA19" s="1272" t="n"/>
      <c r="AB19" s="1272" t="n"/>
      <c r="AC19" s="1272" t="n"/>
      <c r="AD19" s="1312" t="n"/>
      <c r="AE19" s="1272" t="n"/>
      <c r="AF19" s="2340" t="n"/>
      <c r="AG19" s="1272" t="n"/>
      <c r="AH19" s="1272" t="n"/>
      <c r="AI19" s="1272" t="n"/>
      <c r="AJ19" s="1272" t="n"/>
      <c r="AK19" s="1272" t="n"/>
      <c r="AL19" s="1272" t="n"/>
      <c r="AM19" s="1272" t="n"/>
      <c r="AN19" s="1272" t="n"/>
      <c r="AO19" s="1272" t="n"/>
      <c r="AP19" s="1272" t="n"/>
      <c r="AQ19" s="1277" t="n"/>
    </row>
    <row r="20" ht="13.55" customHeight="1" s="1676">
      <c r="A20" s="1304" t="n"/>
      <c r="B20" s="1313" t="inlineStr">
        <is>
          <t>Text_659</t>
        </is>
      </c>
      <c r="C20" s="1272" t="n"/>
      <c r="D20" s="1272" t="n"/>
      <c r="E20" s="1272" t="n"/>
      <c r="F20" s="1272" t="n"/>
      <c r="G20" s="1272" t="n"/>
      <c r="H20" s="1272" t="n"/>
      <c r="I20" s="1272" t="n"/>
      <c r="J20" s="1272" t="n"/>
      <c r="K20" s="1272" t="n"/>
      <c r="L20" s="1272" t="n"/>
      <c r="M20" s="1272" t="n"/>
      <c r="N20" s="1272" t="n"/>
      <c r="O20" s="1272" t="n"/>
      <c r="P20" s="1272" t="n"/>
      <c r="Q20" s="1272" t="n"/>
      <c r="R20" s="1272" t="n"/>
      <c r="S20" s="1272" t="n"/>
      <c r="T20" s="2340" t="n"/>
      <c r="U20" s="1272" t="n"/>
      <c r="V20" s="1272" t="n"/>
      <c r="W20" s="1272" t="n"/>
      <c r="X20" s="1272" t="n"/>
      <c r="Y20" s="1272" t="n"/>
      <c r="Z20" s="1272" t="n"/>
      <c r="AA20" s="1272" t="n"/>
      <c r="AB20" s="1272" t="n"/>
      <c r="AC20" s="1272" t="n"/>
      <c r="AD20" s="1272" t="n"/>
      <c r="AE20" s="1272" t="n"/>
      <c r="AF20" s="1272" t="n"/>
      <c r="AG20" s="1272" t="n"/>
      <c r="AH20" s="1272" t="n"/>
      <c r="AI20" s="1272" t="n"/>
      <c r="AJ20" s="1272" t="n"/>
      <c r="AK20" s="1272" t="n"/>
      <c r="AL20" s="1272" t="n"/>
      <c r="AM20" s="1272" t="n"/>
      <c r="AN20" s="1272" t="n"/>
      <c r="AO20" s="1272" t="n"/>
      <c r="AP20" s="1272" t="n"/>
      <c r="AQ20" s="1277" t="n"/>
    </row>
    <row r="21" hidden="1" ht="9" customHeight="1" s="1676">
      <c r="A21" s="1304" t="n"/>
      <c r="B21" s="1296" t="inlineStr">
        <is>
          <t>Text_35</t>
        </is>
      </c>
      <c r="C21" s="1272" t="n"/>
      <c r="D21" s="2340" t="n"/>
      <c r="E21" s="1272" t="n"/>
      <c r="F21" s="1272" t="n"/>
      <c r="G21" s="1272" t="n"/>
      <c r="H21" s="2340" t="n"/>
      <c r="I21" s="1272" t="n"/>
      <c r="J21" s="1272" t="n"/>
      <c r="K21" s="1272" t="n"/>
      <c r="L21" s="2340">
        <f t="array" ref="L21">L33+L86+L127+L210+L220-L17</f>
        <v/>
      </c>
      <c r="M21" s="1272" t="n"/>
      <c r="N21" s="1272" t="n"/>
      <c r="O21" s="1272" t="n"/>
      <c r="P21" s="2340">
        <f t="array" ref="P21">P33+P86+P127+P210+P220-P17</f>
        <v/>
      </c>
      <c r="Q21" s="1272" t="n"/>
      <c r="R21" s="1272" t="n"/>
      <c r="S21" s="1272" t="n"/>
      <c r="T21" s="1272" t="n"/>
      <c r="U21" s="1272" t="n"/>
      <c r="V21" s="1272" t="n"/>
      <c r="W21" s="1272" t="n"/>
      <c r="X21" s="1272" t="n"/>
      <c r="Y21" s="1272" t="n"/>
      <c r="Z21" s="1272" t="n"/>
      <c r="AA21" s="1272" t="n"/>
      <c r="AB21" s="1272" t="n"/>
      <c r="AC21" s="1272" t="n"/>
      <c r="AD21" s="1272" t="n"/>
      <c r="AE21" s="1272" t="n"/>
      <c r="AF21" s="1272" t="n"/>
      <c r="AG21" s="1272" t="n"/>
      <c r="AH21" s="1272" t="n"/>
      <c r="AI21" s="1272" t="n"/>
      <c r="AJ21" s="1272" t="n"/>
      <c r="AK21" s="1272" t="n"/>
      <c r="AL21" s="1272" t="n"/>
      <c r="AM21" s="1272" t="n"/>
      <c r="AN21" s="1272" t="n"/>
      <c r="AO21" s="1272" t="n"/>
      <c r="AP21" s="1272" t="n"/>
      <c r="AQ21" s="1277" t="n"/>
    </row>
    <row r="22" ht="13.55" customHeight="1" s="1676">
      <c r="A22" s="1304" t="n"/>
      <c r="B22" s="1272" t="n"/>
      <c r="C22" s="1272" t="n"/>
      <c r="D22" s="1272" t="n"/>
      <c r="E22" s="1272" t="n"/>
      <c r="F22" s="1272" t="n"/>
      <c r="G22" s="1272" t="n"/>
      <c r="H22" s="1272" t="n"/>
      <c r="I22" s="1272" t="n"/>
      <c r="J22" s="1272" t="n"/>
      <c r="K22" s="1272" t="n"/>
      <c r="L22" s="1272" t="n"/>
      <c r="M22" s="1272" t="n"/>
      <c r="N22" s="1272" t="n"/>
      <c r="O22" s="1272" t="n"/>
      <c r="P22" s="1272" t="n"/>
      <c r="Q22" s="1272" t="n"/>
      <c r="R22" s="1272" t="n"/>
      <c r="S22" s="1272" t="n"/>
      <c r="T22" s="1272" t="n"/>
      <c r="U22" s="1272" t="n"/>
      <c r="V22" s="1272" t="n"/>
      <c r="W22" s="1272" t="n"/>
      <c r="X22" s="1272" t="n"/>
      <c r="Y22" s="1272" t="n"/>
      <c r="Z22" s="1272" t="n"/>
      <c r="AA22" s="1272" t="n"/>
      <c r="AB22" s="1272" t="n"/>
      <c r="AC22" s="1272" t="n"/>
      <c r="AD22" s="1272" t="n"/>
      <c r="AE22" s="1272" t="n"/>
      <c r="AF22" s="1272" t="n"/>
      <c r="AG22" s="1272" t="n"/>
      <c r="AH22" s="1272" t="n"/>
      <c r="AI22" s="1272" t="n"/>
      <c r="AJ22" s="1272" t="n"/>
      <c r="AK22" s="1272" t="n"/>
      <c r="AL22" s="1272" t="n"/>
      <c r="AM22" s="1272" t="n"/>
      <c r="AN22" s="1272" t="n"/>
      <c r="AO22" s="1272" t="n"/>
      <c r="AP22" s="1272" t="n"/>
      <c r="AQ22" s="1277" t="n"/>
    </row>
    <row r="23" ht="13.55" customHeight="1" s="1676">
      <c r="A23" s="1304" t="n"/>
      <c r="B23" s="1314" t="inlineStr">
        <is>
          <t>Text_660</t>
        </is>
      </c>
      <c r="C23" s="1272" t="n"/>
      <c r="D23" s="1273" t="inlineStr">
        <is>
          <t>Text_618</t>
        </is>
      </c>
      <c r="E23" s="1274" t="inlineStr">
        <is>
          <t>Text_643</t>
        </is>
      </c>
      <c r="F23" s="1275" t="n"/>
      <c r="G23" s="1272" t="n"/>
      <c r="H23" s="1273" t="inlineStr">
        <is>
          <t>Text_618</t>
        </is>
      </c>
      <c r="I23" s="1274" t="inlineStr">
        <is>
          <t>Text_643</t>
        </is>
      </c>
      <c r="J23" s="1275" t="n"/>
      <c r="K23" s="1272" t="n"/>
      <c r="L23" s="1273" t="inlineStr">
        <is>
          <t>Text_618</t>
        </is>
      </c>
      <c r="M23" s="1274" t="inlineStr">
        <is>
          <t>Text_643</t>
        </is>
      </c>
      <c r="N23" s="1275" t="n"/>
      <c r="O23" s="1272" t="n"/>
      <c r="P23" s="1273" t="inlineStr">
        <is>
          <t>Text_618</t>
        </is>
      </c>
      <c r="Q23" s="1274" t="inlineStr">
        <is>
          <t>Text_643</t>
        </is>
      </c>
      <c r="R23" s="1275" t="n"/>
      <c r="S23" s="1272" t="n"/>
      <c r="T23" s="1272" t="n"/>
      <c r="U23" s="1272" t="n"/>
      <c r="V23" s="1275" t="n"/>
      <c r="W23" s="1272" t="n"/>
      <c r="X23" s="1272" t="n"/>
      <c r="Y23" s="1272" t="n"/>
      <c r="Z23" s="1275" t="n"/>
      <c r="AA23" s="1272" t="n"/>
      <c r="AB23" s="2345" t="inlineStr">
        <is>
          <t>Text_661</t>
        </is>
      </c>
      <c r="AQ23" s="2346" t="n"/>
    </row>
    <row r="24" ht="15.75" customHeight="1" s="1676">
      <c r="A24" s="1304" t="n"/>
      <c r="B24" s="1278" t="inlineStr">
        <is>
          <t>Text_645</t>
        </is>
      </c>
      <c r="C24" s="1272" t="n"/>
      <c r="D24" s="1347" t="n">
        <v>2225.48854995738</v>
      </c>
      <c r="E24" s="1282" t="n">
        <v>2213.97383275849</v>
      </c>
      <c r="F24" s="1274" t="inlineStr">
        <is>
          <t>Text_646</t>
        </is>
      </c>
      <c r="G24" s="1272" t="n"/>
      <c r="H24" s="1347" t="n">
        <v>2089.83669679461</v>
      </c>
      <c r="I24" s="1282" t="n">
        <v>1945.2395895175</v>
      </c>
      <c r="J24" s="1274" t="inlineStr">
        <is>
          <t>Text_646</t>
        </is>
      </c>
      <c r="K24" s="1272" t="n"/>
      <c r="L24" s="1347" t="n">
        <v>1872.66044341266</v>
      </c>
      <c r="M24" s="1282" t="n">
        <v>1782.04159913262</v>
      </c>
      <c r="N24" s="1274" t="inlineStr">
        <is>
          <t>Text_646</t>
        </is>
      </c>
      <c r="O24" s="1272" t="n"/>
      <c r="P24" s="1347" t="n">
        <v>1932.06799619285</v>
      </c>
      <c r="Q24" s="1282">
        <f t="array" ref="Q24">P24</f>
        <v/>
      </c>
      <c r="R24" s="1322" t="n"/>
      <c r="S24" s="1272" t="n"/>
      <c r="T24" s="1272" t="n"/>
      <c r="U24" s="1272" t="n"/>
      <c r="V24" s="1322" t="n"/>
      <c r="W24" s="1272" t="n"/>
      <c r="X24" s="1272" t="n"/>
      <c r="Y24" s="1272" t="n"/>
      <c r="Z24" s="1322" t="n"/>
      <c r="AA24" s="1272" t="n"/>
      <c r="AQ24" s="2346" t="n"/>
    </row>
    <row r="25" ht="8" customHeight="1" s="1676">
      <c r="A25" s="1284" t="n"/>
      <c r="B25" s="1285" t="n"/>
      <c r="C25" s="1272" t="n"/>
      <c r="D25" s="2339" t="n"/>
      <c r="E25" s="2339" t="n"/>
      <c r="F25" s="2340" t="n"/>
      <c r="G25" s="1272" t="n"/>
      <c r="H25" s="2339" t="n"/>
      <c r="I25" s="2339" t="n"/>
      <c r="J25" s="2340" t="n"/>
      <c r="K25" s="1272" t="n"/>
      <c r="L25" s="2339" t="n"/>
      <c r="M25" s="2339" t="n"/>
      <c r="N25" s="2340" t="n"/>
      <c r="O25" s="1272" t="n"/>
      <c r="P25" s="2339" t="n"/>
      <c r="Q25" s="1288" t="n"/>
      <c r="R25" s="2340" t="n"/>
      <c r="S25" s="1272" t="n"/>
      <c r="T25" s="2340" t="n"/>
      <c r="U25" s="1291" t="n"/>
      <c r="V25" s="2340" t="n"/>
      <c r="W25" s="1272" t="n"/>
      <c r="X25" s="2340" t="n"/>
      <c r="Y25" s="1291" t="n"/>
      <c r="Z25" s="2340" t="n"/>
      <c r="AA25" s="1272" t="n"/>
      <c r="AB25" s="2340" t="n"/>
      <c r="AC25" s="1291" t="n"/>
      <c r="AD25" s="2340" t="n"/>
      <c r="AE25" s="1272" t="n"/>
      <c r="AF25" s="2340" t="n"/>
      <c r="AG25" s="1291" t="n"/>
      <c r="AH25" s="1272" t="n"/>
      <c r="AI25" s="1272" t="n"/>
      <c r="AJ25" s="1272" t="n"/>
      <c r="AK25" s="1272" t="n"/>
      <c r="AL25" s="1272" t="n"/>
      <c r="AM25" s="1272" t="n"/>
      <c r="AN25" s="1272" t="n"/>
      <c r="AO25" s="1272" t="n"/>
      <c r="AP25" s="1272" t="n"/>
      <c r="AQ25" s="1277" t="n"/>
    </row>
    <row r="26" ht="13.55" customHeight="1" s="1676">
      <c r="A26" s="1304" t="n"/>
      <c r="B26" s="1290" t="inlineStr">
        <is>
          <t>Text_132</t>
        </is>
      </c>
      <c r="C26" s="1291">
        <f t="array" ref="C26">L26/P26-1</f>
        <v/>
      </c>
      <c r="D26" s="1297" t="n">
        <v>1263.02063609449</v>
      </c>
      <c r="E26" s="1293">
        <f t="array" ref="E26">D26/$D$33</f>
        <v/>
      </c>
      <c r="F26" s="1294">
        <f t="array" ref="F26">D26/H26-1</f>
        <v/>
      </c>
      <c r="G26" s="1291" t="n"/>
      <c r="H26" s="2341" t="n">
        <v>1717.9776294432</v>
      </c>
      <c r="I26" s="1293">
        <f t="array" ref="I26">H26/$H$33</f>
        <v/>
      </c>
      <c r="J26" s="1294">
        <f t="array" ref="J26">H26/L26-1</f>
        <v/>
      </c>
      <c r="K26" s="1291" t="n"/>
      <c r="L26" s="2341" t="n">
        <v>1076.357485062</v>
      </c>
      <c r="M26" s="1293">
        <f t="array" ref="M26">L26/$L$33</f>
        <v/>
      </c>
      <c r="N26" s="1294">
        <f t="array" ref="N26">L26/P26-1</f>
        <v/>
      </c>
      <c r="O26" s="1295" t="n"/>
      <c r="P26" s="2341" t="n">
        <v>645.60925656335</v>
      </c>
      <c r="Q26" s="1293">
        <f t="array" ref="Q26">P26/$P$33</f>
        <v/>
      </c>
      <c r="R26" s="1275" t="n"/>
      <c r="S26" s="1272" t="n"/>
      <c r="T26" s="1291" t="n"/>
      <c r="U26" s="1272" t="n"/>
      <c r="V26" s="1275" t="n"/>
      <c r="W26" s="1272" t="n"/>
      <c r="X26" s="1272" t="n"/>
      <c r="Y26" s="1272" t="n"/>
      <c r="Z26" s="1275" t="n"/>
      <c r="AA26" s="1272" t="n"/>
      <c r="AB26" s="1272" t="n"/>
      <c r="AC26" s="1272" t="n"/>
      <c r="AD26" s="1275" t="n"/>
      <c r="AE26" s="1272" t="n"/>
      <c r="AF26" s="1272" t="n"/>
      <c r="AG26" s="1272" t="n"/>
      <c r="AH26" s="1272" t="n"/>
      <c r="AI26" s="1272" t="n"/>
      <c r="AJ26" s="1272" t="n"/>
      <c r="AK26" s="1272" t="n"/>
      <c r="AL26" s="1272" t="n"/>
      <c r="AM26" s="1272" t="n"/>
      <c r="AN26" s="1272" t="n"/>
      <c r="AO26" s="1272" t="n"/>
      <c r="AP26" s="1272" t="n"/>
      <c r="AQ26" s="1277" t="n"/>
    </row>
    <row r="27" ht="13.55" customHeight="1" s="1676">
      <c r="A27" s="1304" t="n"/>
      <c r="B27" s="1290" t="inlineStr">
        <is>
          <t>Text_649</t>
        </is>
      </c>
      <c r="C27" s="1291">
        <f t="array" ref="C27">L27/P27-1</f>
        <v/>
      </c>
      <c r="D27" s="1297" t="n">
        <v>1048.87289380412</v>
      </c>
      <c r="E27" s="1293">
        <f t="array" ref="E27">D27/$D$33</f>
        <v/>
      </c>
      <c r="F27" s="1294">
        <f t="array" ref="F27">D27/H27-1</f>
        <v/>
      </c>
      <c r="G27" s="1291" t="n"/>
      <c r="H27" s="2341" t="n">
        <v>543.89608985734</v>
      </c>
      <c r="I27" s="1293">
        <f t="array" ref="I27">H27/$H$33</f>
        <v/>
      </c>
      <c r="J27" s="1294">
        <f t="array" ref="J27">H27/L27-1</f>
        <v/>
      </c>
      <c r="K27" s="1291" t="n"/>
      <c r="L27" s="2341" t="n">
        <v>433.022933496109</v>
      </c>
      <c r="M27" s="1293">
        <f t="array" ref="M27">L27/$L$33</f>
        <v/>
      </c>
      <c r="N27" s="1294">
        <f t="array" ref="N27">L27/P27-1</f>
        <v/>
      </c>
      <c r="O27" s="1295" t="n"/>
      <c r="P27" s="2341" t="n">
        <v>411.35886294949</v>
      </c>
      <c r="Q27" s="1293">
        <f t="array" ref="Q27">P27/$P$33</f>
        <v/>
      </c>
      <c r="R27" s="1275" t="n"/>
      <c r="S27" s="1272" t="n"/>
      <c r="T27" s="1291" t="n"/>
      <c r="U27" s="1272" t="n"/>
      <c r="V27" s="1275" t="n"/>
      <c r="W27" s="1272" t="n"/>
      <c r="X27" s="1272" t="n"/>
      <c r="Y27" s="1272" t="n"/>
      <c r="Z27" s="1275" t="n"/>
      <c r="AA27" s="1272" t="n"/>
      <c r="AB27" s="1272" t="n"/>
      <c r="AC27" s="1272" t="n"/>
      <c r="AD27" s="1275" t="n"/>
      <c r="AE27" s="1272" t="n"/>
      <c r="AF27" s="1272" t="n"/>
      <c r="AG27" s="1272" t="n"/>
      <c r="AH27" s="1272" t="n"/>
      <c r="AI27" s="1272" t="n"/>
      <c r="AJ27" s="1272" t="n"/>
      <c r="AK27" s="1272" t="n"/>
      <c r="AL27" s="1272" t="n"/>
      <c r="AM27" s="1272" t="n"/>
      <c r="AN27" s="1272" t="n"/>
      <c r="AO27" s="1272" t="n"/>
      <c r="AP27" s="1272" t="n"/>
      <c r="AQ27" s="1277" t="n"/>
    </row>
    <row r="28" ht="13.55" customHeight="1" s="1676">
      <c r="A28" s="1304" t="n"/>
      <c r="B28" s="1296" t="inlineStr">
        <is>
          <t>Text_650</t>
        </is>
      </c>
      <c r="C28" s="1272" t="n"/>
      <c r="D28" s="1297" t="n">
        <v>518.286553134839</v>
      </c>
      <c r="E28" s="1298">
        <f t="array" ref="E28">D28/$D$33</f>
        <v/>
      </c>
      <c r="F28" s="1299">
        <f t="array" ref="F28">D28/H28-1</f>
        <v/>
      </c>
      <c r="G28" s="1272" t="n"/>
      <c r="H28" s="2342" t="n">
        <v>631.313396212602</v>
      </c>
      <c r="I28" s="1298">
        <f t="array" ref="I28">H28/$H$33</f>
        <v/>
      </c>
      <c r="J28" s="1299">
        <f t="array" ref="J28">H28/L28-1</f>
        <v/>
      </c>
      <c r="K28" s="1272" t="n"/>
      <c r="L28" s="2342" t="n">
        <v>525.70769872611</v>
      </c>
      <c r="M28" s="1298">
        <f t="array" ref="M28">L28/$L$33</f>
        <v/>
      </c>
      <c r="N28" s="1299">
        <f t="array" ref="N28">L28/P28-1</f>
        <v/>
      </c>
      <c r="O28" s="1272" t="n"/>
      <c r="P28" s="2342" t="n">
        <v>546.5391412287599</v>
      </c>
      <c r="Q28" s="1298">
        <f t="array" ref="Q28">P28/$P$33</f>
        <v/>
      </c>
      <c r="R28" s="1298" t="n"/>
      <c r="S28" s="1272" t="n"/>
      <c r="T28" s="1272" t="n"/>
      <c r="U28" s="1272" t="n"/>
      <c r="V28" s="1298" t="n"/>
      <c r="W28" s="1272" t="n"/>
      <c r="X28" s="1272" t="n"/>
      <c r="Y28" s="1272" t="n"/>
      <c r="Z28" s="1298" t="n"/>
      <c r="AA28" s="1272" t="n"/>
      <c r="AB28" s="1272" t="n"/>
      <c r="AC28" s="1272" t="n"/>
      <c r="AD28" s="1298" t="n"/>
      <c r="AE28" s="1272" t="n"/>
      <c r="AF28" s="1272" t="n"/>
      <c r="AG28" s="1272" t="n"/>
      <c r="AH28" s="1272" t="n"/>
      <c r="AI28" s="1272" t="n"/>
      <c r="AJ28" s="1272" t="n"/>
      <c r="AK28" s="1272" t="n"/>
      <c r="AL28" s="1272" t="n"/>
      <c r="AM28" s="1272" t="n"/>
      <c r="AN28" s="1272" t="n"/>
      <c r="AO28" s="1272" t="n"/>
      <c r="AP28" s="1272" t="n"/>
      <c r="AQ28" s="1277" t="n"/>
    </row>
    <row r="29" ht="13.55" customHeight="1" s="1676">
      <c r="A29" s="1304" t="n"/>
      <c r="B29" s="1296" t="inlineStr">
        <is>
          <t>Text_648</t>
        </is>
      </c>
      <c r="C29" s="1272" t="n"/>
      <c r="D29" s="1297" t="n">
        <v>272.586057267313</v>
      </c>
      <c r="E29" s="1298">
        <f t="array" ref="E29">D29/$D$33</f>
        <v/>
      </c>
      <c r="F29" s="1299">
        <f t="array" ref="F29">D29/H29-1</f>
        <v/>
      </c>
      <c r="G29" s="1272" t="n"/>
      <c r="H29" s="2342" t="n">
        <v>389.739675528044</v>
      </c>
      <c r="I29" s="1298">
        <f t="array" ref="I29">H29/$H$33</f>
        <v/>
      </c>
      <c r="J29" s="1299">
        <f t="array" ref="J29">H29/L29-1</f>
        <v/>
      </c>
      <c r="K29" s="1272" t="n"/>
      <c r="L29" s="2342" t="n">
        <v>305.822539795373</v>
      </c>
      <c r="M29" s="1298">
        <f t="array" ref="M29">L29/$L$33</f>
        <v/>
      </c>
      <c r="N29" s="1299">
        <f t="array" ref="N29">L29/P29-1</f>
        <v/>
      </c>
      <c r="O29" s="1272" t="n"/>
      <c r="P29" s="2342" t="n">
        <v>187.366919802306</v>
      </c>
      <c r="Q29" s="1298">
        <f t="array" ref="Q29">P29/$P$33</f>
        <v/>
      </c>
      <c r="R29" s="1298" t="n"/>
      <c r="S29" s="1272" t="n"/>
      <c r="T29" s="1272" t="n"/>
      <c r="U29" s="1272" t="n"/>
      <c r="V29" s="1298" t="n"/>
      <c r="W29" s="1272" t="n"/>
      <c r="X29" s="1272" t="n"/>
      <c r="Y29" s="1272" t="n"/>
      <c r="Z29" s="1298" t="n"/>
      <c r="AA29" s="1272" t="n"/>
      <c r="AB29" s="1272" t="n"/>
      <c r="AC29" s="1272" t="n"/>
      <c r="AD29" s="1298" t="n"/>
      <c r="AE29" s="1272" t="n"/>
      <c r="AF29" s="1272" t="n"/>
      <c r="AG29" s="1272" t="n"/>
      <c r="AH29" s="1272" t="n"/>
      <c r="AI29" s="1272" t="n"/>
      <c r="AJ29" s="1272" t="n"/>
      <c r="AK29" s="1272" t="n"/>
      <c r="AL29" s="1272" t="n"/>
      <c r="AM29" s="1272" t="n"/>
      <c r="AN29" s="1272" t="n"/>
      <c r="AO29" s="1272" t="n"/>
      <c r="AP29" s="1272" t="n"/>
      <c r="AQ29" s="1277" t="n"/>
    </row>
    <row r="30" ht="13.55" customHeight="1" s="1676">
      <c r="A30" s="1304" t="n"/>
      <c r="B30" s="1296" t="inlineStr">
        <is>
          <t>Text_652</t>
        </is>
      </c>
      <c r="C30" s="1272" t="n"/>
      <c r="D30" s="1297" t="n">
        <v>263.771269880525</v>
      </c>
      <c r="E30" s="1298">
        <f t="array" ref="E30">D30/$D$33</f>
        <v/>
      </c>
      <c r="F30" s="1299">
        <f t="array" ref="F30">D30/H30-1</f>
        <v/>
      </c>
      <c r="G30" s="1272" t="n"/>
      <c r="H30" s="2342" t="n">
        <v>306.904823426665</v>
      </c>
      <c r="I30" s="1298">
        <f t="array" ref="I30">H30/$H$33</f>
        <v/>
      </c>
      <c r="J30" s="1299">
        <f t="array" ref="J30">H30/L30-1</f>
        <v/>
      </c>
      <c r="K30" s="1272" t="n"/>
      <c r="L30" s="2342" t="n">
        <v>280.356901654657</v>
      </c>
      <c r="M30" s="1298">
        <f t="array" ref="M30">L30/$L$33</f>
        <v/>
      </c>
      <c r="N30" s="1299">
        <f t="array" ref="N30">L30/P30-1</f>
        <v/>
      </c>
      <c r="O30" s="1272" t="n"/>
      <c r="P30" s="2342" t="n">
        <v>186.837144470941</v>
      </c>
      <c r="Q30" s="1298">
        <f t="array" ref="Q30">P30/$P$33</f>
        <v/>
      </c>
      <c r="R30" s="1298" t="n"/>
      <c r="S30" s="1272" t="n"/>
      <c r="T30" s="1272" t="n"/>
      <c r="U30" s="1272" t="n"/>
      <c r="V30" s="1298" t="n"/>
      <c r="W30" s="1272" t="n"/>
      <c r="X30" s="1272" t="n"/>
      <c r="Y30" s="1272" t="n"/>
      <c r="Z30" s="1298" t="n"/>
      <c r="AA30" s="1272" t="n"/>
      <c r="AB30" s="1272" t="n"/>
      <c r="AC30" s="1272" t="n"/>
      <c r="AD30" s="1298" t="n"/>
      <c r="AE30" s="1272" t="n"/>
      <c r="AF30" s="1272" t="n"/>
      <c r="AG30" s="1272" t="n"/>
      <c r="AH30" s="1272" t="n"/>
      <c r="AI30" s="1272" t="n"/>
      <c r="AJ30" s="1272" t="n"/>
      <c r="AK30" s="1272" t="n"/>
      <c r="AL30" s="1272" t="n"/>
      <c r="AM30" s="1272" t="n"/>
      <c r="AN30" s="1272" t="n"/>
      <c r="AO30" s="1272" t="n"/>
      <c r="AP30" s="1272" t="n"/>
      <c r="AQ30" s="1277" t="n"/>
    </row>
    <row r="31" ht="13.55" customHeight="1" s="1676">
      <c r="A31" s="1304" t="n"/>
      <c r="B31" s="1296" t="inlineStr">
        <is>
          <t>Text_655</t>
        </is>
      </c>
      <c r="C31" s="1272" t="n"/>
      <c r="D31" s="1297" t="n">
        <v>109.489063479792</v>
      </c>
      <c r="E31" s="1298">
        <f t="array" ref="E31">D31/$D$33</f>
        <v/>
      </c>
      <c r="F31" s="1299">
        <f t="array" ref="F31">D31/H31-1</f>
        <v/>
      </c>
      <c r="G31" s="1272" t="n"/>
      <c r="H31" s="2342" t="n">
        <v>75.6533871231583</v>
      </c>
      <c r="I31" s="1298">
        <f t="array" ref="I31">H31/$H$33</f>
        <v/>
      </c>
      <c r="J31" s="1299">
        <f t="array" ref="J31">H31/L31-1</f>
        <v/>
      </c>
      <c r="K31" s="1272" t="n"/>
      <c r="L31" s="2342" t="n">
        <v>123.241734735689</v>
      </c>
      <c r="M31" s="1298">
        <f t="array" ref="M31">L31/$L$33</f>
        <v/>
      </c>
      <c r="N31" s="1299">
        <f t="array" ref="N31">L31/P31-1</f>
        <v/>
      </c>
      <c r="O31" s="1272" t="n"/>
      <c r="P31" s="2342" t="n">
        <v>57.5449551326618</v>
      </c>
      <c r="Q31" s="1298">
        <f t="array" ref="Q31">P31/$P$33</f>
        <v/>
      </c>
      <c r="R31" s="1298" t="n"/>
      <c r="S31" s="1272" t="n"/>
      <c r="T31" s="1272" t="n"/>
      <c r="U31" s="1272" t="n"/>
      <c r="V31" s="1298" t="n"/>
      <c r="W31" s="1272" t="n"/>
      <c r="X31" s="1272" t="n"/>
      <c r="Y31" s="1272" t="n"/>
      <c r="Z31" s="1298" t="n"/>
      <c r="AA31" s="1272" t="n"/>
      <c r="AB31" s="1272" t="n"/>
      <c r="AC31" s="1272" t="n"/>
      <c r="AD31" s="1298" t="n"/>
      <c r="AE31" s="1272" t="n"/>
      <c r="AF31" s="1272" t="n"/>
      <c r="AG31" s="1272" t="n"/>
      <c r="AH31" s="1272" t="n"/>
      <c r="AI31" s="1272" t="n"/>
      <c r="AJ31" s="1272" t="n"/>
      <c r="AK31" s="1272" t="n"/>
      <c r="AL31" s="1272" t="n"/>
      <c r="AM31" s="1272" t="n"/>
      <c r="AN31" s="1272" t="n"/>
      <c r="AO31" s="1272" t="n"/>
      <c r="AP31" s="1272" t="n"/>
      <c r="AQ31" s="1277" t="n"/>
    </row>
    <row r="32" ht="8" customHeight="1" s="1676">
      <c r="A32" s="1284" t="n"/>
      <c r="B32" s="1301" t="n"/>
      <c r="C32" s="1272" t="n"/>
      <c r="D32" s="2343" t="n"/>
      <c r="E32" s="2340" t="n"/>
      <c r="F32" s="2340" t="n"/>
      <c r="G32" s="1272" t="n"/>
      <c r="H32" s="2343" t="n"/>
      <c r="I32" s="2340" t="n"/>
      <c r="J32" s="2340" t="n"/>
      <c r="K32" s="1272" t="n"/>
      <c r="L32" s="2343" t="n"/>
      <c r="M32" s="2340" t="n"/>
      <c r="N32" s="2340" t="n"/>
      <c r="O32" s="1272" t="n"/>
      <c r="P32" s="2343" t="n"/>
      <c r="Q32" s="1303" t="n"/>
      <c r="R32" s="2340" t="n"/>
      <c r="S32" s="1272" t="n"/>
      <c r="T32" s="2340" t="n"/>
      <c r="U32" s="1291" t="n"/>
      <c r="V32" s="2340" t="n"/>
      <c r="W32" s="1272" t="n"/>
      <c r="X32" s="2340" t="n"/>
      <c r="Y32" s="1291" t="n"/>
      <c r="Z32" s="2340" t="n"/>
      <c r="AA32" s="1272" t="n"/>
      <c r="AB32" s="2340" t="n"/>
      <c r="AC32" s="1291" t="n"/>
      <c r="AD32" s="2340" t="n"/>
      <c r="AE32" s="1272" t="n"/>
      <c r="AF32" s="2340" t="n"/>
      <c r="AG32" s="1291" t="n"/>
      <c r="AH32" s="1272" t="n"/>
      <c r="AI32" s="1272" t="n"/>
      <c r="AJ32" s="1272" t="n"/>
      <c r="AK32" s="1272" t="n"/>
      <c r="AL32" s="1272" t="n"/>
      <c r="AM32" s="1272" t="n"/>
      <c r="AN32" s="1272" t="n"/>
      <c r="AO32" s="1272" t="n"/>
      <c r="AP32" s="1272" t="n"/>
      <c r="AQ32" s="1277" t="n"/>
    </row>
    <row r="33" ht="15.75" customHeight="1" s="1676">
      <c r="A33" s="1304" t="n"/>
      <c r="B33" s="1305" t="inlineStr">
        <is>
          <t>Text_658</t>
        </is>
      </c>
      <c r="C33" s="1306" t="n"/>
      <c r="D33" s="2344" t="n">
        <v>3848.6979857983</v>
      </c>
      <c r="E33" s="1308" t="n"/>
      <c r="F33" s="1308" t="n"/>
      <c r="G33" s="1306" t="n"/>
      <c r="H33" s="2344">
        <f t="array" ref="H33">SUM(H26:H32)</f>
        <v/>
      </c>
      <c r="I33" s="1308" t="n"/>
      <c r="J33" s="1308" t="n"/>
      <c r="K33" s="1306" t="n"/>
      <c r="L33" s="2344">
        <f t="array" ref="L33">SUM(L26:L32)</f>
        <v/>
      </c>
      <c r="M33" s="1308" t="n"/>
      <c r="N33" s="1308" t="n"/>
      <c r="O33" s="1306" t="n"/>
      <c r="P33" s="2344">
        <f t="array" ref="P33">SUM(P26:P32)</f>
        <v/>
      </c>
      <c r="Q33" s="1308" t="n"/>
      <c r="R33" s="1308" t="n"/>
      <c r="S33" s="1272" t="n"/>
      <c r="T33" s="1272" t="n"/>
      <c r="U33" s="1272" t="n"/>
      <c r="V33" s="1308" t="n"/>
      <c r="W33" s="1272" t="n"/>
      <c r="X33" s="1272" t="n"/>
      <c r="Y33" s="1272" t="n"/>
      <c r="Z33" s="1308" t="n"/>
      <c r="AA33" s="1272" t="n"/>
      <c r="AB33" s="1272" t="n"/>
      <c r="AC33" s="1272" t="n"/>
      <c r="AD33" s="1308" t="n"/>
      <c r="AE33" s="1272" t="n"/>
      <c r="AF33" s="1272" t="n"/>
      <c r="AG33" s="1272" t="n"/>
      <c r="AH33" s="1272" t="n"/>
      <c r="AI33" s="1272" t="n"/>
      <c r="AJ33" s="1272" t="n"/>
      <c r="AK33" s="1272" t="n"/>
      <c r="AL33" s="1272" t="n"/>
      <c r="AM33" s="1272" t="n"/>
      <c r="AN33" s="1272" t="n"/>
      <c r="AO33" s="1272" t="n"/>
      <c r="AP33" s="1272" t="n"/>
      <c r="AQ33" s="1277" t="n"/>
    </row>
    <row r="34" ht="14.05" customHeight="1" s="1676">
      <c r="A34" s="1304" t="n"/>
      <c r="B34" s="1311" t="inlineStr">
        <is>
          <t>Text_15</t>
        </is>
      </c>
      <c r="C34" s="1272" t="n"/>
      <c r="D34" s="1289">
        <f t="array" ref="D34">D33/H33-1</f>
        <v/>
      </c>
      <c r="E34" s="1312" t="n"/>
      <c r="F34" s="1312" t="n"/>
      <c r="G34" s="1272" t="n"/>
      <c r="H34" s="1289">
        <f t="array" ref="H34">H33/L33-1</f>
        <v/>
      </c>
      <c r="I34" s="1312" t="n"/>
      <c r="J34" s="1312" t="n"/>
      <c r="K34" s="1272" t="n"/>
      <c r="L34" s="1289">
        <f t="array" ref="L34">L33/P33-1</f>
        <v/>
      </c>
      <c r="M34" s="1312" t="n"/>
      <c r="N34" s="1312" t="n"/>
      <c r="O34" s="1272" t="n"/>
      <c r="P34" s="1289" t="n"/>
      <c r="Q34" s="1312" t="n"/>
      <c r="R34" s="1312" t="n"/>
      <c r="S34" s="1272" t="n"/>
      <c r="T34" s="1272" t="n"/>
      <c r="U34" s="1272" t="n"/>
      <c r="V34" s="1312" t="n"/>
      <c r="W34" s="1272" t="n"/>
      <c r="X34" s="1272" t="n"/>
      <c r="Y34" s="1272" t="n"/>
      <c r="Z34" s="1312" t="n"/>
      <c r="AA34" s="1272" t="n"/>
      <c r="AB34" s="1272" t="n"/>
      <c r="AC34" s="1272" t="n"/>
      <c r="AD34" s="1312" t="n"/>
      <c r="AE34" s="1272" t="n"/>
      <c r="AF34" s="1272" t="n"/>
      <c r="AG34" s="1272" t="n"/>
      <c r="AH34" s="1272" t="n"/>
      <c r="AI34" s="1272" t="n"/>
      <c r="AJ34" s="1272" t="n"/>
      <c r="AK34" s="1272" t="n"/>
      <c r="AL34" s="1272" t="n"/>
      <c r="AM34" s="1272" t="n"/>
      <c r="AN34" s="1272" t="n"/>
      <c r="AO34" s="1272" t="n"/>
      <c r="AP34" s="1272" t="n"/>
      <c r="AQ34" s="1277" t="n"/>
    </row>
    <row r="35" hidden="1" ht="9" customHeight="1" s="1676">
      <c r="A35" s="1304" t="n"/>
      <c r="B35" s="1296" t="inlineStr">
        <is>
          <t>Text_35</t>
        </is>
      </c>
      <c r="C35" s="1272" t="n"/>
      <c r="D35" s="2340" t="n"/>
      <c r="E35" s="1272" t="n"/>
      <c r="F35" s="1272" t="n"/>
      <c r="G35" s="1272" t="n"/>
      <c r="H35" s="2340" t="n"/>
      <c r="I35" s="1272" t="n"/>
      <c r="J35" s="1272" t="n"/>
      <c r="K35" s="1272" t="n"/>
      <c r="L35" s="2340">
        <f t="array" ref="L35">L43+L54+L63+L72-L33</f>
        <v/>
      </c>
      <c r="M35" s="1272" t="n"/>
      <c r="N35" s="1272" t="n"/>
      <c r="O35" s="1272" t="n"/>
      <c r="P35" s="2340">
        <f t="array" ref="P35">P43+P54+P63+P72-P33</f>
        <v/>
      </c>
      <c r="Q35" s="1272" t="n"/>
      <c r="R35" s="1272" t="n"/>
      <c r="S35" s="1272" t="n"/>
      <c r="T35" s="1272" t="n"/>
      <c r="U35" s="1272" t="n"/>
      <c r="V35" s="1272" t="n"/>
      <c r="W35" s="1272" t="n"/>
      <c r="X35" s="1272" t="n"/>
      <c r="Y35" s="1272" t="n"/>
      <c r="Z35" s="1272" t="n"/>
      <c r="AA35" s="1272" t="n"/>
      <c r="AB35" s="1272" t="n"/>
      <c r="AC35" s="1272" t="n"/>
      <c r="AD35" s="1272" t="n"/>
      <c r="AE35" s="1272" t="n"/>
      <c r="AF35" s="1272" t="n"/>
      <c r="AG35" s="1272" t="n"/>
      <c r="AH35" s="1272" t="n"/>
      <c r="AI35" s="1272" t="n"/>
      <c r="AJ35" s="1272" t="n"/>
      <c r="AK35" s="1272" t="n"/>
      <c r="AL35" s="1272" t="n"/>
      <c r="AM35" s="1272" t="n"/>
      <c r="AN35" s="1272" t="n"/>
      <c r="AO35" s="1272" t="n"/>
      <c r="AP35" s="1272" t="n"/>
      <c r="AQ35" s="1277" t="n"/>
    </row>
    <row r="36" hidden="1" ht="9" customHeight="1" s="1676">
      <c r="A36" s="1304" t="n"/>
      <c r="B36" s="1272" t="n"/>
      <c r="C36" s="1272" t="n"/>
      <c r="D36" s="1272" t="n"/>
      <c r="E36" s="1272" t="n"/>
      <c r="F36" s="1272" t="n"/>
      <c r="G36" s="1272" t="n"/>
      <c r="H36" s="1272" t="n"/>
      <c r="I36" s="1272" t="n"/>
      <c r="J36" s="1272" t="n"/>
      <c r="K36" s="1272" t="n"/>
      <c r="L36" s="1272" t="n"/>
      <c r="M36" s="1272" t="n"/>
      <c r="N36" s="1272" t="n"/>
      <c r="O36" s="1272" t="n"/>
      <c r="P36" s="1272" t="n"/>
      <c r="Q36" s="1272" t="n"/>
      <c r="R36" s="1272" t="n"/>
      <c r="S36" s="1272" t="n"/>
      <c r="T36" s="1272" t="n"/>
      <c r="U36" s="1272" t="n"/>
      <c r="V36" s="1272" t="n"/>
      <c r="W36" s="1272" t="n"/>
      <c r="X36" s="1272" t="n"/>
      <c r="Y36" s="1272" t="n"/>
      <c r="Z36" s="1272" t="n"/>
      <c r="AA36" s="1272" t="n"/>
      <c r="AB36" s="1272" t="n"/>
      <c r="AC36" s="1272" t="n"/>
      <c r="AD36" s="1272" t="n"/>
      <c r="AE36" s="1272" t="n"/>
      <c r="AF36" s="1272" t="n"/>
      <c r="AG36" s="1272" t="n"/>
      <c r="AH36" s="1272" t="n"/>
      <c r="AI36" s="1272" t="n"/>
      <c r="AJ36" s="1272" t="n"/>
      <c r="AK36" s="1272" t="n"/>
      <c r="AL36" s="1272" t="n"/>
      <c r="AM36" s="1272" t="n"/>
      <c r="AN36" s="1272" t="n"/>
      <c r="AO36" s="1272" t="n"/>
      <c r="AP36" s="1272" t="n"/>
      <c r="AQ36" s="1277" t="n"/>
    </row>
    <row r="37" hidden="1" ht="9" customHeight="1" s="1676">
      <c r="A37" s="1304" t="n"/>
      <c r="B37" s="1317" t="inlineStr">
        <is>
          <t>Text_662</t>
        </is>
      </c>
      <c r="C37" s="1272" t="n"/>
      <c r="D37" s="1318" t="n"/>
      <c r="E37" s="1275" t="n"/>
      <c r="F37" s="1275" t="n"/>
      <c r="G37" s="1272" t="n"/>
      <c r="H37" s="1318" t="n"/>
      <c r="I37" s="1275" t="n"/>
      <c r="J37" s="1275" t="n"/>
      <c r="K37" s="1272" t="n"/>
      <c r="L37" s="1273" t="inlineStr">
        <is>
          <t>Text_618</t>
        </is>
      </c>
      <c r="M37" s="1274" t="inlineStr">
        <is>
          <t>Text_643</t>
        </is>
      </c>
      <c r="N37" s="1275" t="n"/>
      <c r="O37" s="1272" t="n"/>
      <c r="P37" s="1273" t="inlineStr">
        <is>
          <t>Text_618</t>
        </is>
      </c>
      <c r="Q37" s="1274" t="inlineStr">
        <is>
          <t>Text_643</t>
        </is>
      </c>
      <c r="R37" s="1275" t="n"/>
      <c r="S37" s="1272" t="n"/>
      <c r="T37" s="1272" t="n"/>
      <c r="U37" s="1272" t="n"/>
      <c r="V37" s="1275" t="n"/>
      <c r="W37" s="1272" t="n"/>
      <c r="X37" s="1272" t="n"/>
      <c r="Y37" s="1272" t="n"/>
      <c r="Z37" s="1275" t="n"/>
      <c r="AA37" s="1272" t="n"/>
      <c r="AB37" s="1272" t="n"/>
      <c r="AC37" s="1272" t="n"/>
      <c r="AD37" s="1275" t="n"/>
      <c r="AE37" s="1272" t="n"/>
      <c r="AF37" s="1272" t="n"/>
      <c r="AG37" s="1272" t="n"/>
      <c r="AH37" s="1272" t="n"/>
      <c r="AI37" s="1272" t="n"/>
      <c r="AJ37" s="1272" t="n"/>
      <c r="AK37" s="1272" t="n"/>
      <c r="AL37" s="1272" t="n"/>
      <c r="AM37" s="1272" t="n"/>
      <c r="AN37" s="1272" t="n"/>
      <c r="AO37" s="1272" t="n"/>
      <c r="AP37" s="1272" t="n"/>
      <c r="AQ37" s="1277" t="n"/>
    </row>
    <row r="38" hidden="1" ht="15.75" customHeight="1" s="1676">
      <c r="A38" s="1304" t="n"/>
      <c r="B38" s="1319" t="inlineStr">
        <is>
          <t>Text_645</t>
        </is>
      </c>
      <c r="C38" s="1272" t="n"/>
      <c r="D38" s="1321" t="n"/>
      <c r="E38" s="1322" t="n"/>
      <c r="F38" s="1322" t="n"/>
      <c r="G38" s="1272" t="n"/>
      <c r="H38" s="1321" t="n"/>
      <c r="I38" s="1322" t="n"/>
      <c r="J38" s="1322" t="n"/>
      <c r="K38" s="1272" t="n"/>
      <c r="L38" s="1321" t="n">
        <v>2039.97356332617</v>
      </c>
      <c r="M38" s="1322" t="n">
        <v>2128.58070258571</v>
      </c>
      <c r="N38" s="1322" t="n"/>
      <c r="O38" s="1272" t="n"/>
      <c r="P38" s="1321" t="n">
        <v>1976.64548973237</v>
      </c>
      <c r="Q38" s="1322">
        <f t="array" ref="Q38">P38</f>
        <v/>
      </c>
      <c r="R38" s="1322" t="n"/>
      <c r="S38" s="1272" t="n"/>
      <c r="T38" s="1272" t="n"/>
      <c r="U38" s="1272" t="n"/>
      <c r="V38" s="1322" t="n"/>
      <c r="W38" s="1272" t="n"/>
      <c r="X38" s="1272" t="n"/>
      <c r="Y38" s="1272" t="n"/>
      <c r="Z38" s="1322" t="n"/>
      <c r="AA38" s="1272" t="n"/>
      <c r="AB38" s="1272" t="n"/>
      <c r="AC38" s="1272" t="n"/>
      <c r="AD38" s="1322" t="n"/>
      <c r="AE38" s="1272" t="n"/>
      <c r="AF38" s="1272" t="n"/>
      <c r="AG38" s="1272" t="n"/>
      <c r="AH38" s="1272" t="n"/>
      <c r="AI38" s="1272" t="n"/>
      <c r="AJ38" s="1272" t="n"/>
      <c r="AK38" s="1272" t="n"/>
      <c r="AL38" s="1272" t="n"/>
      <c r="AM38" s="1272" t="n"/>
      <c r="AN38" s="1272" t="n"/>
      <c r="AO38" s="1272" t="n"/>
      <c r="AP38" s="1272" t="n"/>
      <c r="AQ38" s="1277" t="n"/>
    </row>
    <row r="39" hidden="1" ht="8" customHeight="1" s="1676">
      <c r="A39" s="1284" t="n"/>
      <c r="B39" s="1323" t="n"/>
      <c r="C39" s="1272" t="n"/>
      <c r="D39" s="2340" t="n"/>
      <c r="E39" s="2340" t="n"/>
      <c r="F39" s="2340" t="n"/>
      <c r="G39" s="1272" t="n"/>
      <c r="H39" s="2340" t="n"/>
      <c r="I39" s="2340" t="n"/>
      <c r="J39" s="2340" t="n"/>
      <c r="K39" s="1272" t="n"/>
      <c r="L39" s="2340" t="n"/>
      <c r="M39" s="2340" t="n"/>
      <c r="N39" s="2340" t="n"/>
      <c r="O39" s="1272" t="n"/>
      <c r="P39" s="2340" t="n"/>
      <c r="Q39" s="1303" t="n"/>
      <c r="R39" s="2340" t="n"/>
      <c r="S39" s="1272" t="n"/>
      <c r="T39" s="2340" t="n"/>
      <c r="U39" s="1291" t="n"/>
      <c r="V39" s="2340" t="n"/>
      <c r="W39" s="1272" t="n"/>
      <c r="X39" s="2340" t="n"/>
      <c r="Y39" s="1291" t="n"/>
      <c r="Z39" s="2340" t="n"/>
      <c r="AA39" s="1272" t="n"/>
      <c r="AB39" s="2340" t="n"/>
      <c r="AC39" s="1291" t="n"/>
      <c r="AD39" s="2340" t="n"/>
      <c r="AE39" s="1272" t="n"/>
      <c r="AF39" s="2340" t="n"/>
      <c r="AG39" s="1291" t="n"/>
      <c r="AH39" s="1272" t="n"/>
      <c r="AI39" s="1272" t="n"/>
      <c r="AJ39" s="1272" t="n"/>
      <c r="AK39" s="1272" t="n"/>
      <c r="AL39" s="1272" t="n"/>
      <c r="AM39" s="1272" t="n"/>
      <c r="AN39" s="1272" t="n"/>
      <c r="AO39" s="1272" t="n"/>
      <c r="AP39" s="1272" t="n"/>
      <c r="AQ39" s="1277" t="n"/>
    </row>
    <row r="40" hidden="1" ht="9" customHeight="1" s="1676">
      <c r="A40" s="1304" t="n"/>
      <c r="B40" s="1324" t="inlineStr">
        <is>
          <t>Text_650</t>
        </is>
      </c>
      <c r="C40" s="1272" t="n"/>
      <c r="D40" s="2342" t="n"/>
      <c r="E40" s="1298" t="n"/>
      <c r="F40" s="1298" t="n"/>
      <c r="G40" s="1272" t="n"/>
      <c r="H40" s="2342" t="n"/>
      <c r="I40" s="1298" t="n"/>
      <c r="J40" s="1298" t="n"/>
      <c r="K40" s="1272" t="n"/>
      <c r="L40" s="2342" t="n">
        <v>624.366274990026</v>
      </c>
      <c r="M40" s="1298">
        <f t="array" ref="M40">L40/$L$43</f>
        <v/>
      </c>
      <c r="N40" s="1298" t="n"/>
      <c r="O40" s="1272" t="n"/>
      <c r="P40" s="2342" t="n">
        <v>538.4634227214279</v>
      </c>
      <c r="Q40" s="1298">
        <f t="array" ref="Q40">P40/$P$43</f>
        <v/>
      </c>
      <c r="R40" s="1298" t="n"/>
      <c r="S40" s="1272" t="n"/>
      <c r="T40" s="1272" t="n"/>
      <c r="U40" s="1272" t="n"/>
      <c r="V40" s="1298" t="n"/>
      <c r="W40" s="1272" t="n"/>
      <c r="X40" s="1272" t="n"/>
      <c r="Y40" s="1272" t="n"/>
      <c r="Z40" s="1298" t="n"/>
      <c r="AA40" s="1272" t="n"/>
      <c r="AB40" s="1272" t="n"/>
      <c r="AC40" s="1272" t="n"/>
      <c r="AD40" s="1298" t="n"/>
      <c r="AE40" s="1272" t="n"/>
      <c r="AF40" s="1272" t="n"/>
      <c r="AG40" s="1272" t="n"/>
      <c r="AH40" s="1272" t="n"/>
      <c r="AI40" s="1272" t="n"/>
      <c r="AJ40" s="1272" t="n"/>
      <c r="AK40" s="1272" t="n"/>
      <c r="AL40" s="1272" t="n"/>
      <c r="AM40" s="1272" t="n"/>
      <c r="AN40" s="1272" t="n"/>
      <c r="AO40" s="1272" t="n"/>
      <c r="AP40" s="1272" t="n"/>
      <c r="AQ40" s="1277" t="n"/>
    </row>
    <row r="41" hidden="1" ht="9" customHeight="1" s="1676">
      <c r="A41" s="1304" t="n"/>
      <c r="B41" s="1324" t="inlineStr">
        <is>
          <t>Text_648</t>
        </is>
      </c>
      <c r="C41" s="1272" t="n"/>
      <c r="D41" s="2342" t="n"/>
      <c r="E41" s="1298" t="n"/>
      <c r="F41" s="1298" t="n"/>
      <c r="G41" s="1272" t="n"/>
      <c r="H41" s="2342" t="n"/>
      <c r="I41" s="1298" t="n"/>
      <c r="J41" s="1298" t="n"/>
      <c r="K41" s="1272" t="n"/>
      <c r="L41" s="2342" t="n">
        <v>237.428046382234</v>
      </c>
      <c r="M41" s="1298">
        <f t="array" ref="M41">L41/$L$43</f>
        <v/>
      </c>
      <c r="N41" s="1298" t="n"/>
      <c r="O41" s="1272" t="n"/>
      <c r="P41" s="2342" t="n">
        <v>138.804715675076</v>
      </c>
      <c r="Q41" s="1298">
        <f t="array" ref="Q41">P41/$P$43</f>
        <v/>
      </c>
      <c r="R41" s="1298" t="n"/>
      <c r="S41" s="1272" t="n"/>
      <c r="T41" s="1272" t="n"/>
      <c r="U41" s="1272" t="n"/>
      <c r="V41" s="1298" t="n"/>
      <c r="W41" s="1272" t="n"/>
      <c r="X41" s="1272" t="n"/>
      <c r="Y41" s="1272" t="n"/>
      <c r="Z41" s="1298" t="n"/>
      <c r="AA41" s="1272" t="n"/>
      <c r="AB41" s="1272" t="n"/>
      <c r="AC41" s="1272" t="n"/>
      <c r="AD41" s="1298" t="n"/>
      <c r="AE41" s="1272" t="n"/>
      <c r="AF41" s="1272" t="n"/>
      <c r="AG41" s="1272" t="n"/>
      <c r="AH41" s="1272" t="n"/>
      <c r="AI41" s="1272" t="n"/>
      <c r="AJ41" s="1272" t="n"/>
      <c r="AK41" s="1272" t="n"/>
      <c r="AL41" s="1272" t="n"/>
      <c r="AM41" s="1272" t="n"/>
      <c r="AN41" s="1272" t="n"/>
      <c r="AO41" s="1272" t="n"/>
      <c r="AP41" s="1272" t="n"/>
      <c r="AQ41" s="1277" t="n"/>
    </row>
    <row r="42" hidden="1" ht="8" customHeight="1" s="1676">
      <c r="A42" s="1284" t="n"/>
      <c r="B42" s="1323" t="n"/>
      <c r="C42" s="1272" t="n"/>
      <c r="D42" s="2340" t="n"/>
      <c r="E42" s="2340" t="n"/>
      <c r="F42" s="2340" t="n"/>
      <c r="G42" s="1272" t="n"/>
      <c r="H42" s="2340" t="n"/>
      <c r="I42" s="2340" t="n"/>
      <c r="J42" s="2340" t="n"/>
      <c r="K42" s="1272" t="n"/>
      <c r="L42" s="2340" t="n"/>
      <c r="M42" s="2340" t="n"/>
      <c r="N42" s="2340" t="n"/>
      <c r="O42" s="1272" t="n"/>
      <c r="P42" s="2340" t="n"/>
      <c r="Q42" s="1303" t="n"/>
      <c r="R42" s="2340" t="n"/>
      <c r="S42" s="1272" t="n"/>
      <c r="T42" s="2340" t="n"/>
      <c r="U42" s="1291" t="n"/>
      <c r="V42" s="2340" t="n"/>
      <c r="W42" s="1272" t="n"/>
      <c r="X42" s="2340" t="n"/>
      <c r="Y42" s="1291" t="n"/>
      <c r="Z42" s="2340" t="n"/>
      <c r="AA42" s="1272" t="n"/>
      <c r="AB42" s="2340" t="n"/>
      <c r="AC42" s="1291" t="n"/>
      <c r="AD42" s="2340" t="n"/>
      <c r="AE42" s="1272" t="n"/>
      <c r="AF42" s="2340" t="n"/>
      <c r="AG42" s="1291" t="n"/>
      <c r="AH42" s="1272" t="n"/>
      <c r="AI42" s="1272" t="n"/>
      <c r="AJ42" s="1272" t="n"/>
      <c r="AK42" s="1272" t="n"/>
      <c r="AL42" s="1272" t="n"/>
      <c r="AM42" s="1272" t="n"/>
      <c r="AN42" s="1272" t="n"/>
      <c r="AO42" s="1272" t="n"/>
      <c r="AP42" s="1272" t="n"/>
      <c r="AQ42" s="1277" t="n"/>
    </row>
    <row r="43" hidden="1" ht="15.75" customHeight="1" s="1676">
      <c r="A43" s="1304" t="n"/>
      <c r="B43" s="1325" t="inlineStr">
        <is>
          <t>Text_658</t>
        </is>
      </c>
      <c r="C43" s="1306" t="n"/>
      <c r="D43" s="2347" t="n"/>
      <c r="E43" s="1308" t="n"/>
      <c r="F43" s="1308" t="n"/>
      <c r="G43" s="1306" t="n"/>
      <c r="H43" s="2347" t="n"/>
      <c r="I43" s="1308" t="n"/>
      <c r="J43" s="1308" t="n"/>
      <c r="K43" s="1306" t="n"/>
      <c r="L43" s="2347">
        <f t="array" ref="L43">SUM(L40:L42)</f>
        <v/>
      </c>
      <c r="M43" s="1308" t="n"/>
      <c r="N43" s="1308" t="n"/>
      <c r="O43" s="1306" t="n"/>
      <c r="P43" s="2347">
        <f t="array" ref="P43">SUM(P40:P42)</f>
        <v/>
      </c>
      <c r="Q43" s="1308" t="n"/>
      <c r="R43" s="1308" t="n"/>
      <c r="S43" s="1272" t="n"/>
      <c r="T43" s="1291">
        <f t="array" ref="T43">L43/(L33+L86)</f>
        <v/>
      </c>
      <c r="U43" s="1272" t="n"/>
      <c r="V43" s="1308" t="n"/>
      <c r="W43" s="1272" t="n"/>
      <c r="X43" s="1272" t="n"/>
      <c r="Y43" s="1272" t="n"/>
      <c r="Z43" s="1308" t="n"/>
      <c r="AA43" s="1272" t="n"/>
      <c r="AB43" s="1272" t="n"/>
      <c r="AC43" s="1272" t="n"/>
      <c r="AD43" s="1308" t="n"/>
      <c r="AE43" s="1272" t="n"/>
      <c r="AF43" s="1272" t="n"/>
      <c r="AG43" s="1272" t="n"/>
      <c r="AH43" s="1272" t="n"/>
      <c r="AI43" s="1272" t="n"/>
      <c r="AJ43" s="1272" t="n"/>
      <c r="AK43" s="1272" t="n"/>
      <c r="AL43" s="1272" t="n"/>
      <c r="AM43" s="1272" t="n"/>
      <c r="AN43" s="1272" t="n"/>
      <c r="AO43" s="1272" t="n"/>
      <c r="AP43" s="1272" t="n"/>
      <c r="AQ43" s="1277" t="n"/>
    </row>
    <row r="44" hidden="1" ht="9" customHeight="1" s="1676">
      <c r="A44" s="1304" t="n"/>
      <c r="B44" s="1324" t="inlineStr">
        <is>
          <t>Text_15</t>
        </is>
      </c>
      <c r="C44" s="1272" t="n"/>
      <c r="D44" s="1291" t="n"/>
      <c r="E44" s="1312" t="n"/>
      <c r="F44" s="1312" t="n"/>
      <c r="G44" s="1272" t="n"/>
      <c r="H44" s="1291" t="n"/>
      <c r="I44" s="1312" t="n"/>
      <c r="J44" s="1312" t="n"/>
      <c r="K44" s="1272" t="n"/>
      <c r="L44" s="1291">
        <f t="array" ref="L44">L43/P43-1</f>
        <v/>
      </c>
      <c r="M44" s="1312" t="n"/>
      <c r="N44" s="1312" t="n"/>
      <c r="O44" s="1272" t="n"/>
      <c r="P44" s="1291" t="n"/>
      <c r="Q44" s="1312" t="n"/>
      <c r="R44" s="1312" t="n"/>
      <c r="S44" s="1272" t="n"/>
      <c r="T44" s="1272" t="n"/>
      <c r="U44" s="1272" t="n"/>
      <c r="V44" s="1312" t="n"/>
      <c r="W44" s="1272" t="n"/>
      <c r="X44" s="1272" t="n"/>
      <c r="Y44" s="1272" t="n"/>
      <c r="Z44" s="1312" t="n"/>
      <c r="AA44" s="1272" t="n"/>
      <c r="AB44" s="1272" t="n"/>
      <c r="AC44" s="1272" t="n"/>
      <c r="AD44" s="1312" t="n"/>
      <c r="AE44" s="1272" t="n"/>
      <c r="AF44" s="1272" t="n"/>
      <c r="AG44" s="1272" t="n"/>
      <c r="AH44" s="1272" t="n"/>
      <c r="AI44" s="1272" t="n"/>
      <c r="AJ44" s="1272" t="n"/>
      <c r="AK44" s="1272" t="n"/>
      <c r="AL44" s="1272" t="n"/>
      <c r="AM44" s="1272" t="n"/>
      <c r="AN44" s="1272" t="n"/>
      <c r="AO44" s="1272" t="n"/>
      <c r="AP44" s="1272" t="n"/>
      <c r="AQ44" s="1277" t="n"/>
    </row>
    <row r="45" hidden="1" ht="9" customHeight="1" s="1676">
      <c r="A45" s="1304" t="n"/>
      <c r="B45" s="1323" t="n"/>
      <c r="C45" s="1272" t="n"/>
      <c r="D45" s="1272" t="n"/>
      <c r="E45" s="1272" t="n"/>
      <c r="F45" s="1272" t="n"/>
      <c r="G45" s="1272" t="n"/>
      <c r="H45" s="1272" t="n"/>
      <c r="I45" s="1272" t="n"/>
      <c r="J45" s="1272" t="n"/>
      <c r="K45" s="1272" t="n"/>
      <c r="L45" s="1272" t="n"/>
      <c r="M45" s="1272" t="n"/>
      <c r="N45" s="1272" t="n"/>
      <c r="O45" s="1272" t="n"/>
      <c r="P45" s="1272" t="n"/>
      <c r="Q45" s="1272" t="n"/>
      <c r="R45" s="1272" t="n"/>
      <c r="S45" s="1272" t="n"/>
      <c r="T45" s="1272" t="n"/>
      <c r="U45" s="1272" t="n"/>
      <c r="V45" s="1272" t="n"/>
      <c r="W45" s="1272" t="n"/>
      <c r="X45" s="1272" t="n"/>
      <c r="Y45" s="1272" t="n"/>
      <c r="Z45" s="1272" t="n"/>
      <c r="AA45" s="1272" t="n"/>
      <c r="AB45" s="1272" t="n"/>
      <c r="AC45" s="1272" t="n"/>
      <c r="AD45" s="1272" t="n"/>
      <c r="AE45" s="1272" t="n"/>
      <c r="AF45" s="1272" t="n"/>
      <c r="AG45" s="1272" t="n"/>
      <c r="AH45" s="1272" t="n"/>
      <c r="AI45" s="1272" t="n"/>
      <c r="AJ45" s="1272" t="n"/>
      <c r="AK45" s="1272" t="n"/>
      <c r="AL45" s="1272" t="n"/>
      <c r="AM45" s="1272" t="n"/>
      <c r="AN45" s="1272" t="n"/>
      <c r="AO45" s="1272" t="n"/>
      <c r="AP45" s="1272" t="n"/>
      <c r="AQ45" s="1277" t="n"/>
    </row>
    <row r="46" hidden="1" ht="9" customHeight="1" s="1676">
      <c r="A46" s="1304" t="n"/>
      <c r="B46" s="1317" t="inlineStr">
        <is>
          <t>Text_663</t>
        </is>
      </c>
      <c r="C46" s="1272" t="n"/>
      <c r="D46" s="1318" t="n"/>
      <c r="E46" s="1275" t="n"/>
      <c r="F46" s="1275" t="n"/>
      <c r="G46" s="1272" t="n"/>
      <c r="H46" s="1318" t="n"/>
      <c r="I46" s="1275" t="n"/>
      <c r="J46" s="1275" t="n"/>
      <c r="K46" s="1272" t="n"/>
      <c r="L46" s="1273" t="inlineStr">
        <is>
          <t>Text_618</t>
        </is>
      </c>
      <c r="M46" s="1274" t="inlineStr">
        <is>
          <t>Text_643</t>
        </is>
      </c>
      <c r="N46" s="1275" t="n"/>
      <c r="O46" s="1272" t="n"/>
      <c r="P46" s="1273" t="inlineStr">
        <is>
          <t>Text_618</t>
        </is>
      </c>
      <c r="Q46" s="1274" t="inlineStr">
        <is>
          <t>Text_643</t>
        </is>
      </c>
      <c r="R46" s="1275" t="n"/>
      <c r="S46" s="1272" t="n"/>
      <c r="T46" s="1272" t="n"/>
      <c r="U46" s="1272" t="n"/>
      <c r="V46" s="1275" t="n"/>
      <c r="W46" s="1272" t="n"/>
      <c r="X46" s="1272" t="n"/>
      <c r="Y46" s="1272" t="n"/>
      <c r="Z46" s="1275" t="n"/>
      <c r="AA46" s="1272" t="n"/>
      <c r="AB46" s="1272" t="n"/>
      <c r="AC46" s="1272" t="n"/>
      <c r="AD46" s="1275" t="n"/>
      <c r="AE46" s="1272" t="n"/>
      <c r="AF46" s="1272" t="n"/>
      <c r="AG46" s="1272" t="n"/>
      <c r="AH46" s="1272" t="n"/>
      <c r="AI46" s="1272" t="n"/>
      <c r="AJ46" s="1272" t="n"/>
      <c r="AK46" s="1272" t="n"/>
      <c r="AL46" s="1272" t="n"/>
      <c r="AM46" s="1272" t="n"/>
      <c r="AN46" s="1272" t="n"/>
      <c r="AO46" s="1272" t="n"/>
      <c r="AP46" s="1272" t="n"/>
      <c r="AQ46" s="1277" t="n"/>
    </row>
    <row r="47" hidden="1" ht="15.75" customHeight="1" s="1676">
      <c r="A47" s="1304" t="n"/>
      <c r="B47" s="1319" t="inlineStr">
        <is>
          <t>Text_645</t>
        </is>
      </c>
      <c r="C47" s="1272" t="n"/>
      <c r="D47" s="1321" t="n"/>
      <c r="E47" s="1322" t="n"/>
      <c r="F47" s="1322" t="n"/>
      <c r="G47" s="1272" t="n"/>
      <c r="H47" s="1321" t="n"/>
      <c r="I47" s="1322" t="n"/>
      <c r="J47" s="1322" t="n"/>
      <c r="K47" s="1272" t="n"/>
      <c r="L47" s="1321" t="n">
        <v>2045.43178722446</v>
      </c>
      <c r="M47" s="1322" t="n">
        <v>2229.9709406814</v>
      </c>
      <c r="N47" s="1322" t="n"/>
      <c r="O47" s="1272" t="n"/>
      <c r="P47" s="1321" t="n">
        <v>1978.36883404265</v>
      </c>
      <c r="Q47" s="1322">
        <f t="array" ref="Q47">P47</f>
        <v/>
      </c>
      <c r="R47" s="1322" t="n"/>
      <c r="S47" s="1272" t="n"/>
      <c r="T47" s="1272" t="n"/>
      <c r="U47" s="1272" t="n"/>
      <c r="V47" s="1322" t="n"/>
      <c r="W47" s="1272" t="n"/>
      <c r="X47" s="1272" t="n"/>
      <c r="Y47" s="1272" t="n"/>
      <c r="Z47" s="1322" t="n"/>
      <c r="AA47" s="1272" t="n"/>
      <c r="AB47" s="1272" t="n"/>
      <c r="AC47" s="1272" t="n"/>
      <c r="AD47" s="1322" t="n"/>
      <c r="AE47" s="1272" t="n"/>
      <c r="AF47" s="1272" t="n"/>
      <c r="AG47" s="1272" t="n"/>
      <c r="AH47" s="1272" t="n"/>
      <c r="AI47" s="1272" t="n"/>
      <c r="AJ47" s="1272" t="n"/>
      <c r="AK47" s="1272" t="n"/>
      <c r="AL47" s="1272" t="n"/>
      <c r="AM47" s="1272" t="n"/>
      <c r="AN47" s="1272" t="n"/>
      <c r="AO47" s="1272" t="n"/>
      <c r="AP47" s="1272" t="n"/>
      <c r="AQ47" s="1277" t="n"/>
    </row>
    <row r="48" hidden="1" ht="8" customHeight="1" s="1676">
      <c r="A48" s="1284" t="n"/>
      <c r="B48" s="1323" t="n"/>
      <c r="C48" s="1272" t="n"/>
      <c r="D48" s="2340" t="n"/>
      <c r="E48" s="2340" t="n"/>
      <c r="F48" s="2340" t="n"/>
      <c r="G48" s="1272" t="n"/>
      <c r="H48" s="2340" t="n"/>
      <c r="I48" s="2340" t="n"/>
      <c r="J48" s="2340" t="n"/>
      <c r="K48" s="1272" t="n"/>
      <c r="L48" s="2340" t="n"/>
      <c r="M48" s="2340" t="n"/>
      <c r="N48" s="2340" t="n"/>
      <c r="O48" s="1272" t="n"/>
      <c r="P48" s="2340" t="n"/>
      <c r="Q48" s="1303" t="n"/>
      <c r="R48" s="2340" t="n"/>
      <c r="S48" s="1272" t="n"/>
      <c r="T48" s="2340" t="n"/>
      <c r="U48" s="1291" t="n"/>
      <c r="V48" s="2340" t="n"/>
      <c r="W48" s="1272" t="n"/>
      <c r="X48" s="2340" t="n"/>
      <c r="Y48" s="1291" t="n"/>
      <c r="Z48" s="2340" t="n"/>
      <c r="AA48" s="1272" t="n"/>
      <c r="AB48" s="2340" t="n"/>
      <c r="AC48" s="1291" t="n"/>
      <c r="AD48" s="2340" t="n"/>
      <c r="AE48" s="1272" t="n"/>
      <c r="AF48" s="2340" t="n"/>
      <c r="AG48" s="1291" t="n"/>
      <c r="AH48" s="1272" t="n"/>
      <c r="AI48" s="1272" t="n"/>
      <c r="AJ48" s="1272" t="n"/>
      <c r="AK48" s="1272" t="n"/>
      <c r="AL48" s="1272" t="n"/>
      <c r="AM48" s="1272" t="n"/>
      <c r="AN48" s="1272" t="n"/>
      <c r="AO48" s="1272" t="n"/>
      <c r="AP48" s="1272" t="n"/>
      <c r="AQ48" s="1277" t="n"/>
    </row>
    <row r="49" hidden="1" ht="9" customHeight="1" s="1676">
      <c r="A49" s="1304" t="n"/>
      <c r="B49" s="1324" t="inlineStr">
        <is>
          <t>Text_649</t>
        </is>
      </c>
      <c r="C49" s="1272" t="n"/>
      <c r="D49" s="2342" t="n"/>
      <c r="E49" s="1298" t="n"/>
      <c r="F49" s="1298" t="n"/>
      <c r="G49" s="1272" t="n"/>
      <c r="H49" s="2342" t="n"/>
      <c r="I49" s="1298" t="n"/>
      <c r="J49" s="1298" t="n"/>
      <c r="K49" s="1272" t="n"/>
      <c r="L49" s="2342" t="n">
        <v>465.205216229045</v>
      </c>
      <c r="M49" s="1298">
        <f t="array" ref="M49">L49/$L$54</f>
        <v/>
      </c>
      <c r="N49" s="1298" t="n"/>
      <c r="O49" s="1272" t="n"/>
      <c r="P49" s="2342" t="n">
        <v>421.220612635681</v>
      </c>
      <c r="Q49" s="1298">
        <f t="array" ref="Q49">P49/$P$54</f>
        <v/>
      </c>
      <c r="R49" s="1298" t="n"/>
      <c r="S49" s="1272" t="n"/>
      <c r="T49" s="1272" t="n"/>
      <c r="U49" s="1272" t="n"/>
      <c r="V49" s="1298" t="n"/>
      <c r="W49" s="1272" t="n"/>
      <c r="X49" s="1272" t="n"/>
      <c r="Y49" s="1272" t="n"/>
      <c r="Z49" s="1298" t="n"/>
      <c r="AA49" s="1272" t="n"/>
      <c r="AB49" s="1272" t="n"/>
      <c r="AC49" s="1272" t="n"/>
      <c r="AD49" s="1298" t="n"/>
      <c r="AE49" s="1272" t="n"/>
      <c r="AF49" s="1272" t="n"/>
      <c r="AG49" s="1272" t="n"/>
      <c r="AH49" s="1272" t="n"/>
      <c r="AI49" s="1272" t="n"/>
      <c r="AJ49" s="1272" t="n"/>
      <c r="AK49" s="1272" t="n"/>
      <c r="AL49" s="1272" t="n"/>
      <c r="AM49" s="1272" t="n"/>
      <c r="AN49" s="1272" t="n"/>
      <c r="AO49" s="1272" t="n"/>
      <c r="AP49" s="1272" t="n"/>
      <c r="AQ49" s="1277" t="n"/>
    </row>
    <row r="50" hidden="1" ht="9" customHeight="1" s="1676">
      <c r="A50" s="1304" t="n"/>
      <c r="B50" s="1327" t="inlineStr">
        <is>
          <t>Text_132</t>
        </is>
      </c>
      <c r="C50" s="1272" t="n"/>
      <c r="D50" s="2341" t="n"/>
      <c r="E50" s="1293" t="n"/>
      <c r="F50" s="1293" t="n"/>
      <c r="G50" s="1272" t="n"/>
      <c r="H50" s="2341" t="n"/>
      <c r="I50" s="1293" t="n"/>
      <c r="J50" s="1293" t="n"/>
      <c r="K50" s="1272" t="n"/>
      <c r="L50" s="2341" t="n">
        <v>443.335564472625</v>
      </c>
      <c r="M50" s="1293">
        <f t="array" ref="M50">L50/$L$54</f>
        <v/>
      </c>
      <c r="N50" s="1293" t="n"/>
      <c r="O50" s="1295" t="n"/>
      <c r="P50" s="2341" t="n">
        <v>412.841289104197</v>
      </c>
      <c r="Q50" s="1293">
        <f t="array" ref="Q50">P50/$P$54</f>
        <v/>
      </c>
      <c r="R50" s="1293" t="n"/>
      <c r="S50" s="1272" t="n"/>
      <c r="T50" s="1272" t="n"/>
      <c r="U50" s="1272" t="n"/>
      <c r="V50" s="1275" t="n"/>
      <c r="W50" s="1272" t="n"/>
      <c r="X50" s="1272" t="n"/>
      <c r="Y50" s="1272" t="n"/>
      <c r="Z50" s="1275" t="n"/>
      <c r="AA50" s="1272" t="n"/>
      <c r="AB50" s="1272" t="n"/>
      <c r="AC50" s="1272" t="n"/>
      <c r="AD50" s="1275" t="n"/>
      <c r="AE50" s="1272" t="n"/>
      <c r="AF50" s="1272" t="n"/>
      <c r="AG50" s="1272" t="n"/>
      <c r="AH50" s="1272" t="n"/>
      <c r="AI50" s="1272" t="n"/>
      <c r="AJ50" s="1272" t="n"/>
      <c r="AK50" s="1272" t="n"/>
      <c r="AL50" s="1272" t="n"/>
      <c r="AM50" s="1272" t="n"/>
      <c r="AN50" s="1272" t="n"/>
      <c r="AO50" s="1272" t="n"/>
      <c r="AP50" s="1272" t="n"/>
      <c r="AQ50" s="1277" t="n"/>
    </row>
    <row r="51" hidden="1" ht="9" customHeight="1" s="1676">
      <c r="A51" s="1304" t="n"/>
      <c r="B51" s="1324" t="inlineStr">
        <is>
          <t>Text_655</t>
        </is>
      </c>
      <c r="C51" s="1272" t="n"/>
      <c r="D51" s="2342" t="n"/>
      <c r="E51" s="1298" t="n"/>
      <c r="F51" s="1298" t="n"/>
      <c r="G51" s="1272" t="n"/>
      <c r="H51" s="2342" t="n"/>
      <c r="I51" s="1298" t="n"/>
      <c r="J51" s="1298" t="n"/>
      <c r="K51" s="1272" t="n"/>
      <c r="L51" s="2342" t="n">
        <v>94.4425691799544</v>
      </c>
      <c r="M51" s="1298">
        <f t="array" ref="M51">L51/$L$54</f>
        <v/>
      </c>
      <c r="N51" s="1298" t="n"/>
      <c r="O51" s="1272" t="n"/>
      <c r="P51" s="2342" t="n">
        <v>40.0591545707776</v>
      </c>
      <c r="Q51" s="1298">
        <f t="array" ref="Q51">P51/$P$54</f>
        <v/>
      </c>
      <c r="R51" s="1298" t="n"/>
      <c r="S51" s="1272" t="n"/>
      <c r="T51" s="1272" t="n"/>
      <c r="U51" s="1272" t="n"/>
      <c r="V51" s="1298" t="n"/>
      <c r="W51" s="1272" t="n"/>
      <c r="X51" s="1272" t="n"/>
      <c r="Y51" s="1272" t="n"/>
      <c r="Z51" s="1298" t="n"/>
      <c r="AA51" s="1272" t="n"/>
      <c r="AB51" s="1272" t="n"/>
      <c r="AC51" s="1272" t="n"/>
      <c r="AD51" s="1298" t="n"/>
      <c r="AE51" s="1272" t="n"/>
      <c r="AF51" s="1272" t="n"/>
      <c r="AG51" s="1272" t="n"/>
      <c r="AH51" s="1272" t="n"/>
      <c r="AI51" s="1272" t="n"/>
      <c r="AJ51" s="1272" t="n"/>
      <c r="AK51" s="1272" t="n"/>
      <c r="AL51" s="1272" t="n"/>
      <c r="AM51" s="1272" t="n"/>
      <c r="AN51" s="1272" t="n"/>
      <c r="AO51" s="1272" t="n"/>
      <c r="AP51" s="1272" t="n"/>
      <c r="AQ51" s="1277" t="n"/>
    </row>
    <row r="52" hidden="1" ht="9" customHeight="1" s="1676">
      <c r="A52" s="1304" t="n"/>
      <c r="B52" s="1324" t="inlineStr">
        <is>
          <t>Text_648</t>
        </is>
      </c>
      <c r="C52" s="1272" t="n"/>
      <c r="D52" s="2342" t="n"/>
      <c r="E52" s="1298" t="n"/>
      <c r="F52" s="1298" t="n"/>
      <c r="G52" s="1272" t="n"/>
      <c r="H52" s="2342" t="n"/>
      <c r="I52" s="1298" t="n"/>
      <c r="J52" s="1298" t="n"/>
      <c r="K52" s="1272" t="n"/>
      <c r="L52" s="2342" t="n">
        <v>37.7016193778738</v>
      </c>
      <c r="M52" s="1298">
        <f t="array" ref="M52">L52/$L$54</f>
        <v/>
      </c>
      <c r="N52" s="1298" t="n"/>
      <c r="O52" s="1272" t="n"/>
      <c r="P52" s="2342" t="n">
        <v>50.0737203490995</v>
      </c>
      <c r="Q52" s="1298">
        <f t="array" ref="Q52">P52/$P$54</f>
        <v/>
      </c>
      <c r="R52" s="1298" t="n"/>
      <c r="S52" s="1272" t="n"/>
      <c r="T52" s="1272" t="n"/>
      <c r="U52" s="1272" t="n"/>
      <c r="V52" s="1298" t="n"/>
      <c r="W52" s="1272" t="n"/>
      <c r="X52" s="1272" t="n"/>
      <c r="Y52" s="1272" t="n"/>
      <c r="Z52" s="1298" t="n"/>
      <c r="AA52" s="1272" t="n"/>
      <c r="AB52" s="1272" t="n"/>
      <c r="AC52" s="1272" t="n"/>
      <c r="AD52" s="1298" t="n"/>
      <c r="AE52" s="1272" t="n"/>
      <c r="AF52" s="1272" t="n"/>
      <c r="AG52" s="1272" t="n"/>
      <c r="AH52" s="1272" t="n"/>
      <c r="AI52" s="1272" t="n"/>
      <c r="AJ52" s="1272" t="n"/>
      <c r="AK52" s="1272" t="n"/>
      <c r="AL52" s="1272" t="n"/>
      <c r="AM52" s="1272" t="n"/>
      <c r="AN52" s="1272" t="n"/>
      <c r="AO52" s="1272" t="n"/>
      <c r="AP52" s="1272" t="n"/>
      <c r="AQ52" s="1277" t="n"/>
    </row>
    <row r="53" hidden="1" ht="8" customHeight="1" s="1676">
      <c r="A53" s="1284" t="n"/>
      <c r="B53" s="1323" t="n"/>
      <c r="C53" s="1272" t="n"/>
      <c r="D53" s="2340" t="n"/>
      <c r="E53" s="2340" t="n"/>
      <c r="F53" s="2340" t="n"/>
      <c r="G53" s="1272" t="n"/>
      <c r="H53" s="2340" t="n"/>
      <c r="I53" s="2340" t="n"/>
      <c r="J53" s="2340" t="n"/>
      <c r="K53" s="1272" t="n"/>
      <c r="L53" s="2340" t="n"/>
      <c r="M53" s="2340" t="n"/>
      <c r="N53" s="2340" t="n"/>
      <c r="O53" s="1272" t="n"/>
      <c r="P53" s="2340" t="n"/>
      <c r="Q53" s="1303" t="n"/>
      <c r="R53" s="2340" t="n"/>
      <c r="S53" s="1272" t="n"/>
      <c r="T53" s="2340" t="n"/>
      <c r="U53" s="1291" t="n"/>
      <c r="V53" s="2340" t="n"/>
      <c r="W53" s="1272" t="n"/>
      <c r="X53" s="2340" t="n"/>
      <c r="Y53" s="1291" t="n"/>
      <c r="Z53" s="2340" t="n"/>
      <c r="AA53" s="1272" t="n"/>
      <c r="AB53" s="2340" t="n"/>
      <c r="AC53" s="1291" t="n"/>
      <c r="AD53" s="2340" t="n"/>
      <c r="AE53" s="1272" t="n"/>
      <c r="AF53" s="2340" t="n"/>
      <c r="AG53" s="1291" t="n"/>
      <c r="AH53" s="1272" t="n"/>
      <c r="AI53" s="1272" t="n"/>
      <c r="AJ53" s="1272" t="n"/>
      <c r="AK53" s="1272" t="n"/>
      <c r="AL53" s="1272" t="n"/>
      <c r="AM53" s="1272" t="n"/>
      <c r="AN53" s="1272" t="n"/>
      <c r="AO53" s="1272" t="n"/>
      <c r="AP53" s="1272" t="n"/>
      <c r="AQ53" s="1277" t="n"/>
    </row>
    <row r="54" hidden="1" ht="15.75" customHeight="1" s="1676">
      <c r="A54" s="1304" t="n"/>
      <c r="B54" s="1325" t="inlineStr">
        <is>
          <t>Text_658</t>
        </is>
      </c>
      <c r="C54" s="1306" t="n"/>
      <c r="D54" s="2347" t="n"/>
      <c r="E54" s="1308" t="n"/>
      <c r="F54" s="1308" t="n"/>
      <c r="G54" s="1306" t="n"/>
      <c r="H54" s="2347" t="n"/>
      <c r="I54" s="1308" t="n"/>
      <c r="J54" s="1308" t="n"/>
      <c r="K54" s="1306" t="n"/>
      <c r="L54" s="2347">
        <f t="array" ref="L54">SUM(L49:L53)</f>
        <v/>
      </c>
      <c r="M54" s="1308" t="n"/>
      <c r="N54" s="1308" t="n"/>
      <c r="O54" s="1306" t="n"/>
      <c r="P54" s="2347">
        <f t="array" ref="P54">SUM(P49:P53)</f>
        <v/>
      </c>
      <c r="Q54" s="1308" t="n"/>
      <c r="R54" s="1308" t="n"/>
      <c r="S54" s="1272" t="n"/>
      <c r="T54" s="1272" t="n"/>
      <c r="U54" s="1272" t="n"/>
      <c r="V54" s="1308" t="n"/>
      <c r="W54" s="1272" t="n"/>
      <c r="X54" s="1272" t="n"/>
      <c r="Y54" s="1272" t="n"/>
      <c r="Z54" s="1308" t="n"/>
      <c r="AA54" s="1272" t="n"/>
      <c r="AB54" s="1272" t="n"/>
      <c r="AC54" s="1272" t="n"/>
      <c r="AD54" s="1308" t="n"/>
      <c r="AE54" s="1272" t="n"/>
      <c r="AF54" s="1272" t="n"/>
      <c r="AG54" s="1272" t="n"/>
      <c r="AH54" s="1272" t="n"/>
      <c r="AI54" s="1272" t="n"/>
      <c r="AJ54" s="1272" t="n"/>
      <c r="AK54" s="1272" t="n"/>
      <c r="AL54" s="1272" t="n"/>
      <c r="AM54" s="1272" t="n"/>
      <c r="AN54" s="1272" t="n"/>
      <c r="AO54" s="1272" t="n"/>
      <c r="AP54" s="1272" t="n"/>
      <c r="AQ54" s="1277" t="n"/>
    </row>
    <row r="55" hidden="1" ht="9" customHeight="1" s="1676">
      <c r="A55" s="1304" t="n"/>
      <c r="B55" s="1324" t="inlineStr">
        <is>
          <t>Text_15</t>
        </is>
      </c>
      <c r="C55" s="1272" t="n"/>
      <c r="D55" s="1291" t="n"/>
      <c r="E55" s="1312" t="n"/>
      <c r="F55" s="1312" t="n"/>
      <c r="G55" s="1272" t="n"/>
      <c r="H55" s="1291" t="n"/>
      <c r="I55" s="1312" t="n"/>
      <c r="J55" s="1312" t="n"/>
      <c r="K55" s="1272" t="n"/>
      <c r="L55" s="1291">
        <f t="array" ref="L55">L54/P54-1</f>
        <v/>
      </c>
      <c r="M55" s="1312" t="n"/>
      <c r="N55" s="1312" t="n"/>
      <c r="O55" s="1272" t="n"/>
      <c r="P55" s="1291" t="n"/>
      <c r="Q55" s="1312" t="n"/>
      <c r="R55" s="1312" t="n"/>
      <c r="S55" s="1272" t="n"/>
      <c r="T55" s="1272" t="n"/>
      <c r="U55" s="1272" t="n"/>
      <c r="V55" s="1312" t="n"/>
      <c r="W55" s="1272" t="n"/>
      <c r="X55" s="1272" t="n"/>
      <c r="Y55" s="1272" t="n"/>
      <c r="Z55" s="1312" t="n"/>
      <c r="AA55" s="1272" t="n"/>
      <c r="AB55" s="1272" t="n"/>
      <c r="AC55" s="1272" t="n"/>
      <c r="AD55" s="1312" t="n"/>
      <c r="AE55" s="1272" t="n"/>
      <c r="AF55" s="1272" t="n"/>
      <c r="AG55" s="1272" t="n"/>
      <c r="AH55" s="1272" t="n"/>
      <c r="AI55" s="1272" t="n"/>
      <c r="AJ55" s="1272" t="n"/>
      <c r="AK55" s="1272" t="n"/>
      <c r="AL55" s="1272" t="n"/>
      <c r="AM55" s="1272" t="n"/>
      <c r="AN55" s="1272" t="n"/>
      <c r="AO55" s="1272" t="n"/>
      <c r="AP55" s="1272" t="n"/>
      <c r="AQ55" s="1277" t="n"/>
    </row>
    <row r="56" hidden="1" ht="9" customHeight="1" s="1676">
      <c r="A56" s="1304" t="n"/>
      <c r="B56" s="1323" t="n"/>
      <c r="C56" s="1272" t="n"/>
      <c r="D56" s="1272" t="n"/>
      <c r="E56" s="1272" t="n"/>
      <c r="F56" s="1272" t="n"/>
      <c r="G56" s="1272" t="n"/>
      <c r="H56" s="1272" t="n"/>
      <c r="I56" s="1272" t="n"/>
      <c r="J56" s="1272" t="n"/>
      <c r="K56" s="1272" t="n"/>
      <c r="L56" s="1272" t="n"/>
      <c r="M56" s="1272" t="n"/>
      <c r="N56" s="1272" t="n"/>
      <c r="O56" s="1272" t="n"/>
      <c r="P56" s="1272" t="n"/>
      <c r="Q56" s="1272" t="n"/>
      <c r="R56" s="1272" t="n"/>
      <c r="S56" s="1272" t="n"/>
      <c r="T56" s="1272" t="n"/>
      <c r="U56" s="1272" t="n"/>
      <c r="V56" s="1272" t="n"/>
      <c r="W56" s="1272" t="n"/>
      <c r="X56" s="1272" t="n"/>
      <c r="Y56" s="1272" t="n"/>
      <c r="Z56" s="1272" t="n"/>
      <c r="AA56" s="1272" t="n"/>
      <c r="AB56" s="1272" t="n"/>
      <c r="AC56" s="1272" t="n"/>
      <c r="AD56" s="1272" t="n"/>
      <c r="AE56" s="1272" t="n"/>
      <c r="AF56" s="1272" t="n"/>
      <c r="AG56" s="1272" t="n"/>
      <c r="AH56" s="1272" t="n"/>
      <c r="AI56" s="1272" t="n"/>
      <c r="AJ56" s="1272" t="n"/>
      <c r="AK56" s="1272" t="n"/>
      <c r="AL56" s="1272" t="n"/>
      <c r="AM56" s="1272" t="n"/>
      <c r="AN56" s="1272" t="n"/>
      <c r="AO56" s="1272" t="n"/>
      <c r="AP56" s="1272" t="n"/>
      <c r="AQ56" s="1277" t="n"/>
    </row>
    <row r="57" hidden="1" ht="9" customHeight="1" s="1676">
      <c r="A57" s="1304" t="n"/>
      <c r="B57" s="1317" t="inlineStr">
        <is>
          <t>Text_664</t>
        </is>
      </c>
      <c r="C57" s="1272" t="n"/>
      <c r="D57" s="1318" t="n"/>
      <c r="E57" s="1275" t="n"/>
      <c r="F57" s="1275" t="n"/>
      <c r="G57" s="1272" t="n"/>
      <c r="H57" s="1318" t="n"/>
      <c r="I57" s="1275" t="n"/>
      <c r="J57" s="1275" t="n"/>
      <c r="K57" s="1272" t="n"/>
      <c r="L57" s="1273" t="inlineStr">
        <is>
          <t>Text_618</t>
        </is>
      </c>
      <c r="M57" s="1274" t="inlineStr">
        <is>
          <t>Text_643</t>
        </is>
      </c>
      <c r="N57" s="1275" t="n"/>
      <c r="O57" s="1272" t="n"/>
      <c r="P57" s="1273" t="inlineStr">
        <is>
          <t>Text_618</t>
        </is>
      </c>
      <c r="Q57" s="1274" t="inlineStr">
        <is>
          <t>Text_643</t>
        </is>
      </c>
      <c r="R57" s="1275" t="n"/>
      <c r="S57" s="1272" t="n"/>
      <c r="T57" s="1272" t="n"/>
      <c r="U57" s="1272" t="n"/>
      <c r="V57" s="1275" t="n"/>
      <c r="W57" s="1272" t="n"/>
      <c r="X57" s="1272" t="n"/>
      <c r="Y57" s="1272" t="n"/>
      <c r="Z57" s="1275" t="n"/>
      <c r="AA57" s="1272" t="n"/>
      <c r="AB57" s="1272" t="n"/>
      <c r="AC57" s="1272" t="n"/>
      <c r="AD57" s="1275" t="n"/>
      <c r="AE57" s="1272" t="n"/>
      <c r="AF57" s="1272" t="n"/>
      <c r="AG57" s="1272" t="n"/>
      <c r="AH57" s="1272" t="n"/>
      <c r="AI57" s="1272" t="n"/>
      <c r="AJ57" s="1272" t="n"/>
      <c r="AK57" s="1272" t="n"/>
      <c r="AL57" s="1272" t="n"/>
      <c r="AM57" s="1272" t="n"/>
      <c r="AN57" s="1272" t="n"/>
      <c r="AO57" s="1272" t="n"/>
      <c r="AP57" s="1272" t="n"/>
      <c r="AQ57" s="1277" t="n"/>
    </row>
    <row r="58" hidden="1" ht="15.75" customHeight="1" s="1676">
      <c r="A58" s="1304" t="n"/>
      <c r="B58" s="1319" t="inlineStr">
        <is>
          <t>Text_645</t>
        </is>
      </c>
      <c r="C58" s="1272" t="n"/>
      <c r="D58" s="1321" t="n"/>
      <c r="E58" s="1322" t="n"/>
      <c r="F58" s="1322" t="n"/>
      <c r="G58" s="1272" t="n"/>
      <c r="H58" s="1321" t="n"/>
      <c r="I58" s="1322" t="n"/>
      <c r="J58" s="1322" t="n"/>
      <c r="K58" s="1272" t="n"/>
      <c r="L58" s="1321" t="n">
        <v>1915.02554830227</v>
      </c>
      <c r="M58" s="1322" t="n">
        <v>1741.65904585471</v>
      </c>
      <c r="N58" s="1322" t="n"/>
      <c r="O58" s="1272" t="n"/>
      <c r="P58" s="1321" t="n">
        <v>1881.83115483868</v>
      </c>
      <c r="Q58" s="1322">
        <f t="array" ref="Q58">P58</f>
        <v/>
      </c>
      <c r="R58" s="1322" t="n"/>
      <c r="S58" s="1272" t="n"/>
      <c r="T58" s="1272" t="n"/>
      <c r="U58" s="1272" t="n"/>
      <c r="V58" s="1322" t="n"/>
      <c r="W58" s="1272" t="n"/>
      <c r="X58" s="1272" t="n"/>
      <c r="Y58" s="1272" t="n"/>
      <c r="Z58" s="1322" t="n"/>
      <c r="AA58" s="1272" t="n"/>
      <c r="AB58" s="1272" t="n"/>
      <c r="AC58" s="1272" t="n"/>
      <c r="AD58" s="1322" t="n"/>
      <c r="AE58" s="1272" t="n"/>
      <c r="AF58" s="1272" t="n"/>
      <c r="AG58" s="1272" t="n"/>
      <c r="AH58" s="1272" t="n"/>
      <c r="AI58" s="1272" t="n"/>
      <c r="AJ58" s="1272" t="n"/>
      <c r="AK58" s="1272" t="n"/>
      <c r="AL58" s="1272" t="n"/>
      <c r="AM58" s="1272" t="n"/>
      <c r="AN58" s="1272" t="n"/>
      <c r="AO58" s="1272" t="n"/>
      <c r="AP58" s="1272" t="n"/>
      <c r="AQ58" s="1277" t="n"/>
    </row>
    <row r="59" hidden="1" ht="8" customHeight="1" s="1676">
      <c r="A59" s="1284" t="n"/>
      <c r="B59" s="1323" t="n"/>
      <c r="C59" s="1272" t="n"/>
      <c r="D59" s="2340" t="n"/>
      <c r="E59" s="2340" t="n"/>
      <c r="F59" s="2340" t="n"/>
      <c r="G59" s="1272" t="n"/>
      <c r="H59" s="2340" t="n"/>
      <c r="I59" s="2340" t="n"/>
      <c r="J59" s="2340" t="n"/>
      <c r="K59" s="1272" t="n"/>
      <c r="L59" s="2340" t="n"/>
      <c r="M59" s="2340" t="n"/>
      <c r="N59" s="2340" t="n"/>
      <c r="O59" s="1272" t="n"/>
      <c r="P59" s="2340" t="n"/>
      <c r="Q59" s="1303" t="n"/>
      <c r="R59" s="2340" t="n"/>
      <c r="S59" s="1272" t="n"/>
      <c r="T59" s="2340" t="n"/>
      <c r="U59" s="1291" t="n"/>
      <c r="V59" s="2340" t="n"/>
      <c r="W59" s="1272" t="n"/>
      <c r="X59" s="2340" t="n"/>
      <c r="Y59" s="1291" t="n"/>
      <c r="Z59" s="2340" t="n"/>
      <c r="AA59" s="1272" t="n"/>
      <c r="AB59" s="2340" t="n"/>
      <c r="AC59" s="1291" t="n"/>
      <c r="AD59" s="2340" t="n"/>
      <c r="AE59" s="1272" t="n"/>
      <c r="AF59" s="2340" t="n"/>
      <c r="AG59" s="1291" t="n"/>
      <c r="AH59" s="1272" t="n"/>
      <c r="AI59" s="1272" t="n"/>
      <c r="AJ59" s="1272" t="n"/>
      <c r="AK59" s="1272" t="n"/>
      <c r="AL59" s="1272" t="n"/>
      <c r="AM59" s="1272" t="n"/>
      <c r="AN59" s="1272" t="n"/>
      <c r="AO59" s="1272" t="n"/>
      <c r="AP59" s="1272" t="n"/>
      <c r="AQ59" s="1277" t="n"/>
    </row>
    <row r="60" hidden="1" ht="9" customHeight="1" s="1676">
      <c r="A60" s="1304" t="n"/>
      <c r="B60" s="1324" t="inlineStr">
        <is>
          <t>Text_655</t>
        </is>
      </c>
      <c r="C60" s="1272" t="n"/>
      <c r="D60" s="2342" t="n"/>
      <c r="E60" s="1298" t="n"/>
      <c r="F60" s="1298" t="n"/>
      <c r="G60" s="1272" t="n"/>
      <c r="H60" s="2342" t="n"/>
      <c r="I60" s="1298" t="n"/>
      <c r="J60" s="1298" t="n"/>
      <c r="K60" s="1272" t="n"/>
      <c r="L60" s="2342" t="n">
        <v>20.2111185754917</v>
      </c>
      <c r="M60" s="1298">
        <f t="array" ref="M60">L60/$L$63</f>
        <v/>
      </c>
      <c r="N60" s="1298" t="n"/>
      <c r="O60" s="1272" t="n"/>
      <c r="P60" s="2342" t="n">
        <v>22.1558625075283</v>
      </c>
      <c r="Q60" s="1298">
        <f t="array" ref="Q60">P60/$P$63</f>
        <v/>
      </c>
      <c r="R60" s="1298" t="n"/>
      <c r="S60" s="1272" t="n"/>
      <c r="T60" s="1272" t="n"/>
      <c r="U60" s="1272" t="n"/>
      <c r="V60" s="1298" t="n"/>
      <c r="W60" s="1272" t="n"/>
      <c r="X60" s="1272" t="n"/>
      <c r="Y60" s="1272" t="n"/>
      <c r="Z60" s="1298" t="n"/>
      <c r="AA60" s="1272" t="n"/>
      <c r="AB60" s="1272" t="n"/>
      <c r="AC60" s="1272" t="n"/>
      <c r="AD60" s="1298" t="n"/>
      <c r="AE60" s="1272" t="n"/>
      <c r="AF60" s="1272" t="n"/>
      <c r="AG60" s="1272" t="n"/>
      <c r="AH60" s="1272" t="n"/>
      <c r="AI60" s="1272" t="n"/>
      <c r="AJ60" s="1272" t="n"/>
      <c r="AK60" s="1272" t="n"/>
      <c r="AL60" s="1272" t="n"/>
      <c r="AM60" s="1272" t="n"/>
      <c r="AN60" s="1272" t="n"/>
      <c r="AO60" s="1272" t="n"/>
      <c r="AP60" s="1272" t="n"/>
      <c r="AQ60" s="1277" t="n"/>
    </row>
    <row r="61" hidden="1" ht="9" customHeight="1" s="1676">
      <c r="A61" s="1304" t="n"/>
      <c r="B61" s="1327" t="inlineStr">
        <is>
          <t>Text_132</t>
        </is>
      </c>
      <c r="C61" s="1272" t="n"/>
      <c r="D61" s="2341" t="n"/>
      <c r="E61" s="1293" t="n"/>
      <c r="F61" s="1293" t="n"/>
      <c r="G61" s="1272" t="n"/>
      <c r="H61" s="2341" t="n"/>
      <c r="I61" s="1293" t="n"/>
      <c r="J61" s="1293" t="n"/>
      <c r="K61" s="1272" t="n"/>
      <c r="L61" s="2341" t="n">
        <v>20.5150349330266</v>
      </c>
      <c r="M61" s="1293">
        <f t="array" ref="M61">L61/$L$63</f>
        <v/>
      </c>
      <c r="N61" s="1293" t="n"/>
      <c r="O61" s="1295" t="n"/>
      <c r="P61" s="2341" t="n">
        <v>18.111821957762</v>
      </c>
      <c r="Q61" s="1293">
        <f t="array" ref="Q61">P61/$P$63</f>
        <v/>
      </c>
      <c r="R61" s="1293" t="n"/>
      <c r="S61" s="1272" t="n"/>
      <c r="T61" s="1272" t="n"/>
      <c r="U61" s="1272" t="n"/>
      <c r="V61" s="1275" t="n"/>
      <c r="W61" s="1272" t="n"/>
      <c r="X61" s="1272" t="n"/>
      <c r="Y61" s="1272" t="n"/>
      <c r="Z61" s="1275" t="n"/>
      <c r="AA61" s="1272" t="n"/>
      <c r="AB61" s="1272" t="n"/>
      <c r="AC61" s="1272" t="n"/>
      <c r="AD61" s="1275" t="n"/>
      <c r="AE61" s="1272" t="n"/>
      <c r="AF61" s="1272" t="n"/>
      <c r="AG61" s="1272" t="n"/>
      <c r="AH61" s="1272" t="n"/>
      <c r="AI61" s="1272" t="n"/>
      <c r="AJ61" s="1272" t="n"/>
      <c r="AK61" s="1272" t="n"/>
      <c r="AL61" s="1272" t="n"/>
      <c r="AM61" s="1272" t="n"/>
      <c r="AN61" s="1272" t="n"/>
      <c r="AO61" s="1272" t="n"/>
      <c r="AP61" s="1272" t="n"/>
      <c r="AQ61" s="1277" t="n"/>
    </row>
    <row r="62" hidden="1" ht="8" customHeight="1" s="1676">
      <c r="A62" s="1284" t="n"/>
      <c r="B62" s="1323" t="n"/>
      <c r="C62" s="1272" t="n"/>
      <c r="D62" s="2340" t="n"/>
      <c r="E62" s="2340" t="n"/>
      <c r="F62" s="2340" t="n"/>
      <c r="G62" s="1272" t="n"/>
      <c r="H62" s="2340" t="n"/>
      <c r="I62" s="2340" t="n"/>
      <c r="J62" s="2340" t="n"/>
      <c r="K62" s="1272" t="n"/>
      <c r="L62" s="2340" t="n"/>
      <c r="M62" s="2340" t="n"/>
      <c r="N62" s="2340" t="n"/>
      <c r="O62" s="1272" t="n"/>
      <c r="P62" s="2340" t="n"/>
      <c r="Q62" s="1303" t="n"/>
      <c r="R62" s="2340" t="n"/>
      <c r="S62" s="1272" t="n"/>
      <c r="T62" s="2340" t="n"/>
      <c r="U62" s="1291" t="n"/>
      <c r="V62" s="2340" t="n"/>
      <c r="W62" s="1272" t="n"/>
      <c r="X62" s="2340" t="n"/>
      <c r="Y62" s="1291" t="n"/>
      <c r="Z62" s="2340" t="n"/>
      <c r="AA62" s="1272" t="n"/>
      <c r="AB62" s="2340" t="n"/>
      <c r="AC62" s="1291" t="n"/>
      <c r="AD62" s="2340" t="n"/>
      <c r="AE62" s="1272" t="n"/>
      <c r="AF62" s="2340" t="n"/>
      <c r="AG62" s="1291" t="n"/>
      <c r="AH62" s="1272" t="n"/>
      <c r="AI62" s="1272" t="n"/>
      <c r="AJ62" s="1272" t="n"/>
      <c r="AK62" s="1272" t="n"/>
      <c r="AL62" s="1272" t="n"/>
      <c r="AM62" s="1272" t="n"/>
      <c r="AN62" s="1272" t="n"/>
      <c r="AO62" s="1272" t="n"/>
      <c r="AP62" s="1272" t="n"/>
      <c r="AQ62" s="1277" t="n"/>
    </row>
    <row r="63" hidden="1" ht="15.75" customHeight="1" s="1676">
      <c r="A63" s="1304" t="n"/>
      <c r="B63" s="1325" t="inlineStr">
        <is>
          <t>Text_658</t>
        </is>
      </c>
      <c r="C63" s="1306" t="n"/>
      <c r="D63" s="2347" t="n"/>
      <c r="E63" s="1308" t="n"/>
      <c r="F63" s="1308" t="n"/>
      <c r="G63" s="1306" t="n"/>
      <c r="H63" s="2347" t="n"/>
      <c r="I63" s="1308" t="n"/>
      <c r="J63" s="1308" t="n"/>
      <c r="K63" s="1306" t="n"/>
      <c r="L63" s="2347">
        <f t="array" ref="L63">SUM(L60:L62)</f>
        <v/>
      </c>
      <c r="M63" s="1308" t="n"/>
      <c r="N63" s="1308" t="n"/>
      <c r="O63" s="1306" t="n"/>
      <c r="P63" s="2347">
        <f t="array" ref="P63">SUM(P60:P62)</f>
        <v/>
      </c>
      <c r="Q63" s="1308" t="n"/>
      <c r="R63" s="1308" t="n"/>
      <c r="S63" s="1272" t="n"/>
      <c r="T63" s="1272" t="n"/>
      <c r="U63" s="1272" t="n"/>
      <c r="V63" s="1308" t="n"/>
      <c r="W63" s="1272" t="n"/>
      <c r="X63" s="1272" t="n"/>
      <c r="Y63" s="1272" t="n"/>
      <c r="Z63" s="1308" t="n"/>
      <c r="AA63" s="1272" t="n"/>
      <c r="AB63" s="1272" t="n"/>
      <c r="AC63" s="1272" t="n"/>
      <c r="AD63" s="1308" t="n"/>
      <c r="AE63" s="1272" t="n"/>
      <c r="AF63" s="1272" t="n"/>
      <c r="AG63" s="1272" t="n"/>
      <c r="AH63" s="1272" t="n"/>
      <c r="AI63" s="1272" t="n"/>
      <c r="AJ63" s="1272" t="n"/>
      <c r="AK63" s="1272" t="n"/>
      <c r="AL63" s="1272" t="n"/>
      <c r="AM63" s="1272" t="n"/>
      <c r="AN63" s="1272" t="n"/>
      <c r="AO63" s="1272" t="n"/>
      <c r="AP63" s="1272" t="n"/>
      <c r="AQ63" s="1277" t="n"/>
    </row>
    <row r="64" hidden="1" ht="9" customHeight="1" s="1676">
      <c r="A64" s="1304" t="n"/>
      <c r="B64" s="1324" t="inlineStr">
        <is>
          <t>Text_15</t>
        </is>
      </c>
      <c r="C64" s="1272" t="n"/>
      <c r="D64" s="1291" t="n"/>
      <c r="E64" s="1312" t="n"/>
      <c r="F64" s="1312" t="n"/>
      <c r="G64" s="1272" t="n"/>
      <c r="H64" s="1291" t="n"/>
      <c r="I64" s="1312" t="n"/>
      <c r="J64" s="1312" t="n"/>
      <c r="K64" s="1272" t="n"/>
      <c r="L64" s="1291">
        <f t="array" ref="L64">L63/P63-1</f>
        <v/>
      </c>
      <c r="M64" s="1312" t="n"/>
      <c r="N64" s="1312" t="n"/>
      <c r="O64" s="1272" t="n"/>
      <c r="P64" s="1291" t="n"/>
      <c r="Q64" s="1312" t="n"/>
      <c r="R64" s="1312" t="n"/>
      <c r="S64" s="1272" t="n"/>
      <c r="T64" s="1272" t="n"/>
      <c r="U64" s="1272" t="n"/>
      <c r="V64" s="1312" t="n"/>
      <c r="W64" s="1272" t="n"/>
      <c r="X64" s="1272" t="n"/>
      <c r="Y64" s="1272" t="n"/>
      <c r="Z64" s="1312" t="n"/>
      <c r="AA64" s="1272" t="n"/>
      <c r="AB64" s="1272" t="n"/>
      <c r="AC64" s="1272" t="n"/>
      <c r="AD64" s="1312" t="n"/>
      <c r="AE64" s="1272" t="n"/>
      <c r="AF64" s="1272" t="n"/>
      <c r="AG64" s="1272" t="n"/>
      <c r="AH64" s="1272" t="n"/>
      <c r="AI64" s="1272" t="n"/>
      <c r="AJ64" s="1272" t="n"/>
      <c r="AK64" s="1272" t="n"/>
      <c r="AL64" s="1272" t="n"/>
      <c r="AM64" s="1272" t="n"/>
      <c r="AN64" s="1272" t="n"/>
      <c r="AO64" s="1272" t="n"/>
      <c r="AP64" s="1272" t="n"/>
      <c r="AQ64" s="1277" t="n"/>
    </row>
    <row r="65" hidden="1" ht="9" customHeight="1" s="1676">
      <c r="A65" s="1304" t="n"/>
      <c r="B65" s="1323" t="n"/>
      <c r="C65" s="1272" t="n"/>
      <c r="D65" s="1272" t="n"/>
      <c r="E65" s="1272" t="n"/>
      <c r="F65" s="1272" t="n"/>
      <c r="G65" s="1272" t="n"/>
      <c r="H65" s="1272" t="n"/>
      <c r="I65" s="1272" t="n"/>
      <c r="J65" s="1272" t="n"/>
      <c r="K65" s="1272" t="n"/>
      <c r="L65" s="1272" t="n"/>
      <c r="M65" s="1272" t="n"/>
      <c r="N65" s="1272" t="n"/>
      <c r="O65" s="1272" t="n"/>
      <c r="P65" s="1272" t="n"/>
      <c r="Q65" s="1272" t="n"/>
      <c r="R65" s="1272" t="n"/>
      <c r="S65" s="1272" t="n"/>
      <c r="T65" s="1272" t="n"/>
      <c r="U65" s="1272" t="n"/>
      <c r="V65" s="1272" t="n"/>
      <c r="W65" s="1272" t="n"/>
      <c r="X65" s="1272" t="n"/>
      <c r="Y65" s="1272" t="n"/>
      <c r="Z65" s="1272" t="n"/>
      <c r="AA65" s="1272" t="n"/>
      <c r="AB65" s="1272" t="n"/>
      <c r="AC65" s="1272" t="n"/>
      <c r="AD65" s="1272" t="n"/>
      <c r="AE65" s="1272" t="n"/>
      <c r="AF65" s="1272" t="n"/>
      <c r="AG65" s="1272" t="n"/>
      <c r="AH65" s="1272" t="n"/>
      <c r="AI65" s="1272" t="n"/>
      <c r="AJ65" s="1272" t="n"/>
      <c r="AK65" s="1272" t="n"/>
      <c r="AL65" s="1272" t="n"/>
      <c r="AM65" s="1272" t="n"/>
      <c r="AN65" s="1272" t="n"/>
      <c r="AO65" s="1272" t="n"/>
      <c r="AP65" s="1272" t="n"/>
      <c r="AQ65" s="1277" t="n"/>
    </row>
    <row r="66" hidden="1" ht="9" customHeight="1" s="1676">
      <c r="A66" s="1304" t="n"/>
      <c r="B66" s="1317" t="inlineStr">
        <is>
          <t>Text_665</t>
        </is>
      </c>
      <c r="C66" s="1272" t="n"/>
      <c r="D66" s="1318" t="n"/>
      <c r="E66" s="1275" t="n"/>
      <c r="F66" s="1275" t="n"/>
      <c r="G66" s="1272" t="n"/>
      <c r="H66" s="1318" t="n"/>
      <c r="I66" s="1275" t="n"/>
      <c r="J66" s="1275" t="n"/>
      <c r="K66" s="1272" t="n"/>
      <c r="L66" s="1273" t="inlineStr">
        <is>
          <t>Text_618</t>
        </is>
      </c>
      <c r="M66" s="1274" t="inlineStr">
        <is>
          <t>Text_643</t>
        </is>
      </c>
      <c r="N66" s="1275" t="n"/>
      <c r="O66" s="1272" t="n"/>
      <c r="P66" s="1273" t="inlineStr">
        <is>
          <t>Text_618</t>
        </is>
      </c>
      <c r="Q66" s="1274" t="inlineStr">
        <is>
          <t>Text_643</t>
        </is>
      </c>
      <c r="R66" s="1275" t="n"/>
      <c r="S66" s="1272" t="n"/>
      <c r="T66" s="1272" t="n"/>
      <c r="U66" s="1272" t="n"/>
      <c r="V66" s="1275" t="n"/>
      <c r="W66" s="1272" t="n"/>
      <c r="X66" s="1272" t="n"/>
      <c r="Y66" s="1272" t="n"/>
      <c r="Z66" s="1275" t="n"/>
      <c r="AA66" s="1272" t="n"/>
      <c r="AB66" s="1272" t="n"/>
      <c r="AC66" s="1272" t="n"/>
      <c r="AD66" s="1275" t="n"/>
      <c r="AE66" s="1272" t="n"/>
      <c r="AF66" s="1272" t="n"/>
      <c r="AG66" s="1272" t="n"/>
      <c r="AH66" s="1272" t="n"/>
      <c r="AI66" s="1272" t="n"/>
      <c r="AJ66" s="1272" t="n"/>
      <c r="AK66" s="1272" t="n"/>
      <c r="AL66" s="1272" t="n"/>
      <c r="AM66" s="1272" t="n"/>
      <c r="AN66" s="1272" t="n"/>
      <c r="AO66" s="1272" t="n"/>
      <c r="AP66" s="1272" t="n"/>
      <c r="AQ66" s="1277" t="n"/>
    </row>
    <row r="67" hidden="1" ht="15.75" customHeight="1" s="1676">
      <c r="A67" s="1304" t="n"/>
      <c r="B67" s="1319" t="inlineStr">
        <is>
          <t>Text_645</t>
        </is>
      </c>
      <c r="C67" s="1272" t="n"/>
      <c r="D67" s="1321" t="n"/>
      <c r="E67" s="1322" t="n"/>
      <c r="F67" s="1322" t="n"/>
      <c r="G67" s="1272" t="n"/>
      <c r="H67" s="1321" t="n"/>
      <c r="I67" s="1322" t="n"/>
      <c r="J67" s="1322" t="n"/>
      <c r="K67" s="1272" t="n"/>
      <c r="L67" s="1321" t="n">
        <v>2159.46124898613</v>
      </c>
      <c r="M67" s="1322" t="n">
        <v>1927.51223746624</v>
      </c>
      <c r="N67" s="1322" t="n"/>
      <c r="O67" s="1272" t="n"/>
      <c r="P67" s="1321" t="n">
        <v>2123.6824531941</v>
      </c>
      <c r="Q67" s="1322">
        <f t="array" ref="Q67">P67</f>
        <v/>
      </c>
      <c r="R67" s="1322" t="n"/>
      <c r="S67" s="1272" t="n"/>
      <c r="T67" s="1272" t="n"/>
      <c r="U67" s="1272" t="n"/>
      <c r="V67" s="1322" t="n"/>
      <c r="W67" s="1272" t="n"/>
      <c r="X67" s="1272" t="n"/>
      <c r="Y67" s="1272" t="n"/>
      <c r="Z67" s="1322" t="n"/>
      <c r="AA67" s="1272" t="n"/>
      <c r="AB67" s="1272" t="n"/>
      <c r="AC67" s="1272" t="n"/>
      <c r="AD67" s="1322" t="n"/>
      <c r="AE67" s="1272" t="n"/>
      <c r="AF67" s="1272" t="n"/>
      <c r="AG67" s="1272" t="n"/>
      <c r="AH67" s="1272" t="n"/>
      <c r="AI67" s="1272" t="n"/>
      <c r="AJ67" s="1272" t="n"/>
      <c r="AK67" s="1272" t="n"/>
      <c r="AL67" s="1272" t="n"/>
      <c r="AM67" s="1272" t="n"/>
      <c r="AN67" s="1272" t="n"/>
      <c r="AO67" s="1272" t="n"/>
      <c r="AP67" s="1272" t="n"/>
      <c r="AQ67" s="1277" t="n"/>
    </row>
    <row r="68" hidden="1" ht="8" customHeight="1" s="1676">
      <c r="A68" s="1284" t="n"/>
      <c r="B68" s="1323" t="n"/>
      <c r="C68" s="1272" t="n"/>
      <c r="D68" s="2340" t="n"/>
      <c r="E68" s="2340" t="n"/>
      <c r="F68" s="2340" t="n"/>
      <c r="G68" s="1272" t="n"/>
      <c r="H68" s="2340" t="n"/>
      <c r="I68" s="2340" t="n"/>
      <c r="J68" s="2340" t="n"/>
      <c r="K68" s="1272" t="n"/>
      <c r="L68" s="2340" t="n"/>
      <c r="M68" s="2340" t="n"/>
      <c r="N68" s="2340" t="n"/>
      <c r="O68" s="1272" t="n"/>
      <c r="P68" s="2340" t="n"/>
      <c r="Q68" s="1303" t="n"/>
      <c r="R68" s="2340" t="n"/>
      <c r="S68" s="1272" t="n"/>
      <c r="T68" s="2340" t="n"/>
      <c r="U68" s="1291" t="n"/>
      <c r="V68" s="2340" t="n"/>
      <c r="W68" s="1272" t="n"/>
      <c r="X68" s="2340" t="n"/>
      <c r="Y68" s="1291" t="n"/>
      <c r="Z68" s="2340" t="n"/>
      <c r="AA68" s="1272" t="n"/>
      <c r="AB68" s="2340" t="n"/>
      <c r="AC68" s="1291" t="n"/>
      <c r="AD68" s="2340" t="n"/>
      <c r="AE68" s="1272" t="n"/>
      <c r="AF68" s="2340" t="n"/>
      <c r="AG68" s="1291" t="n"/>
      <c r="AH68" s="1272" t="n"/>
      <c r="AI68" s="1272" t="n"/>
      <c r="AJ68" s="1272" t="n"/>
      <c r="AK68" s="1272" t="n"/>
      <c r="AL68" s="1272" t="n"/>
      <c r="AM68" s="1272" t="n"/>
      <c r="AN68" s="1272" t="n"/>
      <c r="AO68" s="1272" t="n"/>
      <c r="AP68" s="1272" t="n"/>
      <c r="AQ68" s="1277" t="n"/>
    </row>
    <row r="69" hidden="1" ht="9" customHeight="1" s="1676">
      <c r="A69" s="1304" t="n"/>
      <c r="B69" s="1327" t="inlineStr">
        <is>
          <t>Text_132</t>
        </is>
      </c>
      <c r="C69" s="1272" t="n"/>
      <c r="D69" s="2341" t="n"/>
      <c r="E69" s="1293" t="n"/>
      <c r="F69" s="1293" t="n"/>
      <c r="G69" s="1272" t="n"/>
      <c r="H69" s="2341" t="n"/>
      <c r="I69" s="1293" t="n"/>
      <c r="J69" s="1293" t="n"/>
      <c r="K69" s="1272" t="n"/>
      <c r="L69" s="2341" t="n">
        <v>579.109191350768</v>
      </c>
      <c r="M69" s="1293">
        <f t="array" ref="M69">L69/$L$72</f>
        <v/>
      </c>
      <c r="N69" s="1293" t="n"/>
      <c r="O69" s="1295" t="n"/>
      <c r="P69" s="2341" t="n">
        <v>394.981546164791</v>
      </c>
      <c r="Q69" s="1293">
        <f t="array" ref="Q69">P69/$P$72</f>
        <v/>
      </c>
      <c r="R69" s="1293" t="n"/>
      <c r="S69" s="1272" t="n"/>
      <c r="T69" s="1272" t="n"/>
      <c r="U69" s="1272" t="n"/>
      <c r="V69" s="1275" t="n"/>
      <c r="W69" s="1272" t="n"/>
      <c r="X69" s="1272" t="n"/>
      <c r="Y69" s="1272" t="n"/>
      <c r="Z69" s="1275" t="n"/>
      <c r="AA69" s="1272" t="n"/>
      <c r="AB69" s="1272" t="n"/>
      <c r="AC69" s="1272" t="n"/>
      <c r="AD69" s="1275" t="n"/>
      <c r="AE69" s="1272" t="n"/>
      <c r="AF69" s="1272" t="n"/>
      <c r="AG69" s="1272" t="n"/>
      <c r="AH69" s="1272" t="n"/>
      <c r="AI69" s="1272" t="n"/>
      <c r="AJ69" s="1272" t="n"/>
      <c r="AK69" s="1272" t="n"/>
      <c r="AL69" s="1272" t="n"/>
      <c r="AM69" s="1272" t="n"/>
      <c r="AN69" s="1272" t="n"/>
      <c r="AO69" s="1272" t="n"/>
      <c r="AP69" s="1272" t="n"/>
      <c r="AQ69" s="1277" t="n"/>
    </row>
    <row r="70" hidden="1" ht="9" customHeight="1" s="1676">
      <c r="A70" s="1304" t="n"/>
      <c r="B70" s="1324" t="inlineStr">
        <is>
          <t>Text_652</t>
        </is>
      </c>
      <c r="C70" s="1272" t="n"/>
      <c r="D70" s="2342" t="n"/>
      <c r="E70" s="1298" t="n"/>
      <c r="F70" s="1298" t="n"/>
      <c r="G70" s="1272" t="n"/>
      <c r="H70" s="2342" t="n"/>
      <c r="I70" s="1298" t="n"/>
      <c r="J70" s="1298" t="n"/>
      <c r="K70" s="1272" t="n"/>
      <c r="L70" s="2342" t="n">
        <v>243.727153310432</v>
      </c>
      <c r="M70" s="1298">
        <f t="array" ref="M70">L70/$L$72</f>
        <v/>
      </c>
      <c r="N70" s="1298" t="n"/>
      <c r="O70" s="1272" t="n"/>
      <c r="P70" s="2342" t="n">
        <v>179.348750285915</v>
      </c>
      <c r="Q70" s="1298">
        <f t="array" ref="Q70">P70/$P$72</f>
        <v/>
      </c>
      <c r="R70" s="1298" t="n"/>
      <c r="S70" s="1272" t="n"/>
      <c r="T70" s="1272" t="n"/>
      <c r="U70" s="1272" t="n"/>
      <c r="V70" s="1298" t="n"/>
      <c r="W70" s="1272" t="n"/>
      <c r="X70" s="1272" t="n"/>
      <c r="Y70" s="1272" t="n"/>
      <c r="Z70" s="1298" t="n"/>
      <c r="AA70" s="1272" t="n"/>
      <c r="AB70" s="1272" t="n"/>
      <c r="AC70" s="1272" t="n"/>
      <c r="AD70" s="1298" t="n"/>
      <c r="AE70" s="1272" t="n"/>
      <c r="AF70" s="1272" t="n"/>
      <c r="AG70" s="1272" t="n"/>
      <c r="AH70" s="1272" t="n"/>
      <c r="AI70" s="1272" t="n"/>
      <c r="AJ70" s="1272" t="n"/>
      <c r="AK70" s="1272" t="n"/>
      <c r="AL70" s="1272" t="n"/>
      <c r="AM70" s="1272" t="n"/>
      <c r="AN70" s="1272" t="n"/>
      <c r="AO70" s="1272" t="n"/>
      <c r="AP70" s="1272" t="n"/>
      <c r="AQ70" s="1277" t="n"/>
    </row>
    <row r="71" hidden="1" ht="8" customHeight="1" s="1676">
      <c r="A71" s="1284" t="n"/>
      <c r="B71" s="1323" t="n"/>
      <c r="C71" s="1272" t="n"/>
      <c r="D71" s="2340" t="n"/>
      <c r="E71" s="2340" t="n"/>
      <c r="F71" s="2340" t="n"/>
      <c r="G71" s="1272" t="n"/>
      <c r="H71" s="2340" t="n"/>
      <c r="I71" s="2340" t="n"/>
      <c r="J71" s="2340" t="n"/>
      <c r="K71" s="1272" t="n"/>
      <c r="L71" s="2340" t="n"/>
      <c r="M71" s="2340" t="n"/>
      <c r="N71" s="2340" t="n"/>
      <c r="O71" s="1272" t="n"/>
      <c r="P71" s="2340" t="n"/>
      <c r="Q71" s="1303" t="n"/>
      <c r="R71" s="2340" t="n"/>
      <c r="S71" s="1272" t="n"/>
      <c r="T71" s="2340" t="n"/>
      <c r="U71" s="1291" t="n"/>
      <c r="V71" s="2340" t="n"/>
      <c r="W71" s="1272" t="n"/>
      <c r="X71" s="2340" t="n"/>
      <c r="Y71" s="1291" t="n"/>
      <c r="Z71" s="2340" t="n"/>
      <c r="AA71" s="1272" t="n"/>
      <c r="AB71" s="2340" t="n"/>
      <c r="AC71" s="1291" t="n"/>
      <c r="AD71" s="2340" t="n"/>
      <c r="AE71" s="1272" t="n"/>
      <c r="AF71" s="2340" t="n"/>
      <c r="AG71" s="1291" t="n"/>
      <c r="AH71" s="1272" t="n"/>
      <c r="AI71" s="1272" t="n"/>
      <c r="AJ71" s="1272" t="n"/>
      <c r="AK71" s="1272" t="n"/>
      <c r="AL71" s="1272" t="n"/>
      <c r="AM71" s="1272" t="n"/>
      <c r="AN71" s="1272" t="n"/>
      <c r="AO71" s="1272" t="n"/>
      <c r="AP71" s="1272" t="n"/>
      <c r="AQ71" s="1277" t="n"/>
    </row>
    <row r="72" hidden="1" ht="15.75" customHeight="1" s="1676">
      <c r="A72" s="1304" t="n"/>
      <c r="B72" s="1325" t="inlineStr">
        <is>
          <t>Text_658</t>
        </is>
      </c>
      <c r="C72" s="1306" t="n"/>
      <c r="D72" s="2347" t="n"/>
      <c r="E72" s="1308" t="n"/>
      <c r="F72" s="1308" t="n"/>
      <c r="G72" s="1306" t="n"/>
      <c r="H72" s="2347" t="n"/>
      <c r="I72" s="1308" t="n"/>
      <c r="J72" s="1308" t="n"/>
      <c r="K72" s="1306" t="n"/>
      <c r="L72" s="2347">
        <f t="array" ref="L72">SUM(L69:L71)</f>
        <v/>
      </c>
      <c r="M72" s="1308" t="n"/>
      <c r="N72" s="1308" t="n"/>
      <c r="O72" s="1306" t="n"/>
      <c r="P72" s="2347">
        <f t="array" ref="P72">SUM(P69:P71)</f>
        <v/>
      </c>
      <c r="Q72" s="1308" t="n"/>
      <c r="R72" s="1308" t="n"/>
      <c r="S72" s="1272" t="n"/>
      <c r="T72" s="1272" t="n"/>
      <c r="U72" s="1272" t="n"/>
      <c r="V72" s="1308" t="n"/>
      <c r="W72" s="1272" t="n"/>
      <c r="X72" s="1272" t="n"/>
      <c r="Y72" s="1272" t="n"/>
      <c r="Z72" s="1308" t="n"/>
      <c r="AA72" s="1272" t="n"/>
      <c r="AB72" s="1272" t="n"/>
      <c r="AC72" s="1272" t="n"/>
      <c r="AD72" s="1308" t="n"/>
      <c r="AE72" s="1272" t="n"/>
      <c r="AF72" s="1272" t="n"/>
      <c r="AG72" s="1272" t="n"/>
      <c r="AH72" s="1272" t="n"/>
      <c r="AI72" s="1272" t="n"/>
      <c r="AJ72" s="1272" t="n"/>
      <c r="AK72" s="1272" t="n"/>
      <c r="AL72" s="1272" t="n"/>
      <c r="AM72" s="1272" t="n"/>
      <c r="AN72" s="1272" t="n"/>
      <c r="AO72" s="1272" t="n"/>
      <c r="AP72" s="1272" t="n"/>
      <c r="AQ72" s="1277" t="n"/>
    </row>
    <row r="73" hidden="1" ht="9" customHeight="1" s="1676">
      <c r="A73" s="1304" t="n"/>
      <c r="B73" s="1324" t="inlineStr">
        <is>
          <t>Text_15</t>
        </is>
      </c>
      <c r="C73" s="1272" t="n"/>
      <c r="D73" s="1291" t="n"/>
      <c r="E73" s="1312" t="n"/>
      <c r="F73" s="1312" t="n"/>
      <c r="G73" s="1272" t="n"/>
      <c r="H73" s="1291" t="n"/>
      <c r="I73" s="1312" t="n"/>
      <c r="J73" s="1312" t="n"/>
      <c r="K73" s="1272" t="n"/>
      <c r="L73" s="1291">
        <f t="array" ref="L73">L72/P72-1</f>
        <v/>
      </c>
      <c r="M73" s="1312" t="n"/>
      <c r="N73" s="1312" t="n"/>
      <c r="O73" s="1272" t="n"/>
      <c r="P73" s="1291" t="n"/>
      <c r="Q73" s="1312" t="n"/>
      <c r="R73" s="1312" t="n"/>
      <c r="S73" s="1272" t="n"/>
      <c r="T73" s="1272" t="n"/>
      <c r="U73" s="1272" t="n"/>
      <c r="V73" s="1312" t="n"/>
      <c r="W73" s="1272" t="n"/>
      <c r="X73" s="1272" t="n"/>
      <c r="Y73" s="1272" t="n"/>
      <c r="Z73" s="1312" t="n"/>
      <c r="AA73" s="1272" t="n"/>
      <c r="AB73" s="1272" t="n"/>
      <c r="AC73" s="1272" t="n"/>
      <c r="AD73" s="1312" t="n"/>
      <c r="AE73" s="1272" t="n"/>
      <c r="AF73" s="1272" t="n"/>
      <c r="AG73" s="1272" t="n"/>
      <c r="AH73" s="1272" t="n"/>
      <c r="AI73" s="1272" t="n"/>
      <c r="AJ73" s="1272" t="n"/>
      <c r="AK73" s="1272" t="n"/>
      <c r="AL73" s="1272" t="n"/>
      <c r="AM73" s="1272" t="n"/>
      <c r="AN73" s="1272" t="n"/>
      <c r="AO73" s="1272" t="n"/>
      <c r="AP73" s="1272" t="n"/>
      <c r="AQ73" s="1277" t="n"/>
    </row>
    <row r="74" hidden="1" ht="9" customHeight="1" s="1676">
      <c r="A74" s="1304" t="n"/>
      <c r="B74" s="1272" t="n"/>
      <c r="C74" s="1272" t="n"/>
      <c r="D74" s="1272" t="n"/>
      <c r="E74" s="1272" t="n"/>
      <c r="F74" s="1272" t="n"/>
      <c r="G74" s="1272" t="n"/>
      <c r="H74" s="1272" t="n"/>
      <c r="I74" s="1272" t="n"/>
      <c r="J74" s="1272" t="n"/>
      <c r="K74" s="1272" t="n"/>
      <c r="L74" s="1272" t="n"/>
      <c r="M74" s="1272" t="n"/>
      <c r="N74" s="1272" t="n"/>
      <c r="O74" s="1272" t="n"/>
      <c r="P74" s="1272" t="n"/>
      <c r="Q74" s="1272" t="n"/>
      <c r="R74" s="1272" t="n"/>
      <c r="S74" s="1272" t="n"/>
      <c r="T74" s="1272" t="n"/>
      <c r="U74" s="1272" t="n"/>
      <c r="V74" s="1272" t="n"/>
      <c r="W74" s="1272" t="n"/>
      <c r="X74" s="1272" t="n"/>
      <c r="Y74" s="1272" t="n"/>
      <c r="Z74" s="1272" t="n"/>
      <c r="AA74" s="1272" t="n"/>
      <c r="AB74" s="1272" t="n"/>
      <c r="AC74" s="1272" t="n"/>
      <c r="AD74" s="1272" t="n"/>
      <c r="AE74" s="1272" t="n"/>
      <c r="AF74" s="1272" t="n"/>
      <c r="AG74" s="1272" t="n"/>
      <c r="AH74" s="1272" t="n"/>
      <c r="AI74" s="1272" t="n"/>
      <c r="AJ74" s="1272" t="n"/>
      <c r="AK74" s="1272" t="n"/>
      <c r="AL74" s="1272" t="n"/>
      <c r="AM74" s="1272" t="n"/>
      <c r="AN74" s="1272" t="n"/>
      <c r="AO74" s="1272" t="n"/>
      <c r="AP74" s="1272" t="n"/>
      <c r="AQ74" s="1277" t="n"/>
    </row>
    <row r="75" ht="13.55" customHeight="1" s="1676">
      <c r="A75" s="1304" t="n"/>
      <c r="B75" s="1272" t="n"/>
      <c r="C75" s="1272" t="n"/>
      <c r="D75" s="1272" t="n"/>
      <c r="E75" s="1272" t="n"/>
      <c r="F75" s="1272" t="n"/>
      <c r="G75" s="1272" t="n"/>
      <c r="H75" s="1272" t="n"/>
      <c r="I75" s="1272" t="n"/>
      <c r="J75" s="1272" t="n"/>
      <c r="K75" s="1272" t="n"/>
      <c r="L75" s="1272" t="n"/>
      <c r="M75" s="1272" t="n"/>
      <c r="N75" s="1272" t="n"/>
      <c r="O75" s="1272" t="n"/>
      <c r="P75" s="1272" t="n"/>
      <c r="Q75" s="1272" t="n"/>
      <c r="R75" s="1272" t="n"/>
      <c r="S75" s="1272" t="n"/>
      <c r="T75" s="1272" t="n"/>
      <c r="U75" s="1272" t="n"/>
      <c r="V75" s="1272" t="n"/>
      <c r="W75" s="1272" t="n"/>
      <c r="X75" s="1272" t="n"/>
      <c r="Y75" s="1272" t="n"/>
      <c r="Z75" s="1272" t="n"/>
      <c r="AA75" s="1272" t="n"/>
      <c r="AB75" s="1272" t="n"/>
      <c r="AC75" s="1272" t="n"/>
      <c r="AD75" s="1272" t="n"/>
      <c r="AE75" s="1272" t="n"/>
      <c r="AF75" s="1272" t="n"/>
      <c r="AG75" s="1272" t="n"/>
      <c r="AH75" s="1272" t="n"/>
      <c r="AI75" s="1272" t="n"/>
      <c r="AJ75" s="1272" t="n"/>
      <c r="AK75" s="1272" t="n"/>
      <c r="AL75" s="1272" t="n"/>
      <c r="AM75" s="1272" t="n"/>
      <c r="AN75" s="1272" t="n"/>
      <c r="AO75" s="1272" t="n"/>
      <c r="AP75" s="1272" t="n"/>
      <c r="AQ75" s="1277" t="n"/>
    </row>
    <row r="76" ht="13.55" customHeight="1" s="1676">
      <c r="A76" s="1304" t="n"/>
      <c r="B76" s="1328" t="inlineStr">
        <is>
          <t>Text_666</t>
        </is>
      </c>
      <c r="C76" s="1272" t="n"/>
      <c r="D76" s="1273" t="inlineStr">
        <is>
          <t>Text_618</t>
        </is>
      </c>
      <c r="E76" s="1274" t="inlineStr">
        <is>
          <t>Text_643</t>
        </is>
      </c>
      <c r="F76" s="1275" t="n"/>
      <c r="G76" s="1272" t="n"/>
      <c r="H76" s="1273" t="inlineStr">
        <is>
          <t>Text_618</t>
        </is>
      </c>
      <c r="I76" s="1274" t="inlineStr">
        <is>
          <t>Text_643</t>
        </is>
      </c>
      <c r="J76" s="1275" t="n"/>
      <c r="K76" s="1272" t="n"/>
      <c r="L76" s="1273" t="inlineStr">
        <is>
          <t>Text_618</t>
        </is>
      </c>
      <c r="M76" s="1274" t="inlineStr">
        <is>
          <t>Text_643</t>
        </is>
      </c>
      <c r="N76" s="1275" t="n"/>
      <c r="O76" s="1272" t="n"/>
      <c r="P76" s="1273" t="inlineStr">
        <is>
          <t>Text_618</t>
        </is>
      </c>
      <c r="Q76" s="1274" t="inlineStr">
        <is>
          <t>Text_643</t>
        </is>
      </c>
      <c r="R76" s="1275" t="n"/>
      <c r="S76" s="1272" t="n"/>
      <c r="T76" s="1272" t="n"/>
      <c r="U76" s="1272" t="n"/>
      <c r="V76" s="1275" t="n"/>
      <c r="W76" s="1272" t="n"/>
      <c r="X76" s="1272" t="n"/>
      <c r="Y76" s="1272" t="n"/>
      <c r="Z76" s="1275" t="n"/>
      <c r="AA76" s="1272" t="n"/>
      <c r="AB76" s="1272" t="n"/>
      <c r="AC76" s="1272" t="n"/>
      <c r="AD76" s="1275" t="n"/>
      <c r="AE76" s="1272" t="n"/>
      <c r="AF76" s="1272" t="n"/>
      <c r="AG76" s="1272" t="n"/>
      <c r="AH76" s="1272" t="n"/>
      <c r="AI76" s="1272" t="n"/>
      <c r="AJ76" s="1272" t="n"/>
      <c r="AK76" s="1272" t="n"/>
      <c r="AL76" s="1272" t="n"/>
      <c r="AM76" s="1272" t="n"/>
      <c r="AN76" s="1272" t="n"/>
      <c r="AO76" s="1272" t="n"/>
      <c r="AP76" s="1272" t="n"/>
      <c r="AQ76" s="1277" t="n"/>
    </row>
    <row r="77" ht="15.75" customHeight="1" s="1676">
      <c r="A77" s="1304" t="n"/>
      <c r="B77" s="1278" t="inlineStr">
        <is>
          <t>Text_645</t>
        </is>
      </c>
      <c r="C77" s="1272" t="n"/>
      <c r="D77" s="1347" t="n">
        <v>1880.94197668863</v>
      </c>
      <c r="E77" s="1282" t="n">
        <v>2320.58267517236</v>
      </c>
      <c r="F77" s="1274" t="inlineStr">
        <is>
          <t>Text_646</t>
        </is>
      </c>
      <c r="G77" s="1272" t="n"/>
      <c r="H77" s="1347" t="n">
        <v>1734.33183861045</v>
      </c>
      <c r="I77" s="1282" t="n">
        <v>2084.80057402358</v>
      </c>
      <c r="J77" s="1274" t="inlineStr">
        <is>
          <t>Text_646</t>
        </is>
      </c>
      <c r="K77" s="1272" t="n"/>
      <c r="L77" s="1347" t="n">
        <v>2117.7084766752</v>
      </c>
      <c r="M77" s="1282" t="n">
        <v>2135.01202125404</v>
      </c>
      <c r="N77" s="1322" t="n"/>
      <c r="O77" s="1272" t="n"/>
      <c r="P77" s="1347" t="n">
        <v>1789.95487274619</v>
      </c>
      <c r="Q77" s="1282">
        <f t="array" ref="Q77">P77</f>
        <v/>
      </c>
      <c r="R77" s="1322" t="n"/>
      <c r="S77" s="1272" t="n"/>
      <c r="T77" s="1272" t="n"/>
      <c r="U77" s="1272" t="n"/>
      <c r="V77" s="1322" t="n"/>
      <c r="W77" s="1272" t="n"/>
      <c r="X77" s="1272" t="n"/>
      <c r="Y77" s="1272" t="n"/>
      <c r="Z77" s="1322" t="n"/>
      <c r="AA77" s="1272" t="n"/>
      <c r="AB77" s="1272" t="n"/>
      <c r="AC77" s="1272" t="n"/>
      <c r="AD77" s="1322" t="n"/>
      <c r="AE77" s="1272" t="n"/>
      <c r="AF77" s="1272" t="n"/>
      <c r="AG77" s="1272" t="n"/>
      <c r="AH77" s="1272" t="n"/>
      <c r="AI77" s="1272" t="n"/>
      <c r="AJ77" s="1272" t="n"/>
      <c r="AK77" s="1272" t="n"/>
      <c r="AL77" s="1272" t="n"/>
      <c r="AM77" s="1272" t="n"/>
      <c r="AN77" s="1272" t="n"/>
      <c r="AO77" s="1272" t="n"/>
      <c r="AP77" s="1272" t="n"/>
      <c r="AQ77" s="1277" t="n"/>
    </row>
    <row r="78" ht="8" customHeight="1" s="1676">
      <c r="A78" s="1284" t="n"/>
      <c r="B78" s="1285" t="n"/>
      <c r="C78" s="1272" t="n"/>
      <c r="D78" s="2339" t="n"/>
      <c r="E78" s="2339" t="n"/>
      <c r="F78" s="2340" t="n"/>
      <c r="G78" s="1272" t="n"/>
      <c r="H78" s="2339" t="n"/>
      <c r="I78" s="2339" t="n"/>
      <c r="J78" s="2340" t="n"/>
      <c r="K78" s="1272" t="n"/>
      <c r="L78" s="2339" t="n"/>
      <c r="M78" s="2339" t="n"/>
      <c r="N78" s="2340" t="n"/>
      <c r="O78" s="1272" t="n"/>
      <c r="P78" s="2339" t="n"/>
      <c r="Q78" s="1288" t="n"/>
      <c r="R78" s="2340" t="n"/>
      <c r="S78" s="1272" t="n"/>
      <c r="T78" s="2340" t="n"/>
      <c r="U78" s="1291" t="n"/>
      <c r="V78" s="2340" t="n"/>
      <c r="W78" s="1272" t="n"/>
      <c r="X78" s="2340" t="n"/>
      <c r="Y78" s="1291" t="n"/>
      <c r="Z78" s="2340" t="n"/>
      <c r="AA78" s="1272" t="n"/>
      <c r="AB78" s="2340" t="n"/>
      <c r="AC78" s="1291" t="n"/>
      <c r="AD78" s="2340" t="n"/>
      <c r="AE78" s="1272" t="n"/>
      <c r="AF78" s="2340" t="n"/>
      <c r="AG78" s="1291" t="n"/>
      <c r="AH78" s="1272" t="n"/>
      <c r="AI78" s="1272" t="n"/>
      <c r="AJ78" s="1272" t="n"/>
      <c r="AK78" s="1272" t="n"/>
      <c r="AL78" s="1272" t="n"/>
      <c r="AM78" s="1272" t="n"/>
      <c r="AN78" s="1272" t="n"/>
      <c r="AO78" s="1272" t="n"/>
      <c r="AP78" s="1272" t="n"/>
      <c r="AQ78" s="1277" t="n"/>
    </row>
    <row r="79" ht="13.55" customHeight="1" s="1676">
      <c r="A79" s="1304" t="n"/>
      <c r="B79" s="1290" t="inlineStr">
        <is>
          <t>Text_132</t>
        </is>
      </c>
      <c r="C79" s="1291" t="n"/>
      <c r="D79" s="1297" t="n">
        <v>1152.49277534022</v>
      </c>
      <c r="E79" s="1293">
        <f t="array" ref="E79">D79/$D$86</f>
        <v/>
      </c>
      <c r="F79" s="1294">
        <f t="array" ref="F79">D79/H79-1</f>
        <v/>
      </c>
      <c r="G79" s="1291" t="n"/>
      <c r="H79" s="1297" t="n">
        <v>1080.52333454271</v>
      </c>
      <c r="I79" s="1293">
        <f t="array" ref="I79">H79/$H$86</f>
        <v/>
      </c>
      <c r="J79" s="1294">
        <f t="array" ref="J79">H79/L79-1</f>
        <v/>
      </c>
      <c r="K79" s="1291" t="n"/>
      <c r="L79" s="2341" t="n">
        <v>867.927036842486</v>
      </c>
      <c r="M79" s="1293">
        <f t="array" ref="M79">L79/$L$86</f>
        <v/>
      </c>
      <c r="N79" s="1294">
        <f t="array" ref="N79">L79/P79-1</f>
        <v/>
      </c>
      <c r="O79" s="1295" t="n"/>
      <c r="P79" s="2341" t="n">
        <v>483.43011776504</v>
      </c>
      <c r="Q79" s="1293">
        <f t="array" ref="Q79">P79/$P$86</f>
        <v/>
      </c>
      <c r="R79" s="1275" t="n"/>
      <c r="S79" s="1272" t="n"/>
      <c r="T79" s="1272" t="n"/>
      <c r="U79" s="1272" t="n"/>
      <c r="V79" s="1275" t="n"/>
      <c r="W79" s="1272" t="n"/>
      <c r="X79" s="1272" t="n"/>
      <c r="Y79" s="1272" t="n"/>
      <c r="Z79" s="1275" t="n"/>
      <c r="AA79" s="1272" t="n"/>
      <c r="AB79" s="1272" t="n"/>
      <c r="AC79" s="1272" t="n"/>
      <c r="AD79" s="1275" t="n"/>
      <c r="AE79" s="1272" t="n"/>
      <c r="AF79" s="1272" t="n"/>
      <c r="AG79" s="1272" t="n"/>
      <c r="AH79" s="1272" t="n"/>
      <c r="AI79" s="1272" t="n"/>
      <c r="AJ79" s="1272" t="n"/>
      <c r="AK79" s="1272" t="n"/>
      <c r="AL79" s="1272" t="n"/>
      <c r="AM79" s="1272" t="n"/>
      <c r="AN79" s="1272" t="n"/>
      <c r="AO79" s="1272" t="n"/>
      <c r="AP79" s="1272" t="n"/>
      <c r="AQ79" s="1277" t="n"/>
    </row>
    <row r="80" ht="13.55" customHeight="1" s="1676">
      <c r="A80" s="1304" t="n"/>
      <c r="B80" s="1296" t="inlineStr">
        <is>
          <t>Text_667</t>
        </is>
      </c>
      <c r="C80" s="1272" t="n"/>
      <c r="D80" s="1297" t="n">
        <v>353.311846914893</v>
      </c>
      <c r="E80" s="1293">
        <f t="array" ref="E80">D80/$D$86</f>
        <v/>
      </c>
      <c r="F80" s="1294">
        <f t="array" ref="F80">D80/H80-1</f>
        <v/>
      </c>
      <c r="G80" s="1272" t="n"/>
      <c r="H80" s="1297" t="n">
        <v>443.090714820557</v>
      </c>
      <c r="I80" s="1293">
        <f t="array" ref="I80">H80/$H$86</f>
        <v/>
      </c>
      <c r="J80" s="1294">
        <f t="array" ref="J80">H80/L80-1</f>
        <v/>
      </c>
      <c r="K80" s="1272" t="n"/>
      <c r="L80" s="2342" t="n">
        <v>328.628254616879</v>
      </c>
      <c r="M80" s="1298">
        <f t="array" ref="M80">L80/$L$86</f>
        <v/>
      </c>
      <c r="N80" s="1298" t="n"/>
      <c r="O80" s="2340" t="n"/>
      <c r="P80" s="2342" t="n">
        <v>187.965568226</v>
      </c>
      <c r="Q80" s="1298">
        <f t="array" ref="Q80">P80/$P$86</f>
        <v/>
      </c>
      <c r="R80" s="1298" t="n"/>
      <c r="S80" s="1272" t="n"/>
      <c r="T80" s="1272" t="n"/>
      <c r="U80" s="1272" t="n"/>
      <c r="V80" s="1298" t="n"/>
      <c r="W80" s="1272" t="n"/>
      <c r="X80" s="1272" t="n"/>
      <c r="Y80" s="1272" t="n"/>
      <c r="Z80" s="1298" t="n"/>
      <c r="AA80" s="1272" t="n"/>
      <c r="AB80" s="1272" t="n"/>
      <c r="AC80" s="1272" t="n"/>
      <c r="AD80" s="1298" t="n"/>
      <c r="AE80" s="1272" t="n"/>
      <c r="AF80" s="1272" t="n"/>
      <c r="AG80" s="1272" t="n"/>
      <c r="AH80" s="1272" t="n"/>
      <c r="AI80" s="1272" t="n"/>
      <c r="AJ80" s="1272" t="n"/>
      <c r="AK80" s="1272" t="n"/>
      <c r="AL80" s="1272" t="n"/>
      <c r="AM80" s="1272" t="n"/>
      <c r="AN80" s="1272" t="n"/>
      <c r="AO80" s="1272" t="n"/>
      <c r="AP80" s="1272" t="n"/>
      <c r="AQ80" s="1277" t="n"/>
    </row>
    <row r="81" ht="13.55" customHeight="1" s="1676">
      <c r="A81" s="1304" t="n"/>
      <c r="B81" s="1296" t="inlineStr">
        <is>
          <t>Text_668</t>
        </is>
      </c>
      <c r="C81" s="1272" t="n"/>
      <c r="D81" s="1297" t="n">
        <v>272.096709967256</v>
      </c>
      <c r="E81" s="1293">
        <f t="array" ref="E81">D81/$D$86</f>
        <v/>
      </c>
      <c r="F81" s="1294">
        <f t="array" ref="F81">D81/H81-1</f>
        <v/>
      </c>
      <c r="G81" s="1272" t="n"/>
      <c r="H81" s="1297" t="n">
        <v>493.964556217693</v>
      </c>
      <c r="I81" s="1293">
        <f t="array" ref="I81">H81/$H$86</f>
        <v/>
      </c>
      <c r="J81" s="1294">
        <f t="array" ref="J81">H81/L81-1</f>
        <v/>
      </c>
      <c r="K81" s="1272" t="n"/>
      <c r="L81" s="2342" t="n">
        <v>417.840013607305</v>
      </c>
      <c r="M81" s="1298">
        <f t="array" ref="M81">L81/$L$86</f>
        <v/>
      </c>
      <c r="N81" s="1298" t="n"/>
      <c r="O81" s="2340" t="n"/>
      <c r="P81" s="2342" t="n">
        <v>288.130823197375</v>
      </c>
      <c r="Q81" s="1298">
        <f t="array" ref="Q81">P81/$P$86</f>
        <v/>
      </c>
      <c r="R81" s="1298" t="n"/>
      <c r="S81" s="1272" t="n"/>
      <c r="T81" s="1272" t="n"/>
      <c r="U81" s="1272" t="n"/>
      <c r="V81" s="1298" t="n"/>
      <c r="W81" s="1272" t="n"/>
      <c r="X81" s="1272" t="n"/>
      <c r="Y81" s="1272" t="n"/>
      <c r="Z81" s="1298" t="n"/>
      <c r="AA81" s="1272" t="n"/>
      <c r="AB81" s="1272" t="n"/>
      <c r="AC81" s="1272" t="n"/>
      <c r="AD81" s="1298" t="n"/>
      <c r="AE81" s="1272" t="n"/>
      <c r="AF81" s="1272" t="n"/>
      <c r="AG81" s="1272" t="n"/>
      <c r="AH81" s="1272" t="n"/>
      <c r="AI81" s="1272" t="n"/>
      <c r="AJ81" s="1272" t="n"/>
      <c r="AK81" s="1272" t="n"/>
      <c r="AL81" s="1272" t="n"/>
      <c r="AM81" s="1272" t="n"/>
      <c r="AN81" s="1272" t="n"/>
      <c r="AO81" s="1272" t="n"/>
      <c r="AP81" s="1272" t="n"/>
      <c r="AQ81" s="1277" t="n"/>
    </row>
    <row r="82" ht="13.55" customHeight="1" s="1676">
      <c r="A82" s="1304" t="n"/>
      <c r="B82" s="1296" t="inlineStr">
        <is>
          <t>Text_656</t>
        </is>
      </c>
      <c r="C82" s="1272" t="n"/>
      <c r="D82" s="1297" t="n">
        <v>113.168312019041</v>
      </c>
      <c r="E82" s="1298" t="n"/>
      <c r="F82" s="1298" t="n"/>
      <c r="G82" s="1272" t="n"/>
      <c r="H82" s="1297" t="n">
        <v>118.571568602808</v>
      </c>
      <c r="I82" s="1293">
        <f t="array" ref="I82">H82/$H$86</f>
        <v/>
      </c>
      <c r="J82" s="1298" t="n"/>
      <c r="K82" s="1272" t="n"/>
      <c r="L82" s="2342" t="n">
        <v>76.21437840263449</v>
      </c>
      <c r="M82" s="1298">
        <f t="array" ref="M82">L82/$L$86</f>
        <v/>
      </c>
      <c r="N82" s="1298" t="n"/>
      <c r="O82" s="2340" t="n"/>
      <c r="P82" s="2342" t="n">
        <v>65.5767903701711</v>
      </c>
      <c r="Q82" s="1298">
        <f t="array" ref="Q82">P82/$P$86</f>
        <v/>
      </c>
      <c r="R82" s="1298" t="n"/>
      <c r="S82" s="1272" t="n"/>
      <c r="T82" s="1272" t="n"/>
      <c r="U82" s="1272" t="n"/>
      <c r="V82" s="1298" t="n"/>
      <c r="W82" s="1272" t="n"/>
      <c r="X82" s="1272" t="n"/>
      <c r="Y82" s="1272" t="n"/>
      <c r="Z82" s="1298" t="n"/>
      <c r="AA82" s="1272" t="n"/>
      <c r="AB82" s="1272" t="n"/>
      <c r="AC82" s="1272" t="n"/>
      <c r="AD82" s="1298" t="n"/>
      <c r="AE82" s="1272" t="n"/>
      <c r="AF82" s="1272" t="n"/>
      <c r="AG82" s="1272" t="n"/>
      <c r="AH82" s="1272" t="n"/>
      <c r="AI82" s="1272" t="n"/>
      <c r="AJ82" s="1272" t="n"/>
      <c r="AK82" s="1272" t="n"/>
      <c r="AL82" s="1272" t="n"/>
      <c r="AM82" s="1272" t="n"/>
      <c r="AN82" s="1272" t="n"/>
      <c r="AO82" s="1272" t="n"/>
      <c r="AP82" s="1272" t="n"/>
      <c r="AQ82" s="1277" t="n"/>
    </row>
    <row r="83" ht="13.55" customHeight="1" s="1676">
      <c r="A83" s="1304" t="n"/>
      <c r="B83" s="1296" t="inlineStr">
        <is>
          <t>Text_669</t>
        </is>
      </c>
      <c r="C83" s="1272" t="n"/>
      <c r="D83" s="1297" t="n">
        <v>16.3463582787258</v>
      </c>
      <c r="E83" s="1298" t="n"/>
      <c r="F83" s="1298" t="n"/>
      <c r="G83" s="1272" t="n"/>
      <c r="H83" s="1297" t="n">
        <v>17.6255656372886</v>
      </c>
      <c r="I83" s="1298" t="n"/>
      <c r="J83" s="1298" t="n"/>
      <c r="K83" s="1272" t="n"/>
      <c r="L83" s="2342" t="n">
        <v>16.8347071651385</v>
      </c>
      <c r="M83" s="1298">
        <f t="array" ref="M83">L83/$L$86</f>
        <v/>
      </c>
      <c r="N83" s="1298" t="n"/>
      <c r="O83" s="2340" t="n"/>
      <c r="P83" s="2342" t="n">
        <v>14.1163327273258</v>
      </c>
      <c r="Q83" s="1298">
        <f t="array" ref="Q83">P83/$P$86</f>
        <v/>
      </c>
      <c r="R83" s="1298" t="n"/>
      <c r="S83" s="1272" t="n"/>
      <c r="T83" s="1272" t="n"/>
      <c r="U83" s="1272" t="n"/>
      <c r="V83" s="1298" t="n"/>
      <c r="W83" s="1272" t="n"/>
      <c r="X83" s="1272" t="n"/>
      <c r="Y83" s="1272" t="n"/>
      <c r="Z83" s="1298" t="n"/>
      <c r="AA83" s="1272" t="n"/>
      <c r="AB83" s="1272" t="n"/>
      <c r="AC83" s="1272" t="n"/>
      <c r="AD83" s="1298" t="n"/>
      <c r="AE83" s="1272" t="n"/>
      <c r="AF83" s="1272" t="n"/>
      <c r="AG83" s="1272" t="n"/>
      <c r="AH83" s="1272" t="n"/>
      <c r="AI83" s="1272" t="n"/>
      <c r="AJ83" s="1272" t="n"/>
      <c r="AK83" s="1272" t="n"/>
      <c r="AL83" s="1272" t="n"/>
      <c r="AM83" s="1272" t="n"/>
      <c r="AN83" s="1272" t="n"/>
      <c r="AO83" s="1272" t="n"/>
      <c r="AP83" s="1272" t="n"/>
      <c r="AQ83" s="1277" t="n"/>
    </row>
    <row r="84" ht="13.55" customHeight="1" s="1676">
      <c r="A84" s="1304" t="n"/>
      <c r="B84" s="1296" t="inlineStr">
        <is>
          <t>Text_657</t>
        </is>
      </c>
      <c r="C84" s="1272" t="n"/>
      <c r="D84" s="2342" t="n"/>
      <c r="E84" s="1298" t="n"/>
      <c r="F84" s="1298" t="n"/>
      <c r="G84" s="1272" t="n"/>
      <c r="H84" s="2342" t="n"/>
      <c r="I84" s="1298" t="n"/>
      <c r="J84" s="1298" t="n"/>
      <c r="K84" s="1272" t="n"/>
      <c r="L84" s="2342" t="n">
        <v>0</v>
      </c>
      <c r="M84" s="1298">
        <f t="array" ref="M84">L84/$L$86</f>
        <v/>
      </c>
      <c r="N84" s="1298" t="n"/>
      <c r="O84" s="2340" t="n"/>
      <c r="P84" s="2342" t="n">
        <v>22.0096832341664</v>
      </c>
      <c r="Q84" s="1298">
        <f t="array" ref="Q84">P84/$P$86</f>
        <v/>
      </c>
      <c r="R84" s="1298" t="n"/>
      <c r="S84" s="1272" t="n"/>
      <c r="T84" s="1272" t="n"/>
      <c r="U84" s="1272" t="n"/>
      <c r="V84" s="1298" t="n"/>
      <c r="W84" s="1272" t="n"/>
      <c r="X84" s="1272" t="n"/>
      <c r="Y84" s="1272" t="n"/>
      <c r="Z84" s="1298" t="n"/>
      <c r="AA84" s="1272" t="n"/>
      <c r="AB84" s="1272" t="n"/>
      <c r="AC84" s="1272" t="n"/>
      <c r="AD84" s="1298" t="n"/>
      <c r="AE84" s="1272" t="n"/>
      <c r="AF84" s="1272" t="n"/>
      <c r="AG84" s="1272" t="n"/>
      <c r="AH84" s="1272" t="n"/>
      <c r="AI84" s="1272" t="n"/>
      <c r="AJ84" s="1272" t="n"/>
      <c r="AK84" s="1272" t="n"/>
      <c r="AL84" s="1272" t="n"/>
      <c r="AM84" s="1272" t="n"/>
      <c r="AN84" s="1272" t="n"/>
      <c r="AO84" s="1272" t="n"/>
      <c r="AP84" s="1272" t="n"/>
      <c r="AQ84" s="1277" t="n"/>
    </row>
    <row r="85" ht="8" customHeight="1" s="1676">
      <c r="A85" s="1284" t="n"/>
      <c r="B85" s="1301" t="n"/>
      <c r="C85" s="1272" t="n"/>
      <c r="D85" s="2343" t="n"/>
      <c r="E85" s="2340" t="n"/>
      <c r="F85" s="2340" t="n"/>
      <c r="G85" s="1272" t="n"/>
      <c r="H85" s="2343" t="n"/>
      <c r="I85" s="2340" t="n"/>
      <c r="J85" s="2340" t="n"/>
      <c r="K85" s="1272" t="n"/>
      <c r="L85" s="2343" t="n"/>
      <c r="M85" s="2340" t="n"/>
      <c r="N85" s="2340" t="n"/>
      <c r="O85" s="2340" t="n"/>
      <c r="P85" s="2343" t="n"/>
      <c r="Q85" s="1298" t="n"/>
      <c r="R85" s="2340" t="n"/>
      <c r="S85" s="1272" t="n"/>
      <c r="T85" s="2340" t="n"/>
      <c r="U85" s="1291" t="n"/>
      <c r="V85" s="2340" t="n"/>
      <c r="W85" s="1272" t="n"/>
      <c r="X85" s="2340" t="n"/>
      <c r="Y85" s="1291" t="n"/>
      <c r="Z85" s="2340" t="n"/>
      <c r="AA85" s="1272" t="n"/>
      <c r="AB85" s="2340" t="n"/>
      <c r="AC85" s="1291" t="n"/>
      <c r="AD85" s="2340" t="n"/>
      <c r="AE85" s="1272" t="n"/>
      <c r="AF85" s="2340" t="n"/>
      <c r="AG85" s="1291" t="n"/>
      <c r="AH85" s="1272" t="n"/>
      <c r="AI85" s="1272" t="n"/>
      <c r="AJ85" s="1272" t="n"/>
      <c r="AK85" s="1272" t="n"/>
      <c r="AL85" s="1272" t="n"/>
      <c r="AM85" s="1272" t="n"/>
      <c r="AN85" s="1272" t="n"/>
      <c r="AO85" s="1272" t="n"/>
      <c r="AP85" s="1272" t="n"/>
      <c r="AQ85" s="1277" t="n"/>
    </row>
    <row r="86" ht="15.75" customHeight="1" s="1676">
      <c r="A86" s="1304" t="n"/>
      <c r="B86" s="1305" t="inlineStr">
        <is>
          <t>Text_658</t>
        </is>
      </c>
      <c r="C86" s="1306" t="n"/>
      <c r="D86" s="2344" t="n">
        <v>2111.92245518733</v>
      </c>
      <c r="E86" s="1308" t="n"/>
      <c r="F86" s="1308" t="n"/>
      <c r="G86" s="1306" t="n"/>
      <c r="H86" s="2344" t="n">
        <v>2033.17482831431</v>
      </c>
      <c r="I86" s="1308" t="n"/>
      <c r="J86" s="1308" t="n"/>
      <c r="K86" s="1306" t="n"/>
      <c r="L86" s="2344">
        <f t="array" ref="L86">SUM(L79:L85)</f>
        <v/>
      </c>
      <c r="M86" s="1308" t="n"/>
      <c r="N86" s="1308" t="n"/>
      <c r="O86" s="1306" t="n"/>
      <c r="P86" s="2344">
        <f t="array" ref="P86">SUM(P79:P85)</f>
        <v/>
      </c>
      <c r="Q86" s="1272" t="n"/>
      <c r="R86" s="1308" t="n"/>
      <c r="S86" s="1272" t="n"/>
      <c r="T86" s="1272" t="n"/>
      <c r="U86" s="1272" t="n"/>
      <c r="V86" s="1308" t="n"/>
      <c r="W86" s="1272" t="n"/>
      <c r="X86" s="1272" t="n"/>
      <c r="Y86" s="1272" t="n"/>
      <c r="Z86" s="1308" t="n"/>
      <c r="AA86" s="1272" t="n"/>
      <c r="AB86" s="1272" t="n"/>
      <c r="AC86" s="1272" t="n"/>
      <c r="AD86" s="1308" t="n"/>
      <c r="AE86" s="1272" t="n"/>
      <c r="AF86" s="1272" t="n"/>
      <c r="AG86" s="1272" t="n"/>
      <c r="AH86" s="1272" t="n"/>
      <c r="AI86" s="1272" t="n"/>
      <c r="AJ86" s="1272" t="n"/>
      <c r="AK86" s="1272" t="n"/>
      <c r="AL86" s="1272" t="n"/>
      <c r="AM86" s="1272" t="n"/>
      <c r="AN86" s="1272" t="n"/>
      <c r="AO86" s="1272" t="n"/>
      <c r="AP86" s="1272" t="n"/>
      <c r="AQ86" s="1277" t="n"/>
    </row>
    <row r="87" ht="14.05" customHeight="1" s="1676">
      <c r="A87" s="1304" t="n"/>
      <c r="B87" s="1311" t="inlineStr">
        <is>
          <t>Text_15</t>
        </is>
      </c>
      <c r="C87" s="1272" t="n"/>
      <c r="D87" s="1289">
        <f t="array" ref="D87">D86/H86-1</f>
        <v/>
      </c>
      <c r="E87" s="1312" t="n"/>
      <c r="F87" s="1312" t="n"/>
      <c r="G87" s="1272" t="n"/>
      <c r="H87" s="1289">
        <f t="array" ref="H87">H86/L86-1</f>
        <v/>
      </c>
      <c r="I87" s="1312" t="n"/>
      <c r="J87" s="1312" t="n"/>
      <c r="K87" s="1272" t="n"/>
      <c r="L87" s="1289">
        <f t="array" ref="L87">L86/P86-1</f>
        <v/>
      </c>
      <c r="M87" s="1312" t="n"/>
      <c r="N87" s="1312" t="n"/>
      <c r="O87" s="1272" t="n"/>
      <c r="P87" s="1289" t="n"/>
      <c r="Q87" s="1272" t="n"/>
      <c r="R87" s="1312" t="n"/>
      <c r="S87" s="1272" t="n"/>
      <c r="T87" s="1272" t="n"/>
      <c r="U87" s="1272" t="n"/>
      <c r="V87" s="1312" t="n"/>
      <c r="W87" s="1272" t="n"/>
      <c r="X87" s="1272" t="n"/>
      <c r="Y87" s="1272" t="n"/>
      <c r="Z87" s="1312" t="n"/>
      <c r="AA87" s="1272" t="n"/>
      <c r="AB87" s="1272" t="n"/>
      <c r="AC87" s="1272" t="n"/>
      <c r="AD87" s="1312" t="n"/>
      <c r="AE87" s="1272" t="n"/>
      <c r="AF87" s="1272" t="n"/>
      <c r="AG87" s="1272" t="n"/>
      <c r="AH87" s="1272" t="n"/>
      <c r="AI87" s="1272" t="n"/>
      <c r="AJ87" s="1272" t="n"/>
      <c r="AK87" s="1272" t="n"/>
      <c r="AL87" s="1272" t="n"/>
      <c r="AM87" s="1272" t="n"/>
      <c r="AN87" s="1272" t="n"/>
      <c r="AO87" s="1272" t="n"/>
      <c r="AP87" s="1272" t="n"/>
      <c r="AQ87" s="1277" t="n"/>
    </row>
    <row r="88" hidden="1" ht="9" customHeight="1" s="1676">
      <c r="A88" s="1304" t="n"/>
      <c r="B88" s="1313" t="inlineStr">
        <is>
          <t>Text_35</t>
        </is>
      </c>
      <c r="C88" s="1272" t="n"/>
      <c r="D88" s="2348" t="n"/>
      <c r="E88" s="1312" t="n"/>
      <c r="F88" s="1312" t="n"/>
      <c r="G88" s="1272" t="n"/>
      <c r="H88" s="2348" t="n"/>
      <c r="I88" s="1312" t="n"/>
      <c r="J88" s="1312" t="n"/>
      <c r="K88" s="1272" t="n"/>
      <c r="L88" s="2348">
        <f t="array" ref="L88">L99+L110-L86</f>
        <v/>
      </c>
      <c r="M88" s="1312" t="n"/>
      <c r="N88" s="1312" t="n"/>
      <c r="O88" s="1312" t="n"/>
      <c r="P88" s="2348">
        <f t="array" ref="P88">P99+P110-P86</f>
        <v/>
      </c>
      <c r="Q88" s="1272" t="n"/>
      <c r="R88" s="1312" t="n"/>
      <c r="S88" s="1272" t="n"/>
      <c r="T88" s="1272" t="n"/>
      <c r="U88" s="1272" t="n"/>
      <c r="V88" s="1312" t="n"/>
      <c r="W88" s="1272" t="n"/>
      <c r="X88" s="1272" t="n"/>
      <c r="Y88" s="1272" t="n"/>
      <c r="Z88" s="1312" t="n"/>
      <c r="AA88" s="1272" t="n"/>
      <c r="AB88" s="1272" t="n"/>
      <c r="AC88" s="1272" t="n"/>
      <c r="AD88" s="1312" t="n"/>
      <c r="AE88" s="1272" t="n"/>
      <c r="AF88" s="1272" t="n"/>
      <c r="AG88" s="1272" t="n"/>
      <c r="AH88" s="1272" t="n"/>
      <c r="AI88" s="1272" t="n"/>
      <c r="AJ88" s="1272" t="n"/>
      <c r="AK88" s="1272" t="n"/>
      <c r="AL88" s="1272" t="n"/>
      <c r="AM88" s="1272" t="n"/>
      <c r="AN88" s="1272" t="n"/>
      <c r="AO88" s="1272" t="n"/>
      <c r="AP88" s="1272" t="n"/>
      <c r="AQ88" s="1277" t="n"/>
    </row>
    <row r="89" hidden="1" ht="9" customHeight="1" s="1676">
      <c r="A89" s="1304" t="n"/>
      <c r="B89" s="1272" t="n"/>
      <c r="C89" s="1272" t="n"/>
      <c r="D89" s="1272" t="n"/>
      <c r="E89" s="1272" t="n"/>
      <c r="F89" s="1272" t="n"/>
      <c r="G89" s="1272" t="n"/>
      <c r="H89" s="1272" t="n"/>
      <c r="I89" s="1272" t="n"/>
      <c r="J89" s="1272" t="n"/>
      <c r="K89" s="1272" t="n"/>
      <c r="L89" s="1272" t="n"/>
      <c r="M89" s="1272" t="n"/>
      <c r="N89" s="1272" t="n"/>
      <c r="O89" s="1272" t="n"/>
      <c r="P89" s="1272" t="n"/>
      <c r="Q89" s="1272" t="n"/>
      <c r="R89" s="1272" t="n"/>
      <c r="S89" s="1272" t="n"/>
      <c r="T89" s="1272" t="n"/>
      <c r="U89" s="1272" t="n"/>
      <c r="V89" s="1272" t="n"/>
      <c r="W89" s="1272" t="n"/>
      <c r="X89" s="1272" t="n"/>
      <c r="Y89" s="1272" t="n"/>
      <c r="Z89" s="1272" t="n"/>
      <c r="AA89" s="1272" t="n"/>
      <c r="AB89" s="1272" t="n"/>
      <c r="AC89" s="1272" t="n"/>
      <c r="AD89" s="1272" t="n"/>
      <c r="AE89" s="1272" t="n"/>
      <c r="AF89" s="1272" t="n"/>
      <c r="AG89" s="1272" t="n"/>
      <c r="AH89" s="1272" t="n"/>
      <c r="AI89" s="1272" t="n"/>
      <c r="AJ89" s="1272" t="n"/>
      <c r="AK89" s="1272" t="n"/>
      <c r="AL89" s="1272" t="n"/>
      <c r="AM89" s="1272" t="n"/>
      <c r="AN89" s="1272" t="n"/>
      <c r="AO89" s="1272" t="n"/>
      <c r="AP89" s="1272" t="n"/>
      <c r="AQ89" s="1277" t="n"/>
    </row>
    <row r="90" hidden="1" ht="9" customHeight="1" s="1676">
      <c r="A90" s="1304" t="n"/>
      <c r="B90" s="1330" t="inlineStr">
        <is>
          <t>Text_670</t>
        </is>
      </c>
      <c r="C90" s="1272" t="n"/>
      <c r="D90" s="1318" t="n"/>
      <c r="E90" s="1275" t="n"/>
      <c r="F90" s="1275" t="n"/>
      <c r="G90" s="1272" t="n"/>
      <c r="H90" s="1318" t="n"/>
      <c r="I90" s="1275" t="n"/>
      <c r="J90" s="1275" t="n"/>
      <c r="K90" s="1272" t="n"/>
      <c r="L90" s="1273" t="inlineStr">
        <is>
          <t>Text_618</t>
        </is>
      </c>
      <c r="M90" s="1274" t="inlineStr">
        <is>
          <t>Text_643</t>
        </is>
      </c>
      <c r="N90" s="1275" t="n"/>
      <c r="O90" s="1272" t="n"/>
      <c r="P90" s="1273" t="inlineStr">
        <is>
          <t>Text_618</t>
        </is>
      </c>
      <c r="Q90" s="1274" t="inlineStr">
        <is>
          <t>Text_643</t>
        </is>
      </c>
      <c r="R90" s="1275" t="n"/>
      <c r="S90" s="1272" t="n"/>
      <c r="T90" s="1272" t="n"/>
      <c r="U90" s="1272" t="n"/>
      <c r="V90" s="1275" t="n"/>
      <c r="W90" s="1272" t="n"/>
      <c r="X90" s="1272" t="n"/>
      <c r="Y90" s="1272" t="n"/>
      <c r="Z90" s="1275" t="n"/>
      <c r="AA90" s="1272" t="n"/>
      <c r="AB90" s="1272" t="n"/>
      <c r="AC90" s="1272" t="n"/>
      <c r="AD90" s="1275" t="n"/>
      <c r="AE90" s="1272" t="n"/>
      <c r="AF90" s="1272" t="n"/>
      <c r="AG90" s="1272" t="n"/>
      <c r="AH90" s="1272" t="n"/>
      <c r="AI90" s="1272" t="n"/>
      <c r="AJ90" s="1272" t="n"/>
      <c r="AK90" s="1272" t="n"/>
      <c r="AL90" s="1272" t="n"/>
      <c r="AM90" s="1272" t="n"/>
      <c r="AN90" s="1272" t="n"/>
      <c r="AO90" s="1272" t="n"/>
      <c r="AP90" s="1272" t="n"/>
      <c r="AQ90" s="1277" t="n"/>
    </row>
    <row r="91" hidden="1" ht="15.75" customHeight="1" s="1676">
      <c r="A91" s="1304" t="n"/>
      <c r="B91" s="1319" t="inlineStr">
        <is>
          <t>Text_645</t>
        </is>
      </c>
      <c r="C91" s="1272" t="n"/>
      <c r="D91" s="1321" t="n"/>
      <c r="E91" s="1322" t="n"/>
      <c r="F91" s="1322" t="n"/>
      <c r="G91" s="1272" t="n"/>
      <c r="H91" s="1321" t="n"/>
      <c r="I91" s="1322" t="n"/>
      <c r="J91" s="1322" t="n"/>
      <c r="K91" s="1272" t="n"/>
      <c r="L91" s="1321" t="n">
        <v>1858.1934221059</v>
      </c>
      <c r="M91" s="1322" t="n">
        <v>2244.36669436903</v>
      </c>
      <c r="N91" s="1322" t="n"/>
      <c r="O91" s="1272" t="n"/>
      <c r="P91" s="1321" t="n">
        <v>2278.43706156145</v>
      </c>
      <c r="Q91" s="1322">
        <f t="array" ref="Q91">P91</f>
        <v/>
      </c>
      <c r="R91" s="1322" t="n"/>
      <c r="S91" s="1272" t="n"/>
      <c r="T91" s="1272" t="n"/>
      <c r="U91" s="1272" t="n"/>
      <c r="V91" s="1322" t="n"/>
      <c r="W91" s="1272" t="n"/>
      <c r="X91" s="1272" t="n"/>
      <c r="Y91" s="1272" t="n"/>
      <c r="Z91" s="1322" t="n"/>
      <c r="AA91" s="1272" t="n"/>
      <c r="AB91" s="1272" t="n"/>
      <c r="AC91" s="1272" t="n"/>
      <c r="AD91" s="1322" t="n"/>
      <c r="AE91" s="1272" t="n"/>
      <c r="AF91" s="1272" t="n"/>
      <c r="AG91" s="1272" t="n"/>
      <c r="AH91" s="1272" t="n"/>
      <c r="AI91" s="1272" t="n"/>
      <c r="AJ91" s="1272" t="n"/>
      <c r="AK91" s="1272" t="n"/>
      <c r="AL91" s="1272" t="n"/>
      <c r="AM91" s="1272" t="n"/>
      <c r="AN91" s="1272" t="n"/>
      <c r="AO91" s="1272" t="n"/>
      <c r="AP91" s="1272" t="n"/>
      <c r="AQ91" s="1277" t="n"/>
    </row>
    <row r="92" hidden="1" ht="8" customHeight="1" s="1676">
      <c r="A92" s="1284" t="n"/>
      <c r="B92" s="1323" t="n"/>
      <c r="C92" s="1272" t="n"/>
      <c r="D92" s="2340" t="n"/>
      <c r="E92" s="2340" t="n"/>
      <c r="F92" s="2340" t="n"/>
      <c r="G92" s="1272" t="n"/>
      <c r="H92" s="2340" t="n"/>
      <c r="I92" s="2340" t="n"/>
      <c r="J92" s="2340" t="n"/>
      <c r="K92" s="1272" t="n"/>
      <c r="L92" s="2340" t="n"/>
      <c r="M92" s="2340" t="n"/>
      <c r="N92" s="2340" t="n"/>
      <c r="O92" s="1272" t="n"/>
      <c r="P92" s="2340" t="n"/>
      <c r="Q92" s="1303" t="n"/>
      <c r="R92" s="2340" t="n"/>
      <c r="S92" s="1272" t="n"/>
      <c r="T92" s="2340" t="n"/>
      <c r="U92" s="1291" t="n"/>
      <c r="V92" s="2340" t="n"/>
      <c r="W92" s="1272" t="n"/>
      <c r="X92" s="2340" t="n"/>
      <c r="Y92" s="1291" t="n"/>
      <c r="Z92" s="2340" t="n"/>
      <c r="AA92" s="1272" t="n"/>
      <c r="AB92" s="2340" t="n"/>
      <c r="AC92" s="1291" t="n"/>
      <c r="AD92" s="2340" t="n"/>
      <c r="AE92" s="1272" t="n"/>
      <c r="AF92" s="2340" t="n"/>
      <c r="AG92" s="1291" t="n"/>
      <c r="AH92" s="1272" t="n"/>
      <c r="AI92" s="1272" t="n"/>
      <c r="AJ92" s="1272" t="n"/>
      <c r="AK92" s="1272" t="n"/>
      <c r="AL92" s="1272" t="n"/>
      <c r="AM92" s="1272" t="n"/>
      <c r="AN92" s="1272" t="n"/>
      <c r="AO92" s="1272" t="n"/>
      <c r="AP92" s="1272" t="n"/>
      <c r="AQ92" s="1277" t="n"/>
    </row>
    <row r="93" hidden="1" ht="9" customHeight="1" s="1676">
      <c r="A93" s="1304" t="n"/>
      <c r="B93" s="1327" t="inlineStr">
        <is>
          <t>Text_132</t>
        </is>
      </c>
      <c r="C93" s="1272" t="n"/>
      <c r="D93" s="2341" t="n"/>
      <c r="E93" s="1293" t="n"/>
      <c r="F93" s="1293" t="n"/>
      <c r="G93" s="1272" t="n"/>
      <c r="H93" s="2341" t="n"/>
      <c r="I93" s="1293" t="n"/>
      <c r="J93" s="1293" t="n"/>
      <c r="K93" s="1272" t="n"/>
      <c r="L93" s="2341" t="n">
        <v>805.205342240774</v>
      </c>
      <c r="M93" s="1293">
        <f t="array" ref="M93">L93/$L$99</f>
        <v/>
      </c>
      <c r="N93" s="1293" t="n"/>
      <c r="O93" s="1272" t="n"/>
      <c r="P93" s="2341" t="n">
        <v>446.003765336412</v>
      </c>
      <c r="Q93" s="1293">
        <f t="array" ref="Q93">P93/$P$99</f>
        <v/>
      </c>
      <c r="R93" s="1293" t="n"/>
      <c r="S93" s="1272" t="n"/>
      <c r="T93" s="1272" t="n"/>
      <c r="U93" s="1272" t="n"/>
      <c r="V93" s="1293" t="n"/>
      <c r="W93" s="1272" t="n"/>
      <c r="X93" s="1272" t="n"/>
      <c r="Y93" s="1272" t="n"/>
      <c r="Z93" s="1293" t="n"/>
      <c r="AA93" s="1272" t="n"/>
      <c r="AB93" s="1272" t="n"/>
      <c r="AC93" s="1272" t="n"/>
      <c r="AD93" s="1293" t="n"/>
      <c r="AE93" s="1272" t="n"/>
      <c r="AF93" s="1272" t="n"/>
      <c r="AG93" s="1272" t="n"/>
      <c r="AH93" s="1272" t="n"/>
      <c r="AI93" s="1272" t="n"/>
      <c r="AJ93" s="1272" t="n"/>
      <c r="AK93" s="1272" t="n"/>
      <c r="AL93" s="1272" t="n"/>
      <c r="AM93" s="1272" t="n"/>
      <c r="AN93" s="1272" t="n"/>
      <c r="AO93" s="1272" t="n"/>
      <c r="AP93" s="1272" t="n"/>
      <c r="AQ93" s="1277" t="n"/>
    </row>
    <row r="94" hidden="1" ht="9" customHeight="1" s="1676">
      <c r="A94" s="1304" t="n"/>
      <c r="B94" s="1324" t="inlineStr">
        <is>
          <t>Text_667</t>
        </is>
      </c>
      <c r="C94" s="1272" t="n"/>
      <c r="D94" s="2342" t="n"/>
      <c r="E94" s="1298" t="n"/>
      <c r="F94" s="1298" t="n"/>
      <c r="G94" s="1272" t="n"/>
      <c r="H94" s="2342" t="n"/>
      <c r="I94" s="1298" t="n"/>
      <c r="J94" s="1298" t="n"/>
      <c r="K94" s="1272" t="n"/>
      <c r="L94" s="2342" t="n">
        <v>290.432514386344</v>
      </c>
      <c r="M94" s="1298">
        <f t="array" ref="M94">L94/$L$99</f>
        <v/>
      </c>
      <c r="N94" s="1298" t="n"/>
      <c r="O94" s="1272" t="n"/>
      <c r="P94" s="2342" t="n">
        <v>213.943315209934</v>
      </c>
      <c r="Q94" s="1298">
        <f t="array" ref="Q94">P94/$P$99</f>
        <v/>
      </c>
      <c r="R94" s="1298" t="n"/>
      <c r="S94" s="1272" t="n"/>
      <c r="T94" s="1272" t="n"/>
      <c r="U94" s="1272" t="n"/>
      <c r="V94" s="1298" t="n"/>
      <c r="W94" s="1272" t="n"/>
      <c r="X94" s="1272" t="n"/>
      <c r="Y94" s="1272" t="n"/>
      <c r="Z94" s="1298" t="n"/>
      <c r="AA94" s="1272" t="n"/>
      <c r="AB94" s="1272" t="n"/>
      <c r="AC94" s="1272" t="n"/>
      <c r="AD94" s="1298" t="n"/>
      <c r="AE94" s="1272" t="n"/>
      <c r="AF94" s="1272" t="n"/>
      <c r="AG94" s="1272" t="n"/>
      <c r="AH94" s="1272" t="n"/>
      <c r="AI94" s="1272" t="n"/>
      <c r="AJ94" s="1272" t="n"/>
      <c r="AK94" s="1272" t="n"/>
      <c r="AL94" s="1272" t="n"/>
      <c r="AM94" s="1272" t="n"/>
      <c r="AN94" s="1272" t="n"/>
      <c r="AO94" s="1272" t="n"/>
      <c r="AP94" s="1272" t="n"/>
      <c r="AQ94" s="1277" t="n"/>
    </row>
    <row r="95" hidden="1" ht="9" customHeight="1" s="1676">
      <c r="A95" s="1304" t="n"/>
      <c r="B95" s="1324" t="inlineStr">
        <is>
          <t>Text_668</t>
        </is>
      </c>
      <c r="C95" s="1272" t="n"/>
      <c r="D95" s="2342" t="n"/>
      <c r="E95" s="1298" t="n"/>
      <c r="F95" s="1298" t="n"/>
      <c r="G95" s="1272" t="n"/>
      <c r="H95" s="2342" t="n"/>
      <c r="I95" s="1298" t="n"/>
      <c r="J95" s="1298" t="n"/>
      <c r="K95" s="1272" t="n"/>
      <c r="L95" s="2342" t="n">
        <v>296.458119741393</v>
      </c>
      <c r="M95" s="1298">
        <f t="array" ref="M95">L95/$L$99</f>
        <v/>
      </c>
      <c r="N95" s="1298" t="n"/>
      <c r="O95" s="1272" t="n"/>
      <c r="P95" s="2342" t="n">
        <v>187.517301814436</v>
      </c>
      <c r="Q95" s="1298">
        <f t="array" ref="Q95">P95/$P$99</f>
        <v/>
      </c>
      <c r="R95" s="1298" t="n"/>
      <c r="S95" s="1272" t="n"/>
      <c r="T95" s="1272" t="n"/>
      <c r="U95" s="1272" t="n"/>
      <c r="V95" s="1298" t="n"/>
      <c r="W95" s="1272" t="n"/>
      <c r="X95" s="1272" t="n"/>
      <c r="Y95" s="1272" t="n"/>
      <c r="Z95" s="1298" t="n"/>
      <c r="AA95" s="1272" t="n"/>
      <c r="AB95" s="1272" t="n"/>
      <c r="AC95" s="1272" t="n"/>
      <c r="AD95" s="1298" t="n"/>
      <c r="AE95" s="1272" t="n"/>
      <c r="AF95" s="1272" t="n"/>
      <c r="AG95" s="1272" t="n"/>
      <c r="AH95" s="1272" t="n"/>
      <c r="AI95" s="1272" t="n"/>
      <c r="AJ95" s="1272" t="n"/>
      <c r="AK95" s="1272" t="n"/>
      <c r="AL95" s="1272" t="n"/>
      <c r="AM95" s="1272" t="n"/>
      <c r="AN95" s="1272" t="n"/>
      <c r="AO95" s="1272" t="n"/>
      <c r="AP95" s="1272" t="n"/>
      <c r="AQ95" s="1277" t="n"/>
    </row>
    <row r="96" hidden="1" ht="9" customHeight="1" s="1676">
      <c r="A96" s="1304" t="n"/>
      <c r="B96" s="1324" t="inlineStr">
        <is>
          <t>Text_656</t>
        </is>
      </c>
      <c r="C96" s="1272" t="n"/>
      <c r="D96" s="2342" t="n"/>
      <c r="E96" s="1298" t="n"/>
      <c r="F96" s="1298" t="n"/>
      <c r="G96" s="1272" t="n"/>
      <c r="H96" s="2342" t="n"/>
      <c r="I96" s="1298" t="n"/>
      <c r="J96" s="1298" t="n"/>
      <c r="K96" s="1272" t="n"/>
      <c r="L96" s="2342" t="n">
        <v>27.8793403032649</v>
      </c>
      <c r="M96" s="1298">
        <f t="array" ref="M96">L96/$L$99</f>
        <v/>
      </c>
      <c r="N96" s="1298" t="n"/>
      <c r="O96" s="1272" t="n"/>
      <c r="P96" s="2342" t="n">
        <v>14.4223035349636</v>
      </c>
      <c r="Q96" s="1298">
        <f t="array" ref="Q96">P96/$P$99</f>
        <v/>
      </c>
      <c r="R96" s="1298" t="n"/>
      <c r="S96" s="1272" t="n"/>
      <c r="T96" s="1272" t="n"/>
      <c r="U96" s="1272" t="n"/>
      <c r="V96" s="1298" t="n"/>
      <c r="W96" s="1272" t="n"/>
      <c r="X96" s="1272" t="n"/>
      <c r="Y96" s="1272" t="n"/>
      <c r="Z96" s="1298" t="n"/>
      <c r="AA96" s="1272" t="n"/>
      <c r="AB96" s="1272" t="n"/>
      <c r="AC96" s="1272" t="n"/>
      <c r="AD96" s="1298" t="n"/>
      <c r="AE96" s="1272" t="n"/>
      <c r="AF96" s="1272" t="n"/>
      <c r="AG96" s="1272" t="n"/>
      <c r="AH96" s="1272" t="n"/>
      <c r="AI96" s="1272" t="n"/>
      <c r="AJ96" s="1272" t="n"/>
      <c r="AK96" s="1272" t="n"/>
      <c r="AL96" s="1272" t="n"/>
      <c r="AM96" s="1272" t="n"/>
      <c r="AN96" s="1272" t="n"/>
      <c r="AO96" s="1272" t="n"/>
      <c r="AP96" s="1272" t="n"/>
      <c r="AQ96" s="1277" t="n"/>
    </row>
    <row r="97" hidden="1" ht="9" customHeight="1" s="1676">
      <c r="A97" s="1304" t="n"/>
      <c r="B97" s="1324" t="inlineStr">
        <is>
          <t>Text_669</t>
        </is>
      </c>
      <c r="C97" s="1272" t="n"/>
      <c r="D97" s="2342" t="n"/>
      <c r="E97" s="1298" t="n"/>
      <c r="F97" s="1298" t="n"/>
      <c r="G97" s="1272" t="n"/>
      <c r="H97" s="2342" t="n"/>
      <c r="I97" s="1298" t="n"/>
      <c r="J97" s="1298" t="n"/>
      <c r="K97" s="1272" t="n"/>
      <c r="L97" s="2342" t="n">
        <v>20.3425713057854</v>
      </c>
      <c r="M97" s="1298">
        <f t="array" ref="M97">L97/$L$99</f>
        <v/>
      </c>
      <c r="N97" s="1298" t="n"/>
      <c r="O97" s="1272" t="n"/>
      <c r="P97" s="2342" t="n">
        <v>14.4505613164995</v>
      </c>
      <c r="Q97" s="1298">
        <f t="array" ref="Q97">P97/$P$99</f>
        <v/>
      </c>
      <c r="R97" s="1298" t="n"/>
      <c r="S97" s="1272" t="n"/>
      <c r="T97" s="1272" t="n"/>
      <c r="U97" s="1272" t="n"/>
      <c r="V97" s="1298" t="n"/>
      <c r="W97" s="1272" t="n"/>
      <c r="X97" s="1272" t="n"/>
      <c r="Y97" s="1272" t="n"/>
      <c r="Z97" s="1298" t="n"/>
      <c r="AA97" s="1272" t="n"/>
      <c r="AB97" s="1272" t="n"/>
      <c r="AC97" s="1272" t="n"/>
      <c r="AD97" s="1298" t="n"/>
      <c r="AE97" s="1272" t="n"/>
      <c r="AF97" s="1272" t="n"/>
      <c r="AG97" s="1272" t="n"/>
      <c r="AH97" s="1272" t="n"/>
      <c r="AI97" s="1272" t="n"/>
      <c r="AJ97" s="1272" t="n"/>
      <c r="AK97" s="1272" t="n"/>
      <c r="AL97" s="1272" t="n"/>
      <c r="AM97" s="1272" t="n"/>
      <c r="AN97" s="1272" t="n"/>
      <c r="AO97" s="1272" t="n"/>
      <c r="AP97" s="1272" t="n"/>
      <c r="AQ97" s="1277" t="n"/>
    </row>
    <row r="98" hidden="1" ht="8" customHeight="1" s="1676">
      <c r="A98" s="1284" t="n"/>
      <c r="B98" s="1323" t="n"/>
      <c r="C98" s="1272" t="n"/>
      <c r="D98" s="2340" t="n"/>
      <c r="E98" s="2340" t="n"/>
      <c r="F98" s="2340" t="n"/>
      <c r="G98" s="1272" t="n"/>
      <c r="H98" s="2340" t="n"/>
      <c r="I98" s="2340" t="n"/>
      <c r="J98" s="2340" t="n"/>
      <c r="K98" s="1272" t="n"/>
      <c r="L98" s="2340" t="n"/>
      <c r="M98" s="2340" t="n"/>
      <c r="N98" s="2340" t="n"/>
      <c r="O98" s="1272" t="n"/>
      <c r="P98" s="2340" t="n"/>
      <c r="Q98" s="1303" t="n"/>
      <c r="R98" s="2340" t="n"/>
      <c r="S98" s="1272" t="n"/>
      <c r="T98" s="2340" t="n"/>
      <c r="U98" s="1291" t="n"/>
      <c r="V98" s="2340" t="n"/>
      <c r="W98" s="1272" t="n"/>
      <c r="X98" s="2340" t="n"/>
      <c r="Y98" s="1291" t="n"/>
      <c r="Z98" s="2340" t="n"/>
      <c r="AA98" s="1272" t="n"/>
      <c r="AB98" s="2340" t="n"/>
      <c r="AC98" s="1291" t="n"/>
      <c r="AD98" s="2340" t="n"/>
      <c r="AE98" s="1272" t="n"/>
      <c r="AF98" s="2340" t="n"/>
      <c r="AG98" s="1291" t="n"/>
      <c r="AH98" s="1272" t="n"/>
      <c r="AI98" s="1272" t="n"/>
      <c r="AJ98" s="1272" t="n"/>
      <c r="AK98" s="1272" t="n"/>
      <c r="AL98" s="1272" t="n"/>
      <c r="AM98" s="1272" t="n"/>
      <c r="AN98" s="1272" t="n"/>
      <c r="AO98" s="1272" t="n"/>
      <c r="AP98" s="1272" t="n"/>
      <c r="AQ98" s="1277" t="n"/>
    </row>
    <row r="99" hidden="1" ht="15.75" customHeight="1" s="1676">
      <c r="A99" s="1304" t="n"/>
      <c r="B99" s="1325" t="inlineStr">
        <is>
          <t>Text_658</t>
        </is>
      </c>
      <c r="C99" s="1272" t="n"/>
      <c r="D99" s="2347" t="n"/>
      <c r="E99" s="1272" t="n"/>
      <c r="F99" s="1272" t="n"/>
      <c r="G99" s="1272" t="n"/>
      <c r="H99" s="2347" t="n"/>
      <c r="I99" s="1272" t="n"/>
      <c r="J99" s="1272" t="n"/>
      <c r="K99" s="1272" t="n"/>
      <c r="L99" s="2347">
        <f t="array" ref="L99">SUM(L92:L98)</f>
        <v/>
      </c>
      <c r="M99" s="1272" t="n"/>
      <c r="N99" s="1272" t="n"/>
      <c r="O99" s="1272" t="n"/>
      <c r="P99" s="2347">
        <f t="array" ref="P99">SUM(P92:P98)</f>
        <v/>
      </c>
      <c r="Q99" s="1272" t="n"/>
      <c r="R99" s="1272" t="n"/>
      <c r="S99" s="1272" t="n"/>
      <c r="T99" s="1272" t="n"/>
      <c r="U99" s="1272" t="n"/>
      <c r="V99" s="1272" t="n"/>
      <c r="W99" s="1272" t="n"/>
      <c r="X99" s="1272" t="n"/>
      <c r="Y99" s="1272" t="n"/>
      <c r="Z99" s="1272" t="n"/>
      <c r="AA99" s="1272" t="n"/>
      <c r="AB99" s="1272" t="n"/>
      <c r="AC99" s="1272" t="n"/>
      <c r="AD99" s="1272" t="n"/>
      <c r="AE99" s="1272" t="n"/>
      <c r="AF99" s="1272" t="n"/>
      <c r="AG99" s="1272" t="n"/>
      <c r="AH99" s="1272" t="n"/>
      <c r="AI99" s="1272" t="n"/>
      <c r="AJ99" s="1272" t="n"/>
      <c r="AK99" s="1272" t="n"/>
      <c r="AL99" s="1272" t="n"/>
      <c r="AM99" s="1272" t="n"/>
      <c r="AN99" s="1272" t="n"/>
      <c r="AO99" s="1272" t="n"/>
      <c r="AP99" s="1272" t="n"/>
      <c r="AQ99" s="1277" t="n"/>
    </row>
    <row r="100" hidden="1" ht="9" customHeight="1" s="1676">
      <c r="A100" s="1304" t="n"/>
      <c r="B100" s="1324" t="inlineStr">
        <is>
          <t>Text_15</t>
        </is>
      </c>
      <c r="C100" s="1272" t="n"/>
      <c r="D100" s="1291" t="n"/>
      <c r="E100" s="1272" t="n"/>
      <c r="F100" s="1272" t="n"/>
      <c r="G100" s="1272" t="n"/>
      <c r="H100" s="1291" t="n"/>
      <c r="I100" s="1272" t="n"/>
      <c r="J100" s="1272" t="n"/>
      <c r="K100" s="1272" t="n"/>
      <c r="L100" s="1291">
        <f t="array" ref="L100">L99/P99-1</f>
        <v/>
      </c>
      <c r="M100" s="1272" t="n"/>
      <c r="N100" s="1272" t="n"/>
      <c r="O100" s="1272" t="n"/>
      <c r="P100" s="1272" t="n"/>
      <c r="Q100" s="1272" t="n"/>
      <c r="R100" s="1272" t="n"/>
      <c r="S100" s="1272" t="n"/>
      <c r="T100" s="1272" t="n"/>
      <c r="U100" s="1272" t="n"/>
      <c r="V100" s="1272" t="n"/>
      <c r="W100" s="1272" t="n"/>
      <c r="X100" s="1272" t="n"/>
      <c r="Y100" s="1272" t="n"/>
      <c r="Z100" s="1272" t="n"/>
      <c r="AA100" s="1272" t="n"/>
      <c r="AB100" s="1272" t="n"/>
      <c r="AC100" s="1272" t="n"/>
      <c r="AD100" s="1272" t="n"/>
      <c r="AE100" s="1272" t="n"/>
      <c r="AF100" s="1272" t="n"/>
      <c r="AG100" s="1272" t="n"/>
      <c r="AH100" s="1272" t="n"/>
      <c r="AI100" s="1272" t="n"/>
      <c r="AJ100" s="1272" t="n"/>
      <c r="AK100" s="1272" t="n"/>
      <c r="AL100" s="1272" t="n"/>
      <c r="AM100" s="1272" t="n"/>
      <c r="AN100" s="1272" t="n"/>
      <c r="AO100" s="1272" t="n"/>
      <c r="AP100" s="1272" t="n"/>
      <c r="AQ100" s="1277" t="n"/>
    </row>
    <row r="101" hidden="1" ht="9" customHeight="1" s="1676">
      <c r="A101" s="1304" t="n"/>
      <c r="B101" s="1272" t="n"/>
      <c r="C101" s="1272" t="n"/>
      <c r="D101" s="1272" t="n"/>
      <c r="E101" s="1272" t="n"/>
      <c r="F101" s="1272" t="n"/>
      <c r="G101" s="1272" t="n"/>
      <c r="H101" s="1272" t="n"/>
      <c r="I101" s="1272" t="n"/>
      <c r="J101" s="1272" t="n"/>
      <c r="K101" s="1272" t="n"/>
      <c r="L101" s="1272" t="n"/>
      <c r="M101" s="1272" t="n"/>
      <c r="N101" s="1272" t="n"/>
      <c r="O101" s="1272" t="n"/>
      <c r="P101" s="1272" t="n"/>
      <c r="Q101" s="1272" t="n"/>
      <c r="R101" s="1272" t="n"/>
      <c r="S101" s="1272" t="n"/>
      <c r="T101" s="1272" t="n"/>
      <c r="U101" s="1272" t="n"/>
      <c r="V101" s="1272" t="n"/>
      <c r="W101" s="1272" t="n"/>
      <c r="X101" s="1272" t="n"/>
      <c r="Y101" s="1272" t="n"/>
      <c r="Z101" s="1272" t="n"/>
      <c r="AA101" s="1272" t="n"/>
      <c r="AB101" s="1272" t="n"/>
      <c r="AC101" s="1272" t="n"/>
      <c r="AD101" s="1272" t="n"/>
      <c r="AE101" s="1272" t="n"/>
      <c r="AF101" s="1272" t="n"/>
      <c r="AG101" s="1272" t="n"/>
      <c r="AH101" s="1272" t="n"/>
      <c r="AI101" s="1272" t="n"/>
      <c r="AJ101" s="1272" t="n"/>
      <c r="AK101" s="1272" t="n"/>
      <c r="AL101" s="1272" t="n"/>
      <c r="AM101" s="1272" t="n"/>
      <c r="AN101" s="1272" t="n"/>
      <c r="AO101" s="1272" t="n"/>
      <c r="AP101" s="1272" t="n"/>
      <c r="AQ101" s="1277" t="n"/>
    </row>
    <row r="102" hidden="1" ht="9" customHeight="1" s="1676">
      <c r="A102" s="1304" t="n"/>
      <c r="B102" s="1330" t="inlineStr">
        <is>
          <t>Text_671</t>
        </is>
      </c>
      <c r="C102" s="1272" t="n"/>
      <c r="D102" s="1318" t="n"/>
      <c r="E102" s="1275" t="n"/>
      <c r="F102" s="1275" t="n"/>
      <c r="G102" s="1272" t="n"/>
      <c r="H102" s="1318" t="n"/>
      <c r="I102" s="1275" t="n"/>
      <c r="J102" s="1275" t="n"/>
      <c r="K102" s="1272" t="n"/>
      <c r="L102" s="1273" t="inlineStr">
        <is>
          <t>Text_618</t>
        </is>
      </c>
      <c r="M102" s="1274" t="inlineStr">
        <is>
          <t>Text_643</t>
        </is>
      </c>
      <c r="N102" s="1275" t="n"/>
      <c r="O102" s="1272" t="n"/>
      <c r="P102" s="1273" t="inlineStr">
        <is>
          <t>Text_618</t>
        </is>
      </c>
      <c r="Q102" s="1274" t="inlineStr">
        <is>
          <t>Text_643</t>
        </is>
      </c>
      <c r="R102" s="1275" t="n"/>
      <c r="S102" s="1272" t="n"/>
      <c r="T102" s="1272" t="n"/>
      <c r="U102" s="1272" t="n"/>
      <c r="V102" s="1275" t="n"/>
      <c r="W102" s="1272" t="n"/>
      <c r="X102" s="1272" t="n"/>
      <c r="Y102" s="1272" t="n"/>
      <c r="Z102" s="1275" t="n"/>
      <c r="AA102" s="1272" t="n"/>
      <c r="AB102" s="1272" t="n"/>
      <c r="AC102" s="1272" t="n"/>
      <c r="AD102" s="1275" t="n"/>
      <c r="AE102" s="1272" t="n"/>
      <c r="AF102" s="1272" t="n"/>
      <c r="AG102" s="1272" t="n"/>
      <c r="AH102" s="1272" t="n"/>
      <c r="AI102" s="1272" t="n"/>
      <c r="AJ102" s="1272" t="n"/>
      <c r="AK102" s="1272" t="n"/>
      <c r="AL102" s="1272" t="n"/>
      <c r="AM102" s="1272" t="n"/>
      <c r="AN102" s="1272" t="n"/>
      <c r="AO102" s="1272" t="n"/>
      <c r="AP102" s="1272" t="n"/>
      <c r="AQ102" s="1277" t="n"/>
    </row>
    <row r="103" hidden="1" ht="15.75" customHeight="1" s="1676">
      <c r="A103" s="1304" t="n"/>
      <c r="B103" s="1319" t="inlineStr">
        <is>
          <t>Text_645</t>
        </is>
      </c>
      <c r="C103" s="1272" t="n"/>
      <c r="D103" s="1321" t="n"/>
      <c r="E103" s="1322" t="n"/>
      <c r="F103" s="1322" t="n"/>
      <c r="G103" s="1272" t="n"/>
      <c r="H103" s="1321" t="n"/>
      <c r="I103" s="1322" t="n"/>
      <c r="J103" s="1322" t="n"/>
      <c r="K103" s="1272" t="n"/>
      <c r="L103" s="1321" t="n">
        <v>1742.2584272245</v>
      </c>
      <c r="M103" s="1322" t="n">
        <v>2074.56795158209</v>
      </c>
      <c r="N103" s="1322" t="n"/>
      <c r="O103" s="1272" t="n"/>
      <c r="P103" s="1321" t="n">
        <v>1957.99675514643</v>
      </c>
      <c r="Q103" s="1322">
        <f t="array" ref="Q103">P103</f>
        <v/>
      </c>
      <c r="R103" s="1322" t="n"/>
      <c r="S103" s="1272" t="n"/>
      <c r="T103" s="1272" t="n"/>
      <c r="U103" s="1272" t="n"/>
      <c r="V103" s="1322" t="n"/>
      <c r="W103" s="1272" t="n"/>
      <c r="X103" s="1272" t="n"/>
      <c r="Y103" s="1272" t="n"/>
      <c r="Z103" s="1322" t="n"/>
      <c r="AA103" s="1272" t="n"/>
      <c r="AB103" s="1272" t="n"/>
      <c r="AC103" s="1272" t="n"/>
      <c r="AD103" s="1322" t="n"/>
      <c r="AE103" s="1272" t="n"/>
      <c r="AF103" s="1272" t="n"/>
      <c r="AG103" s="1272" t="n"/>
      <c r="AH103" s="1272" t="n"/>
      <c r="AI103" s="1272" t="n"/>
      <c r="AJ103" s="1272" t="n"/>
      <c r="AK103" s="1272" t="n"/>
      <c r="AL103" s="1272" t="n"/>
      <c r="AM103" s="1272" t="n"/>
      <c r="AN103" s="1272" t="n"/>
      <c r="AO103" s="1272" t="n"/>
      <c r="AP103" s="1272" t="n"/>
      <c r="AQ103" s="1277" t="n"/>
    </row>
    <row r="104" hidden="1" ht="8" customHeight="1" s="1676">
      <c r="A104" s="1284" t="n"/>
      <c r="B104" s="1323" t="n"/>
      <c r="C104" s="1272" t="n"/>
      <c r="D104" s="2340" t="n"/>
      <c r="E104" s="2340" t="n"/>
      <c r="F104" s="2340" t="n"/>
      <c r="G104" s="1272" t="n"/>
      <c r="H104" s="2340" t="n"/>
      <c r="I104" s="2340" t="n"/>
      <c r="J104" s="2340" t="n"/>
      <c r="K104" s="1272" t="n"/>
      <c r="L104" s="2340" t="n"/>
      <c r="M104" s="2340" t="n"/>
      <c r="N104" s="2340" t="n"/>
      <c r="O104" s="1272" t="n"/>
      <c r="P104" s="2340" t="n"/>
      <c r="Q104" s="1303" t="n"/>
      <c r="R104" s="2340" t="n"/>
      <c r="S104" s="1272" t="n"/>
      <c r="T104" s="2340" t="n"/>
      <c r="U104" s="1291" t="n"/>
      <c r="V104" s="2340" t="n"/>
      <c r="W104" s="1272" t="n"/>
      <c r="X104" s="2340" t="n"/>
      <c r="Y104" s="1291" t="n"/>
      <c r="Z104" s="2340" t="n"/>
      <c r="AA104" s="1272" t="n"/>
      <c r="AB104" s="2340" t="n"/>
      <c r="AC104" s="1291" t="n"/>
      <c r="AD104" s="2340" t="n"/>
      <c r="AE104" s="1272" t="n"/>
      <c r="AF104" s="2340" t="n"/>
      <c r="AG104" s="1291" t="n"/>
      <c r="AH104" s="1272" t="n"/>
      <c r="AI104" s="1272" t="n"/>
      <c r="AJ104" s="1272" t="n"/>
      <c r="AK104" s="1272" t="n"/>
      <c r="AL104" s="1272" t="n"/>
      <c r="AM104" s="1272" t="n"/>
      <c r="AN104" s="1272" t="n"/>
      <c r="AO104" s="1272" t="n"/>
      <c r="AP104" s="1272" t="n"/>
      <c r="AQ104" s="1277" t="n"/>
    </row>
    <row r="105" hidden="1" ht="9" customHeight="1" s="1676">
      <c r="A105" s="1304" t="n"/>
      <c r="B105" s="1324" t="inlineStr">
        <is>
          <t>Text_668</t>
        </is>
      </c>
      <c r="C105" s="1272" t="n"/>
      <c r="D105" s="2342" t="n"/>
      <c r="E105" s="1298" t="n"/>
      <c r="F105" s="1298" t="n"/>
      <c r="G105" s="1272" t="n"/>
      <c r="H105" s="2342" t="n"/>
      <c r="I105" s="1298" t="n"/>
      <c r="J105" s="1298" t="n"/>
      <c r="K105" s="1272" t="n"/>
      <c r="L105" s="2342" t="n">
        <v>93.1986323762155</v>
      </c>
      <c r="M105" s="1298">
        <f t="array" ref="M105">L105/$L$110</f>
        <v/>
      </c>
      <c r="N105" s="1298" t="n"/>
      <c r="O105" s="2340" t="n"/>
      <c r="P105" s="2342" t="n">
        <v>39.5171243512933</v>
      </c>
      <c r="Q105" s="1298">
        <f t="array" ref="Q105">P105/$P$110</f>
        <v/>
      </c>
      <c r="R105" s="1298" t="n"/>
      <c r="S105" s="1272" t="n"/>
      <c r="T105" s="1272" t="n"/>
      <c r="U105" s="1272" t="n"/>
      <c r="V105" s="1298" t="n"/>
      <c r="W105" s="1272" t="n"/>
      <c r="X105" s="1272" t="n"/>
      <c r="Y105" s="1272" t="n"/>
      <c r="Z105" s="1298" t="n"/>
      <c r="AA105" s="1272" t="n"/>
      <c r="AB105" s="1272" t="n"/>
      <c r="AC105" s="1272" t="n"/>
      <c r="AD105" s="1298" t="n"/>
      <c r="AE105" s="1272" t="n"/>
      <c r="AF105" s="1272" t="n"/>
      <c r="AG105" s="1272" t="n"/>
      <c r="AH105" s="1272" t="n"/>
      <c r="AI105" s="1272" t="n"/>
      <c r="AJ105" s="1272" t="n"/>
      <c r="AK105" s="1272" t="n"/>
      <c r="AL105" s="1272" t="n"/>
      <c r="AM105" s="1272" t="n"/>
      <c r="AN105" s="1272" t="n"/>
      <c r="AO105" s="1272" t="n"/>
      <c r="AP105" s="1272" t="n"/>
      <c r="AQ105" s="1277" t="n"/>
    </row>
    <row r="106" hidden="1" ht="9" customHeight="1" s="1676">
      <c r="A106" s="1304" t="n"/>
      <c r="B106" s="1324" t="inlineStr">
        <is>
          <t>Text_656</t>
        </is>
      </c>
      <c r="C106" s="1272" t="n"/>
      <c r="D106" s="2342" t="n"/>
      <c r="E106" s="1298" t="n"/>
      <c r="F106" s="1298" t="n"/>
      <c r="G106" s="1272" t="n"/>
      <c r="H106" s="2342" t="n"/>
      <c r="I106" s="1298" t="n"/>
      <c r="J106" s="1298" t="n"/>
      <c r="K106" s="1272" t="n"/>
      <c r="L106" s="2342" t="n">
        <v>55.3947636290711</v>
      </c>
      <c r="M106" s="1298">
        <f t="array" ref="M106">L106/$L$110</f>
        <v/>
      </c>
      <c r="N106" s="1298" t="n"/>
      <c r="O106" s="2340" t="n"/>
      <c r="P106" s="2342" t="n">
        <v>63.5573324206573</v>
      </c>
      <c r="Q106" s="1298">
        <f t="array" ref="Q106">P106/$P$110</f>
        <v/>
      </c>
      <c r="R106" s="1298" t="n"/>
      <c r="S106" s="1272" t="n"/>
      <c r="T106" s="1272" t="n"/>
      <c r="U106" s="1272" t="n"/>
      <c r="V106" s="1298" t="n"/>
      <c r="W106" s="1272" t="n"/>
      <c r="X106" s="1272" t="n"/>
      <c r="Y106" s="1272" t="n"/>
      <c r="Z106" s="1298" t="n"/>
      <c r="AA106" s="1272" t="n"/>
      <c r="AB106" s="1272" t="n"/>
      <c r="AC106" s="1272" t="n"/>
      <c r="AD106" s="1298" t="n"/>
      <c r="AE106" s="1272" t="n"/>
      <c r="AF106" s="1272" t="n"/>
      <c r="AG106" s="1272" t="n"/>
      <c r="AH106" s="1272" t="n"/>
      <c r="AI106" s="1272" t="n"/>
      <c r="AJ106" s="1272" t="n"/>
      <c r="AK106" s="1272" t="n"/>
      <c r="AL106" s="1272" t="n"/>
      <c r="AM106" s="1272" t="n"/>
      <c r="AN106" s="1272" t="n"/>
      <c r="AO106" s="1272" t="n"/>
      <c r="AP106" s="1272" t="n"/>
      <c r="AQ106" s="1277" t="n"/>
    </row>
    <row r="107" hidden="1" ht="9" customHeight="1" s="1676">
      <c r="A107" s="1304" t="n"/>
      <c r="B107" s="1319" t="inlineStr">
        <is>
          <t>Text_132</t>
        </is>
      </c>
      <c r="C107" s="1295" t="n"/>
      <c r="D107" s="2349" t="n"/>
      <c r="E107" s="1275" t="n"/>
      <c r="F107" s="1275" t="n"/>
      <c r="G107" s="1295" t="n"/>
      <c r="H107" s="2349" t="n"/>
      <c r="I107" s="1275" t="n"/>
      <c r="J107" s="1275" t="n"/>
      <c r="K107" s="1295" t="n"/>
      <c r="L107" s="2349" t="n">
        <v>11.1773712091538</v>
      </c>
      <c r="M107" s="1275">
        <f t="array" ref="M107">L107/$L$110</f>
        <v/>
      </c>
      <c r="N107" s="1275" t="n"/>
      <c r="O107" s="2350" t="n"/>
      <c r="P107" s="2349" t="n">
        <v>13.2310214654486</v>
      </c>
      <c r="Q107" s="1275">
        <f t="array" ref="Q107">P107/$P$110</f>
        <v/>
      </c>
      <c r="R107" s="1275" t="n"/>
      <c r="S107" s="1272" t="n"/>
      <c r="T107" s="1272" t="n"/>
      <c r="U107" s="1272" t="n"/>
      <c r="V107" s="1275" t="n"/>
      <c r="W107" s="1272" t="n"/>
      <c r="X107" s="1272" t="n"/>
      <c r="Y107" s="1272" t="n"/>
      <c r="Z107" s="1275" t="n"/>
      <c r="AA107" s="1272" t="n"/>
      <c r="AB107" s="1272" t="n"/>
      <c r="AC107" s="1272" t="n"/>
      <c r="AD107" s="1275" t="n"/>
      <c r="AE107" s="1272" t="n"/>
      <c r="AF107" s="1272" t="n"/>
      <c r="AG107" s="1272" t="n"/>
      <c r="AH107" s="1272" t="n"/>
      <c r="AI107" s="1272" t="n"/>
      <c r="AJ107" s="1272" t="n"/>
      <c r="AK107" s="1272" t="n"/>
      <c r="AL107" s="1272" t="n"/>
      <c r="AM107" s="1272" t="n"/>
      <c r="AN107" s="1272" t="n"/>
      <c r="AO107" s="1272" t="n"/>
      <c r="AP107" s="1272" t="n"/>
      <c r="AQ107" s="1277" t="n"/>
    </row>
    <row r="108" hidden="1" ht="9" customHeight="1" s="1676">
      <c r="A108" s="1304" t="n"/>
      <c r="B108" s="1324" t="inlineStr">
        <is>
          <t>Text_657</t>
        </is>
      </c>
      <c r="C108" s="1272" t="n"/>
      <c r="D108" s="2342" t="n"/>
      <c r="E108" s="1298" t="n"/>
      <c r="F108" s="1298" t="n"/>
      <c r="G108" s="1272" t="n"/>
      <c r="H108" s="2342" t="n"/>
      <c r="I108" s="1298" t="n"/>
      <c r="J108" s="1298" t="n"/>
      <c r="K108" s="1272" t="n"/>
      <c r="L108" s="2342" t="n">
        <v>0</v>
      </c>
      <c r="M108" s="1298">
        <f t="array" ref="M108">L108/$L$110</f>
        <v/>
      </c>
      <c r="N108" s="1298" t="n"/>
      <c r="O108" s="2340" t="n"/>
      <c r="P108" s="2342" t="n">
        <v>20.2992113766572</v>
      </c>
      <c r="Q108" s="1298">
        <f t="array" ref="Q108">P108/$P$110</f>
        <v/>
      </c>
      <c r="R108" s="1298" t="n"/>
      <c r="S108" s="1272" t="n"/>
      <c r="T108" s="1272" t="n"/>
      <c r="U108" s="1272" t="n"/>
      <c r="V108" s="1298" t="n"/>
      <c r="W108" s="1272" t="n"/>
      <c r="X108" s="1272" t="n"/>
      <c r="Y108" s="1272" t="n"/>
      <c r="Z108" s="1298" t="n"/>
      <c r="AA108" s="1272" t="n"/>
      <c r="AB108" s="1272" t="n"/>
      <c r="AC108" s="1272" t="n"/>
      <c r="AD108" s="1298" t="n"/>
      <c r="AE108" s="1272" t="n"/>
      <c r="AF108" s="1272" t="n"/>
      <c r="AG108" s="1272" t="n"/>
      <c r="AH108" s="1272" t="n"/>
      <c r="AI108" s="1272" t="n"/>
      <c r="AJ108" s="1272" t="n"/>
      <c r="AK108" s="1272" t="n"/>
      <c r="AL108" s="1272" t="n"/>
      <c r="AM108" s="1272" t="n"/>
      <c r="AN108" s="1272" t="n"/>
      <c r="AO108" s="1272" t="n"/>
      <c r="AP108" s="1272" t="n"/>
      <c r="AQ108" s="1277" t="n"/>
    </row>
    <row r="109" hidden="1" ht="8" customHeight="1" s="1676">
      <c r="A109" s="1284" t="n"/>
      <c r="B109" s="1323" t="n"/>
      <c r="C109" s="1272" t="n"/>
      <c r="D109" s="2340" t="n"/>
      <c r="E109" s="2340" t="n"/>
      <c r="F109" s="2340" t="n"/>
      <c r="G109" s="1272" t="n"/>
      <c r="H109" s="2340" t="n"/>
      <c r="I109" s="2340" t="n"/>
      <c r="J109" s="2340" t="n"/>
      <c r="K109" s="1272" t="n"/>
      <c r="L109" s="2340" t="n"/>
      <c r="M109" s="2340" t="n"/>
      <c r="N109" s="2340" t="n"/>
      <c r="O109" s="1272" t="n"/>
      <c r="P109" s="2340" t="n"/>
      <c r="Q109" s="1303" t="n"/>
      <c r="R109" s="2340" t="n"/>
      <c r="S109" s="1272" t="n"/>
      <c r="T109" s="2340" t="n"/>
      <c r="U109" s="1291" t="n"/>
      <c r="V109" s="2340" t="n"/>
      <c r="W109" s="1272" t="n"/>
      <c r="X109" s="2340" t="n"/>
      <c r="Y109" s="1291" t="n"/>
      <c r="Z109" s="2340" t="n"/>
      <c r="AA109" s="1272" t="n"/>
      <c r="AB109" s="2340" t="n"/>
      <c r="AC109" s="1291" t="n"/>
      <c r="AD109" s="2340" t="n"/>
      <c r="AE109" s="1272" t="n"/>
      <c r="AF109" s="2340" t="n"/>
      <c r="AG109" s="1291" t="n"/>
      <c r="AH109" s="1272" t="n"/>
      <c r="AI109" s="1272" t="n"/>
      <c r="AJ109" s="1272" t="n"/>
      <c r="AK109" s="1272" t="n"/>
      <c r="AL109" s="1272" t="n"/>
      <c r="AM109" s="1272" t="n"/>
      <c r="AN109" s="1272" t="n"/>
      <c r="AO109" s="1272" t="n"/>
      <c r="AP109" s="1272" t="n"/>
      <c r="AQ109" s="1277" t="n"/>
    </row>
    <row r="110" hidden="1" ht="15.75" customHeight="1" s="1676">
      <c r="A110" s="1304" t="n"/>
      <c r="B110" s="1325" t="inlineStr">
        <is>
          <t>Text_658</t>
        </is>
      </c>
      <c r="C110" s="1272" t="n"/>
      <c r="D110" s="2347" t="n"/>
      <c r="E110" s="1272" t="n"/>
      <c r="F110" s="1272" t="n"/>
      <c r="G110" s="1272" t="n"/>
      <c r="H110" s="2347" t="n"/>
      <c r="I110" s="1272" t="n"/>
      <c r="J110" s="1272" t="n"/>
      <c r="K110" s="1272" t="n"/>
      <c r="L110" s="2347" t="n">
        <v>132.371305465532</v>
      </c>
      <c r="M110" s="1272" t="n"/>
      <c r="N110" s="1272" t="n"/>
      <c r="O110" s="1272" t="n"/>
      <c r="P110" s="2347" t="n">
        <v>127.705430102968</v>
      </c>
      <c r="Q110" s="1272" t="n"/>
      <c r="R110" s="1272" t="n"/>
      <c r="S110" s="1272" t="n"/>
      <c r="T110" s="1272" t="n"/>
      <c r="U110" s="1272" t="n"/>
      <c r="V110" s="1272" t="n"/>
      <c r="W110" s="1272" t="n"/>
      <c r="X110" s="1272" t="n"/>
      <c r="Y110" s="1272" t="n"/>
      <c r="Z110" s="1272" t="n"/>
      <c r="AA110" s="1272" t="n"/>
      <c r="AB110" s="1272" t="n"/>
      <c r="AC110" s="1272" t="n"/>
      <c r="AD110" s="1272" t="n"/>
      <c r="AE110" s="1272" t="n"/>
      <c r="AF110" s="1272" t="n"/>
      <c r="AG110" s="1272" t="n"/>
      <c r="AH110" s="1272" t="n"/>
      <c r="AI110" s="1272" t="n"/>
      <c r="AJ110" s="1272" t="n"/>
      <c r="AK110" s="1272" t="n"/>
      <c r="AL110" s="1272" t="n"/>
      <c r="AM110" s="1272" t="n"/>
      <c r="AN110" s="1272" t="n"/>
      <c r="AO110" s="1272" t="n"/>
      <c r="AP110" s="1272" t="n"/>
      <c r="AQ110" s="1277" t="n"/>
    </row>
    <row r="111" hidden="1" ht="9" customHeight="1" s="1676">
      <c r="A111" s="1304" t="n"/>
      <c r="B111" s="1324" t="inlineStr">
        <is>
          <t>Text_15</t>
        </is>
      </c>
      <c r="C111" s="1272" t="n"/>
      <c r="D111" s="1291" t="n"/>
      <c r="E111" s="1272" t="n"/>
      <c r="F111" s="1272" t="n"/>
      <c r="G111" s="1272" t="n"/>
      <c r="H111" s="1291" t="n"/>
      <c r="I111" s="1272" t="n"/>
      <c r="J111" s="1272" t="n"/>
      <c r="K111" s="1272" t="n"/>
      <c r="L111" s="1291">
        <f t="array" ref="L111">L110/P110-1</f>
        <v/>
      </c>
      <c r="M111" s="1272" t="n"/>
      <c r="N111" s="1272" t="n"/>
      <c r="O111" s="1272" t="n"/>
      <c r="P111" s="1272" t="n"/>
      <c r="Q111" s="1272" t="n"/>
      <c r="R111" s="1272" t="n"/>
      <c r="S111" s="1272" t="n"/>
      <c r="T111" s="1272" t="n"/>
      <c r="U111" s="1272" t="n"/>
      <c r="V111" s="1272" t="n"/>
      <c r="W111" s="1272" t="n"/>
      <c r="X111" s="1272" t="n"/>
      <c r="Y111" s="1272" t="n"/>
      <c r="Z111" s="1272" t="n"/>
      <c r="AA111" s="1272" t="n"/>
      <c r="AB111" s="1272" t="n"/>
      <c r="AC111" s="1272" t="n"/>
      <c r="AD111" s="1272" t="n"/>
      <c r="AE111" s="1272" t="n"/>
      <c r="AF111" s="1272" t="n"/>
      <c r="AG111" s="1272" t="n"/>
      <c r="AH111" s="1272" t="n"/>
      <c r="AI111" s="1272" t="n"/>
      <c r="AJ111" s="1272" t="n"/>
      <c r="AK111" s="1272" t="n"/>
      <c r="AL111" s="1272" t="n"/>
      <c r="AM111" s="1272" t="n"/>
      <c r="AN111" s="1272" t="n"/>
      <c r="AO111" s="1272" t="n"/>
      <c r="AP111" s="1272" t="n"/>
      <c r="AQ111" s="1277" t="n"/>
    </row>
    <row r="112" ht="13.55" customHeight="1" s="1676">
      <c r="A112" s="1304" t="n"/>
      <c r="B112" s="1272" t="n"/>
      <c r="C112" s="1272" t="n"/>
      <c r="D112" s="1272" t="n"/>
      <c r="E112" s="1272" t="n"/>
      <c r="F112" s="1272" t="n"/>
      <c r="G112" s="1272" t="n"/>
      <c r="H112" s="1272" t="n"/>
      <c r="I112" s="1272" t="n"/>
      <c r="J112" s="1272" t="n"/>
      <c r="K112" s="1272" t="n"/>
      <c r="L112" s="1272" t="n"/>
      <c r="M112" s="1272" t="n"/>
      <c r="N112" s="1272" t="n"/>
      <c r="O112" s="1272" t="n"/>
      <c r="P112" s="1272" t="n"/>
      <c r="Q112" s="1272" t="n"/>
      <c r="R112" s="1272" t="n"/>
      <c r="S112" s="1272" t="n"/>
      <c r="T112" s="1272" t="n"/>
      <c r="U112" s="1272" t="n"/>
      <c r="V112" s="1272" t="n"/>
      <c r="W112" s="1272" t="n"/>
      <c r="X112" s="1272" t="n"/>
      <c r="Y112" s="1272" t="n"/>
      <c r="Z112" s="1272" t="n"/>
      <c r="AA112" s="1272" t="n"/>
      <c r="AB112" s="1272" t="n"/>
      <c r="AC112" s="1272" t="n"/>
      <c r="AD112" s="1272" t="n"/>
      <c r="AE112" s="1272" t="n"/>
      <c r="AF112" s="1272" t="n"/>
      <c r="AG112" s="1272" t="n"/>
      <c r="AH112" s="1272" t="n"/>
      <c r="AI112" s="1272" t="n"/>
      <c r="AJ112" s="1272" t="n"/>
      <c r="AK112" s="1272" t="n"/>
      <c r="AL112" s="1272" t="n"/>
      <c r="AM112" s="1272" t="n"/>
      <c r="AN112" s="1272" t="n"/>
      <c r="AO112" s="1272" t="n"/>
      <c r="AP112" s="1272" t="n"/>
      <c r="AQ112" s="1277" t="n"/>
    </row>
    <row r="113" ht="13.55" customHeight="1" s="1676">
      <c r="A113" s="1304" t="n"/>
      <c r="B113" s="1333" t="inlineStr">
        <is>
          <t>Text_672</t>
        </is>
      </c>
      <c r="C113" s="1272" t="n"/>
      <c r="D113" s="1273" t="inlineStr">
        <is>
          <t>Text_618</t>
        </is>
      </c>
      <c r="E113" s="1274" t="inlineStr">
        <is>
          <t>Text_643</t>
        </is>
      </c>
      <c r="F113" s="1275" t="n"/>
      <c r="G113" s="1272" t="n"/>
      <c r="H113" s="1273" t="inlineStr">
        <is>
          <t>Text_618</t>
        </is>
      </c>
      <c r="I113" s="1274" t="inlineStr">
        <is>
          <t>Text_643</t>
        </is>
      </c>
      <c r="J113" s="1275" t="n"/>
      <c r="K113" s="1272" t="n"/>
      <c r="L113" s="1273" t="inlineStr">
        <is>
          <t>Text_618</t>
        </is>
      </c>
      <c r="M113" s="1274" t="inlineStr">
        <is>
          <t>Text_643</t>
        </is>
      </c>
      <c r="N113" s="1275" t="n"/>
      <c r="O113" s="1272" t="n"/>
      <c r="P113" s="1273" t="inlineStr">
        <is>
          <t>Text_618</t>
        </is>
      </c>
      <c r="Q113" s="1274" t="inlineStr">
        <is>
          <t>Text_643</t>
        </is>
      </c>
      <c r="R113" s="1275" t="n"/>
      <c r="S113" s="1272" t="n"/>
      <c r="T113" s="1272" t="n"/>
      <c r="U113" s="1272" t="n"/>
      <c r="V113" s="1275" t="n"/>
      <c r="W113" s="1272" t="n"/>
      <c r="X113" s="1272" t="n"/>
      <c r="Y113" s="1272" t="n"/>
      <c r="Z113" s="1275" t="n"/>
      <c r="AA113" s="1272" t="n"/>
      <c r="AB113" s="1272" t="n"/>
      <c r="AC113" s="1272" t="n"/>
      <c r="AD113" s="1275" t="n"/>
      <c r="AE113" s="1272" t="n"/>
      <c r="AF113" s="1272" t="n"/>
      <c r="AG113" s="1272" t="n"/>
      <c r="AH113" s="1272" t="n"/>
      <c r="AI113" s="1272" t="n"/>
      <c r="AJ113" s="1272" t="n"/>
      <c r="AK113" s="1272" t="n"/>
      <c r="AL113" s="1272" t="n"/>
      <c r="AM113" s="1272" t="n"/>
      <c r="AN113" s="1272" t="n"/>
      <c r="AO113" s="1272" t="n"/>
      <c r="AP113" s="1272" t="n"/>
      <c r="AQ113" s="1277" t="n"/>
    </row>
    <row r="114" ht="15.75" customHeight="1" s="1676">
      <c r="A114" s="1304" t="n"/>
      <c r="B114" s="1334" t="inlineStr">
        <is>
          <t>Text_645</t>
        </is>
      </c>
      <c r="C114" s="1272" t="n"/>
      <c r="D114" s="1347" t="n">
        <v>2224.71143222026</v>
      </c>
      <c r="E114" s="1282" t="n">
        <v>2208.49825997501</v>
      </c>
      <c r="F114" s="1274" t="inlineStr">
        <is>
          <t>Text_646</t>
        </is>
      </c>
      <c r="G114" s="1272" t="n"/>
      <c r="H114" s="1347" t="n">
        <v>1854.77163780055</v>
      </c>
      <c r="I114" s="1282" t="n">
        <v>1855.83956447501</v>
      </c>
      <c r="J114" s="1274" t="inlineStr">
        <is>
          <t>Text_646</t>
        </is>
      </c>
      <c r="K114" s="1272" t="n"/>
      <c r="L114" s="1347" t="n">
        <v>2213.38221079489</v>
      </c>
      <c r="M114" s="1282" t="n">
        <v>2281.95056214866</v>
      </c>
      <c r="N114" s="1274" t="inlineStr">
        <is>
          <t>Text_646</t>
        </is>
      </c>
      <c r="O114" s="1272" t="n"/>
      <c r="P114" s="1347" t="n">
        <v>1774.78871829144</v>
      </c>
      <c r="Q114" s="1282">
        <f t="array" ref="Q114">P114</f>
        <v/>
      </c>
      <c r="R114" s="1322" t="n"/>
      <c r="S114" s="1272" t="n"/>
      <c r="T114" s="1272" t="n"/>
      <c r="U114" s="1272" t="n"/>
      <c r="V114" s="1322" t="n"/>
      <c r="W114" s="1272" t="n"/>
      <c r="X114" s="1272" t="n"/>
      <c r="Y114" s="1272" t="n"/>
      <c r="Z114" s="1322" t="n"/>
      <c r="AA114" s="1272" t="n"/>
      <c r="AB114" s="1272" t="n"/>
      <c r="AC114" s="1272" t="n"/>
      <c r="AD114" s="1322" t="n"/>
      <c r="AE114" s="1272" t="n"/>
      <c r="AF114" s="1272" t="n"/>
      <c r="AG114" s="1272" t="n"/>
      <c r="AH114" s="1272" t="n"/>
      <c r="AI114" s="1272" t="n"/>
      <c r="AJ114" s="1272" t="n"/>
      <c r="AK114" s="1272" t="n"/>
      <c r="AL114" s="1272" t="n"/>
      <c r="AM114" s="1272" t="n"/>
      <c r="AN114" s="1272" t="n"/>
      <c r="AO114" s="1272" t="n"/>
      <c r="AP114" s="1272" t="n"/>
      <c r="AQ114" s="1277" t="n"/>
    </row>
    <row r="115" ht="8" customHeight="1" s="1676">
      <c r="A115" s="1284" t="n"/>
      <c r="B115" s="1335" t="n"/>
      <c r="C115" s="1272" t="n"/>
      <c r="D115" s="2339" t="n"/>
      <c r="E115" s="2339" t="n"/>
      <c r="F115" s="2340" t="n"/>
      <c r="G115" s="1272" t="n"/>
      <c r="H115" s="2339" t="n"/>
      <c r="I115" s="2339" t="n"/>
      <c r="J115" s="2340" t="n"/>
      <c r="K115" s="1272" t="n"/>
      <c r="L115" s="2339" t="n"/>
      <c r="M115" s="2339" t="n"/>
      <c r="N115" s="2340" t="n"/>
      <c r="O115" s="1272" t="n"/>
      <c r="P115" s="2339" t="n"/>
      <c r="Q115" s="1288" t="n"/>
      <c r="R115" s="2340" t="n"/>
      <c r="S115" s="1272" t="n"/>
      <c r="T115" s="2340" t="n"/>
      <c r="U115" s="1291" t="n"/>
      <c r="V115" s="2340" t="n"/>
      <c r="W115" s="1272" t="n"/>
      <c r="X115" s="2340" t="n"/>
      <c r="Y115" s="1291" t="n"/>
      <c r="Z115" s="2340" t="n"/>
      <c r="AA115" s="1272" t="n"/>
      <c r="AB115" s="2340" t="n"/>
      <c r="AC115" s="1291" t="n"/>
      <c r="AD115" s="2340" t="n"/>
      <c r="AE115" s="1272" t="n"/>
      <c r="AF115" s="2340" t="n"/>
      <c r="AG115" s="1291" t="n"/>
      <c r="AH115" s="1272" t="n"/>
      <c r="AI115" s="1272" t="n"/>
      <c r="AJ115" s="1272" t="n"/>
      <c r="AK115" s="1272" t="n"/>
      <c r="AL115" s="1272" t="n"/>
      <c r="AM115" s="1272" t="n"/>
      <c r="AN115" s="1272" t="n"/>
      <c r="AO115" s="1272" t="n"/>
      <c r="AP115" s="1272" t="n"/>
      <c r="AQ115" s="1277" t="n"/>
    </row>
    <row r="116" ht="13.55" customHeight="1" s="1676">
      <c r="A116" s="1304" t="n"/>
      <c r="B116" s="1327" t="inlineStr">
        <is>
          <t>Text_132</t>
        </is>
      </c>
      <c r="C116" s="1291" t="n"/>
      <c r="D116" s="1297" t="n">
        <v>4723.65186161054</v>
      </c>
      <c r="E116" s="1336">
        <f t="array" ref="E116">D116/$D$127</f>
        <v/>
      </c>
      <c r="F116" s="1294">
        <f t="array" ref="F116">D116/H116-1</f>
        <v/>
      </c>
      <c r="G116" s="1291" t="n"/>
      <c r="H116" s="1297" t="n">
        <v>4582.86616755816</v>
      </c>
      <c r="I116" s="1293">
        <f t="array" ref="I116">H116/$H$127</f>
        <v/>
      </c>
      <c r="J116" s="1294">
        <f t="array" ref="J116">H116/L116-1</f>
        <v/>
      </c>
      <c r="K116" s="1291" t="n"/>
      <c r="L116" s="2341" t="n">
        <v>4120.46506702078</v>
      </c>
      <c r="M116" s="1293">
        <f t="array" ref="M116">L116/$L$127</f>
        <v/>
      </c>
      <c r="N116" s="1294">
        <f t="array" ref="N116">L116/P116-1</f>
        <v/>
      </c>
      <c r="O116" s="1272" t="n"/>
      <c r="P116" s="2341" t="n">
        <v>2149.84124584318</v>
      </c>
      <c r="Q116" s="1293">
        <f t="array" ref="Q116">P116/$P$127</f>
        <v/>
      </c>
      <c r="R116" s="1293" t="n"/>
      <c r="S116" s="1272" t="n"/>
      <c r="T116" s="1272" t="n"/>
      <c r="U116" s="1272" t="n"/>
      <c r="V116" s="1275" t="n"/>
      <c r="W116" s="1272" t="n"/>
      <c r="X116" s="1272" t="n"/>
      <c r="Y116" s="1272" t="n"/>
      <c r="Z116" s="1275" t="n"/>
      <c r="AA116" s="1272" t="n"/>
      <c r="AB116" s="1272" t="n"/>
      <c r="AC116" s="1272" t="n"/>
      <c r="AD116" s="1275" t="n"/>
      <c r="AE116" s="1272" t="n"/>
      <c r="AF116" s="1272" t="n"/>
      <c r="AG116" s="1272" t="n"/>
      <c r="AH116" s="1272" t="n"/>
      <c r="AI116" s="1272" t="n"/>
      <c r="AJ116" s="1272" t="n"/>
      <c r="AK116" s="1272" t="n"/>
      <c r="AL116" s="1272" t="n"/>
      <c r="AM116" s="1272" t="n"/>
      <c r="AN116" s="1272" t="n"/>
      <c r="AO116" s="1272" t="n"/>
      <c r="AP116" s="1272" t="n"/>
      <c r="AQ116" s="1277" t="n"/>
    </row>
    <row r="117" ht="13.55" customHeight="1" s="1676">
      <c r="A117" s="1304" t="n"/>
      <c r="B117" s="1296" t="inlineStr">
        <is>
          <t>Text_648</t>
        </is>
      </c>
      <c r="C117" s="1272" t="n"/>
      <c r="D117" s="1297" t="n">
        <v>840.115492722948</v>
      </c>
      <c r="E117" s="1293">
        <f t="array" ref="E117">D117/$D$127</f>
        <v/>
      </c>
      <c r="F117" s="1294">
        <f t="array" ref="F117">D117/H117-1</f>
        <v/>
      </c>
      <c r="G117" s="1272" t="n"/>
      <c r="H117" s="1297" t="n">
        <v>1356.72392020923</v>
      </c>
      <c r="I117" s="1298">
        <f t="array" ref="I117">H117/$L$127</f>
        <v/>
      </c>
      <c r="J117" s="1299">
        <f t="array" ref="J117">H117/L117-1</f>
        <v/>
      </c>
      <c r="K117" s="1272" t="n"/>
      <c r="L117" s="1337" t="n">
        <v>863.743896072805</v>
      </c>
      <c r="M117" s="1298">
        <f t="array" ref="M117">L117/$L$127</f>
        <v/>
      </c>
      <c r="N117" s="1299">
        <f t="array" ref="N117">L117/P117-1</f>
        <v/>
      </c>
      <c r="O117" s="1272" t="n"/>
      <c r="P117" s="1337" t="n">
        <v>679.774294284499</v>
      </c>
      <c r="Q117" s="1298">
        <f t="array" ref="Q117">P117/$P$127</f>
        <v/>
      </c>
      <c r="R117" s="1298" t="n"/>
      <c r="S117" s="1272" t="n"/>
      <c r="T117" s="1272" t="n"/>
      <c r="U117" s="1272" t="n"/>
      <c r="V117" s="1298" t="n"/>
      <c r="W117" s="1272" t="n"/>
      <c r="X117" s="1272" t="n"/>
      <c r="Y117" s="1272" t="n"/>
      <c r="Z117" s="1298" t="n"/>
      <c r="AA117" s="1272" t="n"/>
      <c r="AB117" s="1272" t="n"/>
      <c r="AC117" s="1272" t="n"/>
      <c r="AD117" s="1298" t="n"/>
      <c r="AE117" s="1272" t="n"/>
      <c r="AF117" s="1272" t="n"/>
      <c r="AG117" s="1272" t="n"/>
      <c r="AH117" s="1272" t="n"/>
      <c r="AI117" s="1272" t="n"/>
      <c r="AJ117" s="1272" t="n"/>
      <c r="AK117" s="1272" t="n"/>
      <c r="AL117" s="1272" t="n"/>
      <c r="AM117" s="1272" t="n"/>
      <c r="AN117" s="1272" t="n"/>
      <c r="AO117" s="1272" t="n"/>
      <c r="AP117" s="1272" t="n"/>
      <c r="AQ117" s="1277" t="n"/>
    </row>
    <row r="118" ht="13.55" customHeight="1" s="1676">
      <c r="A118" s="1304" t="n"/>
      <c r="B118" s="1296" t="inlineStr">
        <is>
          <t>Text_652</t>
        </is>
      </c>
      <c r="C118" s="1272" t="n"/>
      <c r="D118" s="1297" t="n">
        <v>341.857711209522</v>
      </c>
      <c r="E118" s="1293">
        <f t="array" ref="E118">D118/$D$127</f>
        <v/>
      </c>
      <c r="F118" s="1294">
        <f t="array" ref="F118">D118/H118-1</f>
        <v/>
      </c>
      <c r="G118" s="1272" t="n"/>
      <c r="H118" s="1297" t="n">
        <v>332.422059723079</v>
      </c>
      <c r="I118" s="1298">
        <f t="array" ref="I118">H118/$L$127</f>
        <v/>
      </c>
      <c r="J118" s="1299">
        <f t="array" ref="J118">H118/L118-1</f>
        <v/>
      </c>
      <c r="K118" s="1272" t="n"/>
      <c r="L118" s="1337" t="n">
        <v>345.136088465698</v>
      </c>
      <c r="M118" s="1298">
        <f t="array" ref="M118">L118/$L$127</f>
        <v/>
      </c>
      <c r="N118" s="1299">
        <f t="array" ref="N118">L118/P118-1</f>
        <v/>
      </c>
      <c r="O118" s="1272" t="n"/>
      <c r="P118" s="1337" t="n">
        <v>235.857820436196</v>
      </c>
      <c r="Q118" s="1298">
        <f t="array" ref="Q118">P118/$P$127</f>
        <v/>
      </c>
      <c r="R118" s="1298" t="n"/>
      <c r="S118" s="1272" t="n"/>
      <c r="T118" s="1272" t="n"/>
      <c r="U118" s="1272" t="n"/>
      <c r="V118" s="1298" t="n"/>
      <c r="W118" s="1272" t="n"/>
      <c r="X118" s="1272" t="n"/>
      <c r="Y118" s="1272" t="n"/>
      <c r="Z118" s="1298" t="n"/>
      <c r="AA118" s="1272" t="n"/>
      <c r="AB118" s="1272" t="n"/>
      <c r="AC118" s="1272" t="n"/>
      <c r="AD118" s="1298" t="n"/>
      <c r="AE118" s="1272" t="n"/>
      <c r="AF118" s="1272" t="n"/>
      <c r="AG118" s="1272" t="n"/>
      <c r="AH118" s="1272" t="n"/>
      <c r="AI118" s="1272" t="n"/>
      <c r="AJ118" s="1272" t="n"/>
      <c r="AK118" s="1272" t="n"/>
      <c r="AL118" s="1272" t="n"/>
      <c r="AM118" s="1272" t="n"/>
      <c r="AN118" s="1272" t="n"/>
      <c r="AO118" s="1272" t="n"/>
      <c r="AP118" s="1272" t="n"/>
      <c r="AQ118" s="1277" t="n"/>
    </row>
    <row r="119" ht="13.55" customHeight="1" s="1676">
      <c r="A119" s="1304" t="n"/>
      <c r="B119" s="1296" t="inlineStr">
        <is>
          <t>Text_654</t>
        </is>
      </c>
      <c r="C119" s="1272" t="n"/>
      <c r="D119" s="1297" t="n">
        <v>270.870677566229</v>
      </c>
      <c r="E119" s="1293">
        <f t="array" ref="E119">D119/$D$127</f>
        <v/>
      </c>
      <c r="F119" s="1294">
        <f t="array" ref="F119">D119/H119-1</f>
        <v/>
      </c>
      <c r="G119" s="1272" t="n"/>
      <c r="H119" s="1297" t="n">
        <v>314.448099400707</v>
      </c>
      <c r="I119" s="1298">
        <f t="array" ref="I119">H119/$L$127</f>
        <v/>
      </c>
      <c r="J119" s="1299">
        <f t="array" ref="J119">H119/L119-1</f>
        <v/>
      </c>
      <c r="K119" s="1272" t="n"/>
      <c r="L119" s="1337" t="n">
        <v>283.059567570688</v>
      </c>
      <c r="M119" s="1298">
        <f t="array" ref="M119">L119/$L$127</f>
        <v/>
      </c>
      <c r="N119" s="1299">
        <f t="array" ref="N119">L119/P119-1</f>
        <v/>
      </c>
      <c r="O119" s="1272" t="n"/>
      <c r="P119" s="1337" t="n">
        <v>159.874563056306</v>
      </c>
      <c r="Q119" s="1298">
        <f t="array" ref="Q119">P119/$P$127</f>
        <v/>
      </c>
      <c r="R119" s="1298" t="n"/>
      <c r="S119" s="1272" t="n"/>
      <c r="T119" s="1272" t="n"/>
      <c r="U119" s="1272" t="n"/>
      <c r="V119" s="1298" t="n"/>
      <c r="W119" s="1272" t="n"/>
      <c r="X119" s="1272" t="n"/>
      <c r="Y119" s="1272" t="n"/>
      <c r="Z119" s="1298" t="n"/>
      <c r="AA119" s="1272" t="n"/>
      <c r="AB119" s="1272" t="n"/>
      <c r="AC119" s="1272" t="n"/>
      <c r="AD119" s="1298" t="n"/>
      <c r="AE119" s="1272" t="n"/>
      <c r="AF119" s="1272" t="n"/>
      <c r="AG119" s="1272" t="n"/>
      <c r="AH119" s="1272" t="n"/>
      <c r="AI119" s="1272" t="n"/>
      <c r="AJ119" s="1272" t="n"/>
      <c r="AK119" s="1272" t="n"/>
      <c r="AL119" s="1272" t="n"/>
      <c r="AM119" s="1272" t="n"/>
      <c r="AN119" s="1272" t="n"/>
      <c r="AO119" s="1272" t="n"/>
      <c r="AP119" s="1272" t="n"/>
      <c r="AQ119" s="1277" t="n"/>
    </row>
    <row r="120" ht="13.55" customHeight="1" s="1676">
      <c r="A120" s="1304" t="n"/>
      <c r="B120" s="1296" t="inlineStr">
        <is>
          <t>Text_668</t>
        </is>
      </c>
      <c r="C120" s="1272" t="n"/>
      <c r="D120" s="1297" t="n">
        <v>248.687167065757</v>
      </c>
      <c r="E120" s="1293">
        <f t="array" ref="E120">D120/$D$127</f>
        <v/>
      </c>
      <c r="F120" s="1294">
        <f t="array" ref="F120">D120/H120-1</f>
        <v/>
      </c>
      <c r="G120" s="1272" t="n"/>
      <c r="H120" s="1297" t="n">
        <v>235.23630567851</v>
      </c>
      <c r="I120" s="1298">
        <f t="array" ref="I120">H120/$L$127</f>
        <v/>
      </c>
      <c r="J120" s="1299">
        <f t="array" ref="J120">H120/L120-1</f>
        <v/>
      </c>
      <c r="K120" s="1272" t="n"/>
      <c r="L120" s="1337" t="n">
        <v>209.723945067881</v>
      </c>
      <c r="M120" s="1298">
        <f t="array" ref="M120">L120/$L$127</f>
        <v/>
      </c>
      <c r="N120" s="1299">
        <f t="array" ref="N120">L120/P120-1</f>
        <v/>
      </c>
      <c r="O120" s="1272" t="n"/>
      <c r="P120" s="1337" t="n">
        <v>154.002409632333</v>
      </c>
      <c r="Q120" s="1298">
        <f t="array" ref="Q120">P120/$P$127</f>
        <v/>
      </c>
      <c r="R120" s="1298" t="n"/>
      <c r="S120" s="1272" t="n"/>
      <c r="T120" s="1272" t="n"/>
      <c r="U120" s="1272" t="n"/>
      <c r="V120" s="1298" t="n"/>
      <c r="W120" s="1272" t="n"/>
      <c r="X120" s="1272" t="n"/>
      <c r="Y120" s="1272" t="n"/>
      <c r="Z120" s="1298" t="n"/>
      <c r="AA120" s="1272" t="n"/>
      <c r="AB120" s="1272" t="n"/>
      <c r="AC120" s="1272" t="n"/>
      <c r="AD120" s="1298" t="n"/>
      <c r="AE120" s="1272" t="n"/>
      <c r="AF120" s="1272" t="n"/>
      <c r="AG120" s="1272" t="n"/>
      <c r="AH120" s="1272" t="n"/>
      <c r="AI120" s="1272" t="n"/>
      <c r="AJ120" s="1272" t="n"/>
      <c r="AK120" s="1272" t="n"/>
      <c r="AL120" s="1272" t="n"/>
      <c r="AM120" s="1272" t="n"/>
      <c r="AN120" s="1272" t="n"/>
      <c r="AO120" s="1272" t="n"/>
      <c r="AP120" s="1272" t="n"/>
      <c r="AQ120" s="1277" t="n"/>
    </row>
    <row r="121" ht="13.55" customHeight="1" s="1676">
      <c r="A121" s="1304" t="n"/>
      <c r="B121" s="1296" t="inlineStr">
        <is>
          <t>Text_650</t>
        </is>
      </c>
      <c r="C121" s="1272" t="n"/>
      <c r="D121" s="1297" t="n">
        <v>189.712729079606</v>
      </c>
      <c r="E121" s="1293">
        <f t="array" ref="E121">D121/$D$127</f>
        <v/>
      </c>
      <c r="F121" s="1294">
        <f t="array" ref="F121">D121/H121-1</f>
        <v/>
      </c>
      <c r="G121" s="1272" t="n"/>
      <c r="H121" s="1297" t="n">
        <v>140.38070078466</v>
      </c>
      <c r="I121" s="1298">
        <f t="array" ref="I121">H121/$L$127</f>
        <v/>
      </c>
      <c r="J121" s="1299">
        <f t="array" ref="J121">H121/L121-1</f>
        <v/>
      </c>
      <c r="K121" s="1272" t="n"/>
      <c r="L121" s="1337" t="n">
        <v>127.135963657852</v>
      </c>
      <c r="M121" s="1298">
        <f t="array" ref="M121">L121/$L$127</f>
        <v/>
      </c>
      <c r="N121" s="1299">
        <f t="array" ref="N121">L121/P121-1</f>
        <v/>
      </c>
      <c r="O121" s="1272" t="n"/>
      <c r="P121" s="1337" t="n">
        <v>125.692408295411</v>
      </c>
      <c r="Q121" s="1298">
        <f t="array" ref="Q121">P121/$P$127</f>
        <v/>
      </c>
      <c r="R121" s="1298" t="n"/>
      <c r="S121" s="1272" t="n"/>
      <c r="T121" s="1272" t="n"/>
      <c r="U121" s="1272" t="n"/>
      <c r="V121" s="1298" t="n"/>
      <c r="W121" s="1272" t="n"/>
      <c r="X121" s="1272" t="n"/>
      <c r="Y121" s="1272" t="n"/>
      <c r="Z121" s="1298" t="n"/>
      <c r="AA121" s="1272" t="n"/>
      <c r="AB121" s="1272" t="n"/>
      <c r="AC121" s="1272" t="n"/>
      <c r="AD121" s="1298" t="n"/>
      <c r="AE121" s="1272" t="n"/>
      <c r="AF121" s="1272" t="n"/>
      <c r="AG121" s="1272" t="n"/>
      <c r="AH121" s="1272" t="n"/>
      <c r="AI121" s="1272" t="n"/>
      <c r="AJ121" s="1272" t="n"/>
      <c r="AK121" s="1272" t="n"/>
      <c r="AL121" s="1272" t="n"/>
      <c r="AM121" s="1272" t="n"/>
      <c r="AN121" s="1272" t="n"/>
      <c r="AO121" s="1272" t="n"/>
      <c r="AP121" s="1272" t="n"/>
      <c r="AQ121" s="1277" t="n"/>
    </row>
    <row r="122" ht="13.55" customHeight="1" s="1676">
      <c r="A122" s="1338" t="n"/>
      <c r="B122" s="1339" t="inlineStr">
        <is>
          <t>Text_673</t>
        </is>
      </c>
      <c r="C122" s="1272" t="n"/>
      <c r="D122" s="1297" t="n">
        <v>78.48953545980299</v>
      </c>
      <c r="E122" s="1293">
        <f t="array" ref="E122">D122/$D$127</f>
        <v/>
      </c>
      <c r="F122" s="1294">
        <f t="array" ref="F122">D122/H122-1</f>
        <v/>
      </c>
      <c r="G122" s="1272" t="n"/>
      <c r="H122" s="1297" t="n">
        <v>53.2857916054385</v>
      </c>
      <c r="I122" s="1298">
        <f t="array" ref="I122">H122/$L$127</f>
        <v/>
      </c>
      <c r="J122" s="1299">
        <f t="array" ref="J122">H122/L122-1</f>
        <v/>
      </c>
      <c r="K122" s="1272" t="n"/>
      <c r="L122" s="1337" t="n">
        <v>37.2292547183647</v>
      </c>
      <c r="M122" s="1298">
        <f t="array" ref="M122">L122/$L$127</f>
        <v/>
      </c>
      <c r="N122" s="1299" t="n"/>
      <c r="O122" s="1272" t="n"/>
      <c r="P122" s="1337" t="n"/>
      <c r="Q122" s="1298" t="n"/>
      <c r="R122" s="1298" t="n"/>
      <c r="S122" s="1272" t="n"/>
      <c r="T122" s="1272" t="n"/>
      <c r="U122" s="1272" t="n"/>
      <c r="V122" s="1298" t="n"/>
      <c r="W122" s="1272" t="n"/>
      <c r="X122" s="1272" t="n"/>
      <c r="Y122" s="1272" t="n"/>
      <c r="Z122" s="1298" t="n"/>
      <c r="AA122" s="1272" t="n"/>
      <c r="AB122" s="1272" t="n"/>
      <c r="AC122" s="1272" t="n"/>
      <c r="AD122" s="1298" t="n"/>
      <c r="AE122" s="1272" t="n"/>
      <c r="AF122" s="1272" t="n"/>
      <c r="AG122" s="1272" t="n"/>
      <c r="AH122" s="1272" t="n"/>
      <c r="AI122" s="1272" t="n"/>
      <c r="AJ122" s="1272" t="n"/>
      <c r="AK122" s="1272" t="n"/>
      <c r="AL122" s="1272" t="n"/>
      <c r="AM122" s="1272" t="n"/>
      <c r="AN122" s="1272" t="n"/>
      <c r="AO122" s="1272" t="n"/>
      <c r="AP122" s="1272" t="n"/>
      <c r="AQ122" s="1277" t="n"/>
    </row>
    <row r="123" ht="13.55" customHeight="1" s="1676">
      <c r="A123" s="1304" t="n"/>
      <c r="B123" s="1327" t="inlineStr">
        <is>
          <t>Text_649</t>
        </is>
      </c>
      <c r="C123" s="1291" t="n"/>
      <c r="D123" s="1297" t="n">
        <v>58.5857655539804</v>
      </c>
      <c r="E123" s="1293">
        <f t="array" ref="E123">D123/$D$127</f>
        <v/>
      </c>
      <c r="F123" s="1294">
        <f t="array" ref="F123">D123/H123-1</f>
        <v/>
      </c>
      <c r="G123" s="1291" t="n"/>
      <c r="H123" s="2341" t="n">
        <v>35.3548356166576</v>
      </c>
      <c r="I123" s="1293">
        <f t="array" ref="I123">H123/$L$127</f>
        <v/>
      </c>
      <c r="J123" s="1294">
        <f t="array" ref="J123">H123/L123-1</f>
        <v/>
      </c>
      <c r="K123" s="1291" t="n"/>
      <c r="L123" s="2341" t="n">
        <v>40.6516126141693</v>
      </c>
      <c r="M123" s="1293">
        <f t="array" ref="M123">L123/$L$127</f>
        <v/>
      </c>
      <c r="N123" s="1294">
        <f t="array" ref="N123">L123/P123-1</f>
        <v/>
      </c>
      <c r="O123" s="1272" t="n"/>
      <c r="P123" s="2341" t="n">
        <v>31.4282881001955</v>
      </c>
      <c r="Q123" s="1293">
        <f t="array" ref="Q123">P123/$P$127</f>
        <v/>
      </c>
      <c r="R123" s="1293" t="n"/>
      <c r="S123" s="1272" t="n"/>
      <c r="T123" s="2351" t="n"/>
      <c r="U123" s="1272" t="n"/>
      <c r="V123" s="1275" t="n"/>
      <c r="W123" s="1272" t="n"/>
      <c r="X123" s="1272" t="n"/>
      <c r="Y123" s="1272" t="n"/>
      <c r="Z123" s="1275" t="n"/>
      <c r="AA123" s="1272" t="n"/>
      <c r="AB123" s="1272" t="n"/>
      <c r="AC123" s="1272" t="n"/>
      <c r="AD123" s="1275" t="n"/>
      <c r="AE123" s="1272" t="n"/>
      <c r="AF123" s="1272" t="n"/>
      <c r="AG123" s="1272" t="n"/>
      <c r="AH123" s="1272" t="n"/>
      <c r="AI123" s="1272" t="n"/>
      <c r="AJ123" s="1272" t="n"/>
      <c r="AK123" s="1272" t="n"/>
      <c r="AL123" s="1272" t="n"/>
      <c r="AM123" s="1272" t="n"/>
      <c r="AN123" s="1272" t="n"/>
      <c r="AO123" s="1272" t="n"/>
      <c r="AP123" s="1272" t="n"/>
      <c r="AQ123" s="1277" t="n"/>
    </row>
    <row r="124" ht="13.55" customHeight="1" s="1676">
      <c r="A124" s="1304" t="n"/>
      <c r="B124" s="1296" t="inlineStr">
        <is>
          <t>Text_674</t>
        </is>
      </c>
      <c r="C124" s="1272" t="n"/>
      <c r="D124" s="1297" t="n">
        <v>28.3634220707888</v>
      </c>
      <c r="E124" s="1298" t="n"/>
      <c r="F124" s="1299" t="n"/>
      <c r="G124" s="1272" t="n"/>
      <c r="H124" s="1337" t="n">
        <v>36.7599250475589</v>
      </c>
      <c r="I124" s="1298">
        <f t="array" ref="I124">H124/$L$127</f>
        <v/>
      </c>
      <c r="J124" s="1299">
        <f t="array" ref="J124">H124/L124-1</f>
        <v/>
      </c>
      <c r="K124" s="1272" t="n"/>
      <c r="L124" s="1337" t="n">
        <v>41.1807739432718</v>
      </c>
      <c r="M124" s="1298">
        <f t="array" ref="M124">L124/$L$127</f>
        <v/>
      </c>
      <c r="N124" s="1299">
        <f t="array" ref="N124">L124/P124-1</f>
        <v/>
      </c>
      <c r="O124" s="1272" t="n"/>
      <c r="P124" s="1337" t="n">
        <v>34.6731948737284</v>
      </c>
      <c r="Q124" s="1298">
        <f t="array" ref="Q124">P124/$P$127</f>
        <v/>
      </c>
      <c r="R124" s="1298" t="n"/>
      <c r="S124" s="1272" t="n"/>
      <c r="T124" s="1272" t="n"/>
      <c r="U124" s="1272" t="n"/>
      <c r="V124" s="1298" t="n"/>
      <c r="W124" s="1272" t="n"/>
      <c r="X124" s="1272" t="n"/>
      <c r="Y124" s="1272" t="n"/>
      <c r="Z124" s="1298" t="n"/>
      <c r="AA124" s="1272" t="n"/>
      <c r="AB124" s="1272" t="n"/>
      <c r="AC124" s="1272" t="n"/>
      <c r="AD124" s="1298" t="n"/>
      <c r="AE124" s="1272" t="n"/>
      <c r="AF124" s="1272" t="n"/>
      <c r="AG124" s="1272" t="n"/>
      <c r="AH124" s="1272" t="n"/>
      <c r="AI124" s="1272" t="n"/>
      <c r="AJ124" s="1272" t="n"/>
      <c r="AK124" s="1272" t="n"/>
      <c r="AL124" s="1272" t="n"/>
      <c r="AM124" s="1272" t="n"/>
      <c r="AN124" s="1272" t="n"/>
      <c r="AO124" s="1272" t="n"/>
      <c r="AP124" s="1272" t="n"/>
      <c r="AQ124" s="1277" t="n"/>
    </row>
    <row r="125" ht="13.55" customHeight="1" s="1676">
      <c r="A125" s="1304" t="n"/>
      <c r="B125" s="1296" t="inlineStr">
        <is>
          <t>Text_669</t>
        </is>
      </c>
      <c r="C125" s="1272" t="n"/>
      <c r="D125" s="1297" t="n">
        <v>2.73445939776753</v>
      </c>
      <c r="E125" s="1298" t="n"/>
      <c r="F125" s="1299" t="n"/>
      <c r="G125" s="1272" t="n"/>
      <c r="H125" s="1337" t="n">
        <v>4.17171374038505</v>
      </c>
      <c r="I125" s="1298">
        <f t="array" ref="I125">H125/$L$127</f>
        <v/>
      </c>
      <c r="J125" s="1299">
        <f t="array" ref="J125">H125/L125-1</f>
        <v/>
      </c>
      <c r="K125" s="1272" t="n"/>
      <c r="L125" s="1337" t="n">
        <v>6.97489883932949</v>
      </c>
      <c r="M125" s="1298">
        <f t="array" ref="M125">L125/$L$127</f>
        <v/>
      </c>
      <c r="N125" s="1299">
        <f t="array" ref="N125">L125/P125-1</f>
        <v/>
      </c>
      <c r="O125" s="1272" t="n"/>
      <c r="P125" s="1337" t="n">
        <v>4.63195488537544</v>
      </c>
      <c r="Q125" s="1298">
        <f t="array" ref="Q125">P125/$P$127</f>
        <v/>
      </c>
      <c r="R125" s="1298" t="n"/>
      <c r="S125" s="1272" t="n"/>
      <c r="T125" s="1272" t="n"/>
      <c r="U125" s="1272" t="n"/>
      <c r="V125" s="1298" t="n"/>
      <c r="W125" s="1272" t="n"/>
      <c r="X125" s="1272" t="n"/>
      <c r="Y125" s="1272" t="n"/>
      <c r="Z125" s="1298" t="n"/>
      <c r="AA125" s="1272" t="n"/>
      <c r="AB125" s="1272" t="n"/>
      <c r="AC125" s="1272" t="n"/>
      <c r="AD125" s="1298" t="n"/>
      <c r="AE125" s="1272" t="n"/>
      <c r="AF125" s="1272" t="n"/>
      <c r="AG125" s="1272" t="n"/>
      <c r="AH125" s="1272" t="n"/>
      <c r="AI125" s="1272" t="n"/>
      <c r="AJ125" s="1272" t="n"/>
      <c r="AK125" s="1272" t="n"/>
      <c r="AL125" s="1272" t="n"/>
      <c r="AM125" s="1272" t="n"/>
      <c r="AN125" s="1272" t="n"/>
      <c r="AO125" s="1272" t="n"/>
      <c r="AP125" s="1272" t="n"/>
      <c r="AQ125" s="1277" t="n"/>
    </row>
    <row r="126" ht="8" customHeight="1" s="1676">
      <c r="A126" s="1284" t="n"/>
      <c r="B126" s="1341" t="n"/>
      <c r="C126" s="1272" t="n"/>
      <c r="D126" s="2343" t="n"/>
      <c r="E126" s="1298" t="n"/>
      <c r="F126" s="2340" t="n"/>
      <c r="G126" s="1272" t="n"/>
      <c r="H126" s="2343" t="n"/>
      <c r="I126" s="1298" t="n"/>
      <c r="J126" s="2340" t="n"/>
      <c r="K126" s="1272" t="n"/>
      <c r="L126" s="2343" t="n"/>
      <c r="M126" s="2340" t="n"/>
      <c r="N126" s="2340" t="n"/>
      <c r="O126" s="1272" t="n"/>
      <c r="P126" s="2343" t="n"/>
      <c r="Q126" s="1303" t="n"/>
      <c r="R126" s="2340" t="n"/>
      <c r="S126" s="1272" t="n"/>
      <c r="T126" s="2340" t="n"/>
      <c r="U126" s="1291" t="n"/>
      <c r="V126" s="2340" t="n"/>
      <c r="W126" s="1272" t="n"/>
      <c r="X126" s="2340" t="n"/>
      <c r="Y126" s="1291" t="n"/>
      <c r="Z126" s="2340" t="n"/>
      <c r="AA126" s="1272" t="n"/>
      <c r="AB126" s="2340" t="n"/>
      <c r="AC126" s="1291" t="n"/>
      <c r="AD126" s="2340" t="n"/>
      <c r="AE126" s="1272" t="n"/>
      <c r="AF126" s="2340" t="n"/>
      <c r="AG126" s="1291" t="n"/>
      <c r="AH126" s="1272" t="n"/>
      <c r="AI126" s="1272" t="n"/>
      <c r="AJ126" s="1272" t="n"/>
      <c r="AK126" s="1272" t="n"/>
      <c r="AL126" s="1272" t="n"/>
      <c r="AM126" s="1272" t="n"/>
      <c r="AN126" s="1272" t="n"/>
      <c r="AO126" s="1272" t="n"/>
      <c r="AP126" s="1272" t="n"/>
      <c r="AQ126" s="1277" t="n"/>
    </row>
    <row r="127" ht="15.75" customHeight="1" s="1676">
      <c r="A127" s="1304" t="n"/>
      <c r="B127" s="1305" t="inlineStr">
        <is>
          <t>Text_658</t>
        </is>
      </c>
      <c r="C127" s="1272" t="n"/>
      <c r="D127" s="2344" t="n">
        <v>6790.87424518877</v>
      </c>
      <c r="E127" s="1308" t="n"/>
      <c r="F127" s="1308" t="n"/>
      <c r="G127" s="1306" t="n"/>
      <c r="H127" s="2344" t="n">
        <v>6515.86211710175</v>
      </c>
      <c r="I127" s="1308" t="n"/>
      <c r="J127" s="1308" t="n"/>
      <c r="K127" s="1306" t="n"/>
      <c r="L127" s="2344">
        <f t="array" ref="L127">SUM(L116:L126)</f>
        <v/>
      </c>
      <c r="M127" s="1308" t="n"/>
      <c r="N127" s="1308" t="n"/>
      <c r="O127" s="1306" t="n"/>
      <c r="P127" s="2344">
        <f t="array" ref="P127">SUM(P116:P126)</f>
        <v/>
      </c>
      <c r="Q127" s="1272" t="n"/>
      <c r="R127" s="1272" t="n"/>
      <c r="S127" s="1272" t="n"/>
      <c r="T127" s="1272" t="n"/>
      <c r="U127" s="1272" t="n"/>
      <c r="V127" s="1272" t="n"/>
      <c r="W127" s="1272" t="n"/>
      <c r="X127" s="1272" t="n"/>
      <c r="Y127" s="1272" t="n"/>
      <c r="Z127" s="1272" t="n"/>
      <c r="AA127" s="1272" t="n"/>
      <c r="AB127" s="1272" t="n"/>
      <c r="AC127" s="1272" t="n"/>
      <c r="AD127" s="1272" t="n"/>
      <c r="AE127" s="1272" t="n"/>
      <c r="AF127" s="1272" t="n"/>
      <c r="AG127" s="1272" t="n"/>
      <c r="AH127" s="1272" t="n"/>
      <c r="AI127" s="1272" t="n"/>
      <c r="AJ127" s="1272" t="n"/>
      <c r="AK127" s="1272" t="n"/>
      <c r="AL127" s="1272" t="n"/>
      <c r="AM127" s="1272" t="n"/>
      <c r="AN127" s="1272" t="n"/>
      <c r="AO127" s="1272" t="n"/>
      <c r="AP127" s="1272" t="n"/>
      <c r="AQ127" s="1277" t="n"/>
    </row>
    <row r="128" ht="14.05" customHeight="1" s="1676">
      <c r="A128" s="1304" t="n"/>
      <c r="B128" s="1342" t="inlineStr">
        <is>
          <t>Text_15</t>
        </is>
      </c>
      <c r="C128" s="1272" t="n"/>
      <c r="D128" s="1289">
        <f t="array" ref="D128">D127/H127-1</f>
        <v/>
      </c>
      <c r="E128" s="1272" t="n"/>
      <c r="F128" s="1272" t="n"/>
      <c r="G128" s="1272" t="n"/>
      <c r="H128" s="1289">
        <f t="array" ref="H128">H127/L127-1</f>
        <v/>
      </c>
      <c r="I128" s="1272" t="n"/>
      <c r="J128" s="1272" t="n"/>
      <c r="K128" s="1272" t="n"/>
      <c r="L128" s="1289">
        <f t="array" ref="L128">L127/P127-1</f>
        <v/>
      </c>
      <c r="M128" s="1272" t="n"/>
      <c r="N128" s="1272" t="n"/>
      <c r="O128" s="1272" t="n"/>
      <c r="P128" s="1285" t="n"/>
      <c r="Q128" s="1272" t="n"/>
      <c r="R128" s="1272" t="n"/>
      <c r="S128" s="1272" t="n"/>
      <c r="T128" s="1272" t="n"/>
      <c r="U128" s="1272" t="n"/>
      <c r="V128" s="1272" t="n"/>
      <c r="W128" s="1272" t="n"/>
      <c r="X128" s="1272" t="n"/>
      <c r="Y128" s="1272" t="n"/>
      <c r="Z128" s="1272" t="n"/>
      <c r="AA128" s="1272" t="n"/>
      <c r="AB128" s="1272" t="n"/>
      <c r="AC128" s="1272" t="n"/>
      <c r="AD128" s="1272" t="n"/>
      <c r="AE128" s="1272" t="n"/>
      <c r="AF128" s="1272" t="n"/>
      <c r="AG128" s="1272" t="n"/>
      <c r="AH128" s="1272" t="n"/>
      <c r="AI128" s="1272" t="n"/>
      <c r="AJ128" s="1272" t="n"/>
      <c r="AK128" s="1272" t="n"/>
      <c r="AL128" s="1272" t="n"/>
      <c r="AM128" s="1272" t="n"/>
      <c r="AN128" s="1272" t="n"/>
      <c r="AO128" s="1272" t="n"/>
      <c r="AP128" s="1272" t="n"/>
      <c r="AQ128" s="1277" t="n"/>
    </row>
    <row r="129" hidden="1" ht="9" customHeight="1" s="1676">
      <c r="A129" s="1304" t="n"/>
      <c r="B129" s="1313" t="inlineStr">
        <is>
          <t>Text_35</t>
        </is>
      </c>
      <c r="C129" s="1272" t="n"/>
      <c r="D129" s="2348" t="n"/>
      <c r="E129" s="1272" t="n"/>
      <c r="F129" s="1272" t="n"/>
      <c r="G129" s="1272" t="n"/>
      <c r="H129" s="2348" t="n"/>
      <c r="I129" s="1272" t="n"/>
      <c r="J129" s="1272" t="n"/>
      <c r="K129" s="1272" t="n"/>
      <c r="L129" s="2348">
        <f t="array" ref="L129">L138+L148+L158+L169+L200-L127</f>
        <v/>
      </c>
      <c r="M129" s="1272" t="n"/>
      <c r="N129" s="1272" t="n"/>
      <c r="O129" s="1272" t="n"/>
      <c r="P129" s="2348">
        <f t="array" ref="P129">P138+P148+P158+P169+P200-P127</f>
        <v/>
      </c>
      <c r="Q129" s="1272" t="n"/>
      <c r="R129" s="1272" t="n"/>
      <c r="S129" s="1272" t="n"/>
      <c r="T129" s="1272" t="n"/>
      <c r="U129" s="1272" t="n"/>
      <c r="V129" s="1272" t="n"/>
      <c r="W129" s="1272" t="n"/>
      <c r="X129" s="1272" t="n"/>
      <c r="Y129" s="1272" t="n"/>
      <c r="Z129" s="1272" t="n"/>
      <c r="AA129" s="1272" t="n"/>
      <c r="AB129" s="1272" t="n"/>
      <c r="AC129" s="1272" t="n"/>
      <c r="AD129" s="1272" t="n"/>
      <c r="AE129" s="1272" t="n"/>
      <c r="AF129" s="1272" t="n"/>
      <c r="AG129" s="1272" t="n"/>
      <c r="AH129" s="1272" t="n"/>
      <c r="AI129" s="1272" t="n"/>
      <c r="AJ129" s="1272" t="n"/>
      <c r="AK129" s="1272" t="n"/>
      <c r="AL129" s="1272" t="n"/>
      <c r="AM129" s="1272" t="n"/>
      <c r="AN129" s="1272" t="n"/>
      <c r="AO129" s="1272" t="n"/>
      <c r="AP129" s="1272" t="n"/>
      <c r="AQ129" s="1277" t="n"/>
    </row>
    <row r="130" hidden="1" ht="9" customHeight="1" s="1676">
      <c r="A130" s="1304" t="n"/>
      <c r="B130" s="1272" t="n"/>
      <c r="C130" s="1272" t="n"/>
      <c r="D130" s="1272" t="n"/>
      <c r="E130" s="1272" t="n"/>
      <c r="F130" s="1272" t="n"/>
      <c r="G130" s="1272" t="n"/>
      <c r="H130" s="1272" t="n"/>
      <c r="I130" s="1272" t="n"/>
      <c r="J130" s="1272" t="n"/>
      <c r="K130" s="1272" t="n"/>
      <c r="L130" s="1272" t="n"/>
      <c r="M130" s="1272" t="n"/>
      <c r="N130" s="1272" t="n"/>
      <c r="O130" s="1272" t="n"/>
      <c r="P130" s="1272" t="n"/>
      <c r="Q130" s="1272" t="n"/>
      <c r="R130" s="1272" t="n"/>
      <c r="S130" s="1272" t="n"/>
      <c r="T130" s="1272" t="n"/>
      <c r="U130" s="1272" t="n"/>
      <c r="V130" s="1272" t="n"/>
      <c r="W130" s="1272" t="n"/>
      <c r="X130" s="1272" t="n"/>
      <c r="Y130" s="1272" t="n"/>
      <c r="Z130" s="1272" t="n"/>
      <c r="AA130" s="1272" t="n"/>
      <c r="AB130" s="1272" t="n"/>
      <c r="AC130" s="1272" t="n"/>
      <c r="AD130" s="1272" t="n"/>
      <c r="AE130" s="1272" t="n"/>
      <c r="AF130" s="1272" t="n"/>
      <c r="AG130" s="1272" t="n"/>
      <c r="AH130" s="1272" t="n"/>
      <c r="AI130" s="1272" t="n"/>
      <c r="AJ130" s="1272" t="n"/>
      <c r="AK130" s="1272" t="n"/>
      <c r="AL130" s="1272" t="n"/>
      <c r="AM130" s="1272" t="n"/>
      <c r="AN130" s="1272" t="n"/>
      <c r="AO130" s="1272" t="n"/>
      <c r="AP130" s="1272" t="n"/>
      <c r="AQ130" s="1277" t="n"/>
    </row>
    <row r="131" hidden="1" ht="9" customHeight="1" s="1676">
      <c r="A131" s="1304" t="n"/>
      <c r="B131" s="1343" t="inlineStr">
        <is>
          <t>Text_675</t>
        </is>
      </c>
      <c r="C131" s="1272" t="n"/>
      <c r="D131" s="1318" t="n"/>
      <c r="E131" s="1275" t="n"/>
      <c r="F131" s="1275" t="n"/>
      <c r="G131" s="1272" t="n"/>
      <c r="H131" s="1318" t="n"/>
      <c r="I131" s="1275" t="n"/>
      <c r="J131" s="1275" t="n"/>
      <c r="K131" s="1272" t="n"/>
      <c r="L131" s="1273" t="inlineStr">
        <is>
          <t>Text_618</t>
        </is>
      </c>
      <c r="M131" s="1274" t="inlineStr">
        <is>
          <t>Text_643</t>
        </is>
      </c>
      <c r="N131" s="1275" t="n"/>
      <c r="O131" s="1272" t="n"/>
      <c r="P131" s="1273" t="inlineStr">
        <is>
          <t>Text_618</t>
        </is>
      </c>
      <c r="Q131" s="1274" t="inlineStr">
        <is>
          <t>Text_643</t>
        </is>
      </c>
      <c r="R131" s="1275" t="n"/>
      <c r="S131" s="1272" t="n"/>
      <c r="T131" s="1272" t="n"/>
      <c r="U131" s="1272" t="n"/>
      <c r="V131" s="1275" t="n"/>
      <c r="W131" s="1272" t="n"/>
      <c r="X131" s="1272" t="n"/>
      <c r="Y131" s="1272" t="n"/>
      <c r="Z131" s="1275" t="n"/>
      <c r="AA131" s="1272" t="n"/>
      <c r="AB131" s="1272" t="n"/>
      <c r="AC131" s="1272" t="n"/>
      <c r="AD131" s="1275" t="n"/>
      <c r="AE131" s="1272" t="n"/>
      <c r="AF131" s="1272" t="n"/>
      <c r="AG131" s="1272" t="n"/>
      <c r="AH131" s="1272" t="n"/>
      <c r="AI131" s="1272" t="n"/>
      <c r="AJ131" s="1272" t="n"/>
      <c r="AK131" s="1272" t="n"/>
      <c r="AL131" s="1272" t="n"/>
      <c r="AM131" s="1272" t="n"/>
      <c r="AN131" s="1272" t="n"/>
      <c r="AO131" s="1272" t="n"/>
      <c r="AP131" s="1272" t="n"/>
      <c r="AQ131" s="1277" t="n"/>
    </row>
    <row r="132" hidden="1" ht="15.75" customHeight="1" s="1676">
      <c r="A132" s="1304" t="n"/>
      <c r="B132" s="1319" t="inlineStr">
        <is>
          <t>Text_645</t>
        </is>
      </c>
      <c r="C132" s="1272" t="n"/>
      <c r="D132" s="1321" t="n"/>
      <c r="E132" s="1322" t="n"/>
      <c r="F132" s="1322" t="n"/>
      <c r="G132" s="1272" t="n"/>
      <c r="H132" s="1321" t="n"/>
      <c r="I132" s="1322" t="n"/>
      <c r="J132" s="1322" t="n"/>
      <c r="K132" s="1272" t="n"/>
      <c r="L132" s="1321" t="n">
        <v>2165.26965940716</v>
      </c>
      <c r="M132" s="1322" t="n">
        <v>1936.40569246732</v>
      </c>
      <c r="N132" s="1322" t="n"/>
      <c r="O132" s="1272" t="n"/>
      <c r="P132" s="1321" t="n">
        <v>2123.79012008886</v>
      </c>
      <c r="Q132" s="1322">
        <f t="array" ref="Q132">P132</f>
        <v/>
      </c>
      <c r="R132" s="1322" t="n"/>
      <c r="S132" s="1272" t="n"/>
      <c r="T132" s="1272" t="n"/>
      <c r="U132" s="1272" t="n"/>
      <c r="V132" s="1322" t="n"/>
      <c r="W132" s="1272" t="n"/>
      <c r="X132" s="1272" t="n"/>
      <c r="Y132" s="1272" t="n"/>
      <c r="Z132" s="1322" t="n"/>
      <c r="AA132" s="1272" t="n"/>
      <c r="AB132" s="1272" t="n"/>
      <c r="AC132" s="1272" t="n"/>
      <c r="AD132" s="1322" t="n"/>
      <c r="AE132" s="1272" t="n"/>
      <c r="AF132" s="1272" t="n"/>
      <c r="AG132" s="1272" t="n"/>
      <c r="AH132" s="1272" t="n"/>
      <c r="AI132" s="1272" t="n"/>
      <c r="AJ132" s="1272" t="n"/>
      <c r="AK132" s="1272" t="n"/>
      <c r="AL132" s="1272" t="n"/>
      <c r="AM132" s="1272" t="n"/>
      <c r="AN132" s="1272" t="n"/>
      <c r="AO132" s="1272" t="n"/>
      <c r="AP132" s="1272" t="n"/>
      <c r="AQ132" s="1277" t="n"/>
    </row>
    <row r="133" hidden="1" ht="8" customHeight="1" s="1676">
      <c r="A133" s="1284" t="n"/>
      <c r="B133" s="1323" t="n"/>
      <c r="C133" s="1272" t="n"/>
      <c r="D133" s="2340" t="n"/>
      <c r="E133" s="2340" t="n"/>
      <c r="F133" s="2340" t="n"/>
      <c r="G133" s="1272" t="n"/>
      <c r="H133" s="2340" t="n"/>
      <c r="I133" s="2340" t="n"/>
      <c r="J133" s="2340" t="n"/>
      <c r="K133" s="1272" t="n"/>
      <c r="L133" s="2340" t="n"/>
      <c r="M133" s="2340" t="n"/>
      <c r="N133" s="2340" t="n"/>
      <c r="O133" s="1272" t="n"/>
      <c r="P133" s="2340" t="n"/>
      <c r="Q133" s="1303" t="n"/>
      <c r="R133" s="2340" t="n"/>
      <c r="S133" s="1272" t="n"/>
      <c r="T133" s="2340" t="n"/>
      <c r="U133" s="1291" t="n"/>
      <c r="V133" s="2340" t="n"/>
      <c r="W133" s="1272" t="n"/>
      <c r="X133" s="2340" t="n"/>
      <c r="Y133" s="1291" t="n"/>
      <c r="Z133" s="2340" t="n"/>
      <c r="AA133" s="1272" t="n"/>
      <c r="AB133" s="2340" t="n"/>
      <c r="AC133" s="1291" t="n"/>
      <c r="AD133" s="2340" t="n"/>
      <c r="AE133" s="1272" t="n"/>
      <c r="AF133" s="2340" t="n"/>
      <c r="AG133" s="1291" t="n"/>
      <c r="AH133" s="1272" t="n"/>
      <c r="AI133" s="1272" t="n"/>
      <c r="AJ133" s="1272" t="n"/>
      <c r="AK133" s="1272" t="n"/>
      <c r="AL133" s="1272" t="n"/>
      <c r="AM133" s="1272" t="n"/>
      <c r="AN133" s="1272" t="n"/>
      <c r="AO133" s="1272" t="n"/>
      <c r="AP133" s="1272" t="n"/>
      <c r="AQ133" s="1277" t="n"/>
    </row>
    <row r="134" hidden="1" ht="9" customHeight="1" s="1676">
      <c r="A134" s="1304" t="n"/>
      <c r="B134" s="1327" t="inlineStr">
        <is>
          <t>Text_132</t>
        </is>
      </c>
      <c r="C134" s="1272" t="n"/>
      <c r="D134" s="2342" t="n"/>
      <c r="E134" s="1293" t="n"/>
      <c r="F134" s="1293" t="n"/>
      <c r="G134" s="1272" t="n"/>
      <c r="H134" s="2342" t="n"/>
      <c r="I134" s="1293" t="n"/>
      <c r="J134" s="1293" t="n"/>
      <c r="K134" s="1272" t="n"/>
      <c r="L134" s="2342" t="n">
        <v>161.375781385408</v>
      </c>
      <c r="M134" s="1293">
        <f t="array" ref="M134">L134/L138</f>
        <v/>
      </c>
      <c r="N134" s="1293" t="n"/>
      <c r="O134" s="1272" t="n"/>
      <c r="P134" s="2342" t="n">
        <v>91.72129794154699</v>
      </c>
      <c r="Q134" s="1293">
        <f t="array" ref="Q134">P134/P138</f>
        <v/>
      </c>
      <c r="R134" s="1293" t="n"/>
      <c r="S134" s="1272" t="n"/>
      <c r="T134" s="1272" t="n"/>
      <c r="U134" s="1272" t="n"/>
      <c r="V134" s="1275" t="n"/>
      <c r="W134" s="1272" t="n"/>
      <c r="X134" s="1272" t="n"/>
      <c r="Y134" s="1272" t="n"/>
      <c r="Z134" s="1275" t="n"/>
      <c r="AA134" s="1272" t="n"/>
      <c r="AB134" s="1272" t="n"/>
      <c r="AC134" s="1272" t="n"/>
      <c r="AD134" s="1275" t="n"/>
      <c r="AE134" s="1272" t="n"/>
      <c r="AF134" s="1272" t="n"/>
      <c r="AG134" s="1272" t="n"/>
      <c r="AH134" s="1272" t="n"/>
      <c r="AI134" s="1272" t="n"/>
      <c r="AJ134" s="1272" t="n"/>
      <c r="AK134" s="1272" t="n"/>
      <c r="AL134" s="1272" t="n"/>
      <c r="AM134" s="1272" t="n"/>
      <c r="AN134" s="1272" t="n"/>
      <c r="AO134" s="1272" t="n"/>
      <c r="AP134" s="1272" t="n"/>
      <c r="AQ134" s="1277" t="n"/>
    </row>
    <row r="135" hidden="1" ht="9" customHeight="1" s="1676">
      <c r="A135" s="1304" t="n"/>
      <c r="B135" s="1324" t="inlineStr">
        <is>
          <t>Text_668</t>
        </is>
      </c>
      <c r="C135" s="1272" t="n"/>
      <c r="D135" s="2342" t="n"/>
      <c r="E135" s="1298" t="n"/>
      <c r="F135" s="1298" t="n"/>
      <c r="G135" s="1272" t="n"/>
      <c r="H135" s="2342" t="n"/>
      <c r="I135" s="1298" t="n"/>
      <c r="J135" s="1298" t="n"/>
      <c r="K135" s="1272" t="n"/>
      <c r="L135" s="2342" t="n">
        <v>64.8492614335176</v>
      </c>
      <c r="M135" s="1298" t="n"/>
      <c r="N135" s="1298" t="n"/>
      <c r="O135" s="1272" t="n"/>
      <c r="P135" s="2342" t="n">
        <v>34.5291274165984</v>
      </c>
      <c r="Q135" s="1298" t="n"/>
      <c r="R135" s="1298" t="n"/>
      <c r="S135" s="1272" t="n"/>
      <c r="T135" s="1272" t="n"/>
      <c r="U135" s="1272" t="n"/>
      <c r="V135" s="1298" t="n"/>
      <c r="W135" s="1272" t="n"/>
      <c r="X135" s="1272" t="n"/>
      <c r="Y135" s="1272" t="n"/>
      <c r="Z135" s="1298" t="n"/>
      <c r="AA135" s="1272" t="n"/>
      <c r="AB135" s="1272" t="n"/>
      <c r="AC135" s="1272" t="n"/>
      <c r="AD135" s="1298" t="n"/>
      <c r="AE135" s="1272" t="n"/>
      <c r="AF135" s="1272" t="n"/>
      <c r="AG135" s="1272" t="n"/>
      <c r="AH135" s="1272" t="n"/>
      <c r="AI135" s="1272" t="n"/>
      <c r="AJ135" s="1272" t="n"/>
      <c r="AK135" s="1272" t="n"/>
      <c r="AL135" s="1272" t="n"/>
      <c r="AM135" s="1272" t="n"/>
      <c r="AN135" s="1272" t="n"/>
      <c r="AO135" s="1272" t="n"/>
      <c r="AP135" s="1272" t="n"/>
      <c r="AQ135" s="1277" t="n"/>
    </row>
    <row r="136" hidden="1" ht="9" customHeight="1" s="1676">
      <c r="A136" s="1304" t="n"/>
      <c r="B136" s="1324" t="inlineStr">
        <is>
          <t>Text_674</t>
        </is>
      </c>
      <c r="C136" s="1272" t="n"/>
      <c r="D136" s="2342" t="n"/>
      <c r="E136" s="1298" t="n"/>
      <c r="F136" s="1298" t="n"/>
      <c r="G136" s="1272" t="n"/>
      <c r="H136" s="2342" t="n"/>
      <c r="I136" s="1298" t="n"/>
      <c r="J136" s="1298" t="n"/>
      <c r="K136" s="1272" t="n"/>
      <c r="L136" s="2342" t="n">
        <v>32.6328796757947</v>
      </c>
      <c r="M136" s="1298" t="n"/>
      <c r="N136" s="1298" t="n"/>
      <c r="O136" s="1272" t="n"/>
      <c r="P136" s="2342" t="n">
        <v>29.9514211421524</v>
      </c>
      <c r="Q136" s="1298" t="n"/>
      <c r="R136" s="1298" t="n"/>
      <c r="S136" s="1272" t="n"/>
      <c r="T136" s="1272" t="n"/>
      <c r="U136" s="1272" t="n"/>
      <c r="V136" s="1298" t="n"/>
      <c r="W136" s="1272" t="n"/>
      <c r="X136" s="1272" t="n"/>
      <c r="Y136" s="1272" t="n"/>
      <c r="Z136" s="1298" t="n"/>
      <c r="AA136" s="1272" t="n"/>
      <c r="AB136" s="1272" t="n"/>
      <c r="AC136" s="1272" t="n"/>
      <c r="AD136" s="1298" t="n"/>
      <c r="AE136" s="1272" t="n"/>
      <c r="AF136" s="1272" t="n"/>
      <c r="AG136" s="1272" t="n"/>
      <c r="AH136" s="1272" t="n"/>
      <c r="AI136" s="1272" t="n"/>
      <c r="AJ136" s="1272" t="n"/>
      <c r="AK136" s="1272" t="n"/>
      <c r="AL136" s="1272" t="n"/>
      <c r="AM136" s="1272" t="n"/>
      <c r="AN136" s="1272" t="n"/>
      <c r="AO136" s="1272" t="n"/>
      <c r="AP136" s="1272" t="n"/>
      <c r="AQ136" s="1277" t="n"/>
    </row>
    <row r="137" hidden="1" ht="8" customHeight="1" s="1676">
      <c r="A137" s="1284" t="n"/>
      <c r="B137" s="1323" t="n"/>
      <c r="C137" s="1272" t="n"/>
      <c r="D137" s="2340" t="n"/>
      <c r="E137" s="1298" t="n"/>
      <c r="F137" s="1298" t="n"/>
      <c r="G137" s="1272" t="n"/>
      <c r="H137" s="2340" t="n"/>
      <c r="I137" s="1298" t="n"/>
      <c r="J137" s="1298" t="n"/>
      <c r="K137" s="1272" t="n"/>
      <c r="L137" s="2340" t="n"/>
      <c r="M137" s="1298" t="n"/>
      <c r="N137" s="1298" t="n"/>
      <c r="O137" s="1272" t="n"/>
      <c r="P137" s="2340" t="n"/>
      <c r="Q137" s="1303" t="n"/>
      <c r="R137" s="1298" t="n"/>
      <c r="S137" s="1272" t="n"/>
      <c r="T137" s="2340" t="n"/>
      <c r="U137" s="1291" t="n"/>
      <c r="V137" s="1298" t="n"/>
      <c r="W137" s="1272" t="n"/>
      <c r="X137" s="2340" t="n"/>
      <c r="Y137" s="1291" t="n"/>
      <c r="Z137" s="1298" t="n"/>
      <c r="AA137" s="1272" t="n"/>
      <c r="AB137" s="2340" t="n"/>
      <c r="AC137" s="1291" t="n"/>
      <c r="AD137" s="1298" t="n"/>
      <c r="AE137" s="1272" t="n"/>
      <c r="AF137" s="2340" t="n"/>
      <c r="AG137" s="1291" t="n"/>
      <c r="AH137" s="1272" t="n"/>
      <c r="AI137" s="1272" t="n"/>
      <c r="AJ137" s="1272" t="n"/>
      <c r="AK137" s="1272" t="n"/>
      <c r="AL137" s="1272" t="n"/>
      <c r="AM137" s="1272" t="n"/>
      <c r="AN137" s="1272" t="n"/>
      <c r="AO137" s="1272" t="n"/>
      <c r="AP137" s="1272" t="n"/>
      <c r="AQ137" s="1277" t="n"/>
    </row>
    <row r="138" hidden="1" ht="15.75" customHeight="1" s="1676">
      <c r="A138" s="1304" t="n"/>
      <c r="B138" s="1325" t="inlineStr">
        <is>
          <t>Text_658</t>
        </is>
      </c>
      <c r="C138" s="1272" t="n"/>
      <c r="D138" s="2347" t="n"/>
      <c r="E138" s="1272" t="n"/>
      <c r="F138" s="1272" t="n"/>
      <c r="G138" s="1272" t="n"/>
      <c r="H138" s="2347" t="n"/>
      <c r="I138" s="1272" t="n"/>
      <c r="J138" s="1272" t="n"/>
      <c r="K138" s="1272" t="n"/>
      <c r="L138" s="2347">
        <f t="array" ref="L138">SUM(L134:L137)</f>
        <v/>
      </c>
      <c r="M138" s="1272" t="n"/>
      <c r="N138" s="1272" t="n"/>
      <c r="O138" s="1272" t="n"/>
      <c r="P138" s="2347">
        <f t="array" ref="P138">SUM(P134:P137)</f>
        <v/>
      </c>
      <c r="Q138" s="1272" t="n"/>
      <c r="R138" s="1272" t="n"/>
      <c r="S138" s="1272" t="n"/>
      <c r="T138" s="1272" t="n"/>
      <c r="U138" s="1272" t="n"/>
      <c r="V138" s="1272" t="n"/>
      <c r="W138" s="1272" t="n"/>
      <c r="X138" s="1272" t="n"/>
      <c r="Y138" s="1272" t="n"/>
      <c r="Z138" s="1272" t="n"/>
      <c r="AA138" s="1272" t="n"/>
      <c r="AB138" s="1272" t="n"/>
      <c r="AC138" s="1272" t="n"/>
      <c r="AD138" s="1272" t="n"/>
      <c r="AE138" s="1272" t="n"/>
      <c r="AF138" s="1272" t="n"/>
      <c r="AG138" s="1272" t="n"/>
      <c r="AH138" s="1272" t="n"/>
      <c r="AI138" s="1272" t="n"/>
      <c r="AJ138" s="1272" t="n"/>
      <c r="AK138" s="1272" t="n"/>
      <c r="AL138" s="1272" t="n"/>
      <c r="AM138" s="1272" t="n"/>
      <c r="AN138" s="1272" t="n"/>
      <c r="AO138" s="1272" t="n"/>
      <c r="AP138" s="1272" t="n"/>
      <c r="AQ138" s="1277" t="n"/>
    </row>
    <row r="139" hidden="1" ht="9" customHeight="1" s="1676">
      <c r="A139" s="1304" t="n"/>
      <c r="B139" s="1324" t="inlineStr">
        <is>
          <t>Text_15</t>
        </is>
      </c>
      <c r="C139" s="1272" t="n"/>
      <c r="D139" s="1291" t="n"/>
      <c r="E139" s="1272" t="n"/>
      <c r="F139" s="1272" t="n"/>
      <c r="G139" s="1272" t="n"/>
      <c r="H139" s="1291" t="n"/>
      <c r="I139" s="1272" t="n"/>
      <c r="J139" s="1272" t="n"/>
      <c r="K139" s="1272" t="n"/>
      <c r="L139" s="1291">
        <f t="array" ref="L139">L138/P138-1</f>
        <v/>
      </c>
      <c r="M139" s="1272" t="n"/>
      <c r="N139" s="1272" t="n"/>
      <c r="O139" s="1272" t="n"/>
      <c r="P139" s="1272" t="n"/>
      <c r="Q139" s="1272" t="n"/>
      <c r="R139" s="1272" t="n"/>
      <c r="S139" s="1272" t="n"/>
      <c r="T139" s="1272" t="n"/>
      <c r="U139" s="1272" t="n"/>
      <c r="V139" s="1272" t="n"/>
      <c r="W139" s="1272" t="n"/>
      <c r="X139" s="1272" t="n"/>
      <c r="Y139" s="1272" t="n"/>
      <c r="Z139" s="1272" t="n"/>
      <c r="AA139" s="1272" t="n"/>
      <c r="AB139" s="1272" t="n"/>
      <c r="AC139" s="1272" t="n"/>
      <c r="AD139" s="1272" t="n"/>
      <c r="AE139" s="1272" t="n"/>
      <c r="AF139" s="1272" t="n"/>
      <c r="AG139" s="1272" t="n"/>
      <c r="AH139" s="1272" t="n"/>
      <c r="AI139" s="1272" t="n"/>
      <c r="AJ139" s="1272" t="n"/>
      <c r="AK139" s="1272" t="n"/>
      <c r="AL139" s="1272" t="n"/>
      <c r="AM139" s="1272" t="n"/>
      <c r="AN139" s="1272" t="n"/>
      <c r="AO139" s="1272" t="n"/>
      <c r="AP139" s="1272" t="n"/>
      <c r="AQ139" s="1277" t="n"/>
    </row>
    <row r="140" hidden="1" ht="9" customHeight="1" s="1676">
      <c r="A140" s="1304" t="n"/>
      <c r="B140" s="1272" t="n"/>
      <c r="C140" s="1272" t="n"/>
      <c r="D140" s="1272" t="n"/>
      <c r="E140" s="1272" t="n"/>
      <c r="F140" s="1272" t="n"/>
      <c r="G140" s="1272" t="n"/>
      <c r="H140" s="1272" t="n"/>
      <c r="I140" s="1272" t="n"/>
      <c r="J140" s="1272" t="n"/>
      <c r="K140" s="1272" t="n"/>
      <c r="L140" s="1272" t="n"/>
      <c r="M140" s="1272" t="n"/>
      <c r="N140" s="1272" t="n"/>
      <c r="O140" s="1272" t="n"/>
      <c r="P140" s="1272" t="n"/>
      <c r="Q140" s="1272" t="n"/>
      <c r="R140" s="1272" t="n"/>
      <c r="S140" s="1272" t="n"/>
      <c r="T140" s="1272" t="n"/>
      <c r="U140" s="1272" t="n"/>
      <c r="V140" s="1272" t="n"/>
      <c r="W140" s="1272" t="n"/>
      <c r="X140" s="1272" t="n"/>
      <c r="Y140" s="1272" t="n"/>
      <c r="Z140" s="1272" t="n"/>
      <c r="AA140" s="1272" t="n"/>
      <c r="AB140" s="1272" t="n"/>
      <c r="AC140" s="1272" t="n"/>
      <c r="AD140" s="1272" t="n"/>
      <c r="AE140" s="1272" t="n"/>
      <c r="AF140" s="1272" t="n"/>
      <c r="AG140" s="1272" t="n"/>
      <c r="AH140" s="1272" t="n"/>
      <c r="AI140" s="1272" t="n"/>
      <c r="AJ140" s="1272" t="n"/>
      <c r="AK140" s="1272" t="n"/>
      <c r="AL140" s="1272" t="n"/>
      <c r="AM140" s="1272" t="n"/>
      <c r="AN140" s="1272" t="n"/>
      <c r="AO140" s="1272" t="n"/>
      <c r="AP140" s="1272" t="n"/>
      <c r="AQ140" s="1277" t="n"/>
    </row>
    <row r="141" hidden="1" ht="9" customHeight="1" s="1676">
      <c r="A141" s="1304" t="n"/>
      <c r="B141" s="1343" t="inlineStr">
        <is>
          <t>Text_676</t>
        </is>
      </c>
      <c r="C141" s="1272" t="n"/>
      <c r="D141" s="1318" t="n"/>
      <c r="E141" s="1275" t="n"/>
      <c r="F141" s="1275" t="n"/>
      <c r="G141" s="1272" t="n"/>
      <c r="H141" s="1318" t="n"/>
      <c r="I141" s="1275" t="n"/>
      <c r="J141" s="1275" t="n"/>
      <c r="K141" s="1272" t="n"/>
      <c r="L141" s="1273" t="inlineStr">
        <is>
          <t>Text_618</t>
        </is>
      </c>
      <c r="M141" s="1274" t="inlineStr">
        <is>
          <t>Text_643</t>
        </is>
      </c>
      <c r="N141" s="1275" t="n"/>
      <c r="O141" s="1272" t="n"/>
      <c r="P141" s="1273" t="inlineStr">
        <is>
          <t>Text_618</t>
        </is>
      </c>
      <c r="Q141" s="1274" t="inlineStr">
        <is>
          <t>Text_643</t>
        </is>
      </c>
      <c r="R141" s="1275" t="n"/>
      <c r="S141" s="1272" t="n"/>
      <c r="T141" s="1272" t="n"/>
      <c r="U141" s="1272" t="n"/>
      <c r="V141" s="1275" t="n"/>
      <c r="W141" s="1272" t="n"/>
      <c r="X141" s="1272" t="n"/>
      <c r="Y141" s="1272" t="n"/>
      <c r="Z141" s="1275" t="n"/>
      <c r="AA141" s="1272" t="n"/>
      <c r="AB141" s="1272" t="n"/>
      <c r="AC141" s="1272" t="n"/>
      <c r="AD141" s="1275" t="n"/>
      <c r="AE141" s="1272" t="n"/>
      <c r="AF141" s="1272" t="n"/>
      <c r="AG141" s="1272" t="n"/>
      <c r="AH141" s="1272" t="n"/>
      <c r="AI141" s="1272" t="n"/>
      <c r="AJ141" s="1272" t="n"/>
      <c r="AK141" s="1272" t="n"/>
      <c r="AL141" s="1272" t="n"/>
      <c r="AM141" s="1272" t="n"/>
      <c r="AN141" s="1272" t="n"/>
      <c r="AO141" s="1272" t="n"/>
      <c r="AP141" s="1272" t="n"/>
      <c r="AQ141" s="1277" t="n"/>
    </row>
    <row r="142" hidden="1" ht="15.75" customHeight="1" s="1676">
      <c r="A142" s="1304" t="n"/>
      <c r="B142" s="1319" t="inlineStr">
        <is>
          <t>Text_645</t>
        </is>
      </c>
      <c r="C142" s="1272" t="n"/>
      <c r="D142" s="1321" t="n"/>
      <c r="E142" s="1322" t="n"/>
      <c r="F142" s="1322" t="n"/>
      <c r="G142" s="1272" t="n"/>
      <c r="H142" s="1321" t="n"/>
      <c r="I142" s="1322" t="n"/>
      <c r="J142" s="1322" t="n"/>
      <c r="K142" s="1272" t="n"/>
      <c r="L142" s="1321" t="n">
        <v>2199.14191639945</v>
      </c>
      <c r="M142" s="1322" t="n">
        <v>2117.65814191031</v>
      </c>
      <c r="N142" s="1322" t="n"/>
      <c r="O142" s="1272" t="n"/>
      <c r="P142" s="1321" t="n">
        <v>2067.15107245216</v>
      </c>
      <c r="Q142" s="1322">
        <f t="array" ref="Q142">P142</f>
        <v/>
      </c>
      <c r="R142" s="1322" t="n"/>
      <c r="S142" s="1272" t="n"/>
      <c r="T142" s="1272" t="n"/>
      <c r="U142" s="1272" t="n"/>
      <c r="V142" s="1322" t="n"/>
      <c r="W142" s="1272" t="n"/>
      <c r="X142" s="1272" t="n"/>
      <c r="Y142" s="1272" t="n"/>
      <c r="Z142" s="1322" t="n"/>
      <c r="AA142" s="1272" t="n"/>
      <c r="AB142" s="1272" t="n"/>
      <c r="AC142" s="1272" t="n"/>
      <c r="AD142" s="1322" t="n"/>
      <c r="AE142" s="1272" t="n"/>
      <c r="AF142" s="1272" t="n"/>
      <c r="AG142" s="1272" t="n"/>
      <c r="AH142" s="1272" t="n"/>
      <c r="AI142" s="1272" t="n"/>
      <c r="AJ142" s="1272" t="n"/>
      <c r="AK142" s="1272" t="n"/>
      <c r="AL142" s="1272" t="n"/>
      <c r="AM142" s="1272" t="n"/>
      <c r="AN142" s="1272" t="n"/>
      <c r="AO142" s="1272" t="n"/>
      <c r="AP142" s="1272" t="n"/>
      <c r="AQ142" s="1277" t="n"/>
    </row>
    <row r="143" hidden="1" ht="8" customHeight="1" s="1676">
      <c r="A143" s="1284" t="n"/>
      <c r="B143" s="1323" t="n"/>
      <c r="C143" s="1272" t="n"/>
      <c r="D143" s="2340" t="n"/>
      <c r="E143" s="2340" t="n"/>
      <c r="F143" s="2340" t="n"/>
      <c r="G143" s="1272" t="n"/>
      <c r="H143" s="2340" t="n"/>
      <c r="I143" s="2340" t="n"/>
      <c r="J143" s="2340" t="n"/>
      <c r="K143" s="1272" t="n"/>
      <c r="L143" s="2340" t="n"/>
      <c r="M143" s="2340" t="n"/>
      <c r="N143" s="2340" t="n"/>
      <c r="O143" s="1272" t="n"/>
      <c r="P143" s="2340" t="n"/>
      <c r="Q143" s="1303" t="n"/>
      <c r="R143" s="2340" t="n"/>
      <c r="S143" s="1272" t="n"/>
      <c r="T143" s="2340" t="n"/>
      <c r="U143" s="1291" t="n"/>
      <c r="V143" s="2340" t="n"/>
      <c r="W143" s="1272" t="n"/>
      <c r="X143" s="2340" t="n"/>
      <c r="Y143" s="1291" t="n"/>
      <c r="Z143" s="2340" t="n"/>
      <c r="AA143" s="1272" t="n"/>
      <c r="AB143" s="2340" t="n"/>
      <c r="AC143" s="1291" t="n"/>
      <c r="AD143" s="2340" t="n"/>
      <c r="AE143" s="1272" t="n"/>
      <c r="AF143" s="2340" t="n"/>
      <c r="AG143" s="1291" t="n"/>
      <c r="AH143" s="1272" t="n"/>
      <c r="AI143" s="1272" t="n"/>
      <c r="AJ143" s="1272" t="n"/>
      <c r="AK143" s="1272" t="n"/>
      <c r="AL143" s="1272" t="n"/>
      <c r="AM143" s="1272" t="n"/>
      <c r="AN143" s="1272" t="n"/>
      <c r="AO143" s="1272" t="n"/>
      <c r="AP143" s="1272" t="n"/>
      <c r="AQ143" s="1277" t="n"/>
    </row>
    <row r="144" hidden="1" ht="9" customHeight="1" s="1676">
      <c r="A144" s="1304" t="n"/>
      <c r="B144" s="1324" t="inlineStr">
        <is>
          <t>Text_654</t>
        </is>
      </c>
      <c r="C144" s="1272" t="n"/>
      <c r="D144" s="2342" t="n"/>
      <c r="E144" s="1298" t="n"/>
      <c r="F144" s="1298" t="n"/>
      <c r="G144" s="1272" t="n"/>
      <c r="H144" s="2342" t="n"/>
      <c r="I144" s="1298" t="n"/>
      <c r="J144" s="1298" t="n"/>
      <c r="K144" s="1272" t="n"/>
      <c r="L144" s="2342" t="n">
        <v>287.779025667207</v>
      </c>
      <c r="M144" s="1298">
        <f t="array" ref="M144">L144/L148</f>
        <v/>
      </c>
      <c r="N144" s="1298" t="n"/>
      <c r="O144" s="1272" t="n"/>
      <c r="P144" s="2342" t="n">
        <v>138.932167175835</v>
      </c>
      <c r="Q144" s="1298">
        <f t="array" ref="Q144">P144/P148</f>
        <v/>
      </c>
      <c r="R144" s="1298" t="n"/>
      <c r="S144" s="1272" t="n"/>
      <c r="T144" s="1272" t="n"/>
      <c r="U144" s="1272" t="n"/>
      <c r="V144" s="1298" t="n"/>
      <c r="W144" s="1272" t="n"/>
      <c r="X144" s="1272" t="n"/>
      <c r="Y144" s="1272" t="n"/>
      <c r="Z144" s="1298" t="n"/>
      <c r="AA144" s="1272" t="n"/>
      <c r="AB144" s="1272" t="n"/>
      <c r="AC144" s="1272" t="n"/>
      <c r="AD144" s="1298" t="n"/>
      <c r="AE144" s="1272" t="n"/>
      <c r="AF144" s="1272" t="n"/>
      <c r="AG144" s="1272" t="n"/>
      <c r="AH144" s="1272" t="n"/>
      <c r="AI144" s="1272" t="n"/>
      <c r="AJ144" s="1272" t="n"/>
      <c r="AK144" s="1272" t="n"/>
      <c r="AL144" s="1272" t="n"/>
      <c r="AM144" s="1272" t="n"/>
      <c r="AN144" s="1272" t="n"/>
      <c r="AO144" s="1272" t="n"/>
      <c r="AP144" s="1272" t="n"/>
      <c r="AQ144" s="1277" t="n"/>
    </row>
    <row r="145" hidden="1" ht="9" customHeight="1" s="1676">
      <c r="A145" s="1304" t="n"/>
      <c r="B145" s="1324" t="inlineStr">
        <is>
          <t>Text_668</t>
        </is>
      </c>
      <c r="C145" s="1272" t="n"/>
      <c r="D145" s="2342" t="n"/>
      <c r="E145" s="1298" t="n"/>
      <c r="F145" s="1298" t="n"/>
      <c r="G145" s="1272" t="n"/>
      <c r="H145" s="2342" t="n"/>
      <c r="I145" s="1298" t="n"/>
      <c r="J145" s="1298" t="n"/>
      <c r="K145" s="1272" t="n"/>
      <c r="L145" s="2342" t="n">
        <v>167.262400992271</v>
      </c>
      <c r="M145" s="1298" t="n"/>
      <c r="N145" s="1298" t="n"/>
      <c r="O145" s="1272" t="n"/>
      <c r="P145" s="2342" t="n">
        <v>126.576833115913</v>
      </c>
      <c r="Q145" s="1298" t="n"/>
      <c r="R145" s="1298" t="n"/>
      <c r="S145" s="1272" t="n"/>
      <c r="T145" s="1272" t="n"/>
      <c r="U145" s="1272" t="n"/>
      <c r="V145" s="1298" t="n"/>
      <c r="W145" s="1272" t="n"/>
      <c r="X145" s="1272" t="n"/>
      <c r="Y145" s="1272" t="n"/>
      <c r="Z145" s="1298" t="n"/>
      <c r="AA145" s="1272" t="n"/>
      <c r="AB145" s="1272" t="n"/>
      <c r="AC145" s="1272" t="n"/>
      <c r="AD145" s="1298" t="n"/>
      <c r="AE145" s="1272" t="n"/>
      <c r="AF145" s="1272" t="n"/>
      <c r="AG145" s="1272" t="n"/>
      <c r="AH145" s="1272" t="n"/>
      <c r="AI145" s="1272" t="n"/>
      <c r="AJ145" s="1272" t="n"/>
      <c r="AK145" s="1272" t="n"/>
      <c r="AL145" s="1272" t="n"/>
      <c r="AM145" s="1272" t="n"/>
      <c r="AN145" s="1272" t="n"/>
      <c r="AO145" s="1272" t="n"/>
      <c r="AP145" s="1272" t="n"/>
      <c r="AQ145" s="1277" t="n"/>
    </row>
    <row r="146" hidden="1" ht="9" customHeight="1" s="1676">
      <c r="A146" s="1304" t="n"/>
      <c r="B146" s="1324" t="inlineStr">
        <is>
          <t>Text_669</t>
        </is>
      </c>
      <c r="C146" s="1272" t="n"/>
      <c r="D146" s="2342" t="n"/>
      <c r="E146" s="1298" t="n"/>
      <c r="F146" s="1298" t="n"/>
      <c r="G146" s="1272" t="n"/>
      <c r="H146" s="2342" t="n"/>
      <c r="I146" s="1298" t="n"/>
      <c r="J146" s="1298" t="n"/>
      <c r="K146" s="1272" t="n"/>
      <c r="L146" s="2342" t="n">
        <v>6.45393024370513</v>
      </c>
      <c r="M146" s="1298" t="n"/>
      <c r="N146" s="1298" t="n"/>
      <c r="O146" s="1272" t="n"/>
      <c r="P146" s="2342" t="n">
        <v>4.1293810648332</v>
      </c>
      <c r="Q146" s="1298" t="n"/>
      <c r="R146" s="1298" t="n"/>
      <c r="S146" s="1272" t="n"/>
      <c r="T146" s="1272" t="n"/>
      <c r="U146" s="1272" t="n"/>
      <c r="V146" s="1298" t="n"/>
      <c r="W146" s="1272" t="n"/>
      <c r="X146" s="1272" t="n"/>
      <c r="Y146" s="1272" t="n"/>
      <c r="Z146" s="1298" t="n"/>
      <c r="AA146" s="1272" t="n"/>
      <c r="AB146" s="1272" t="n"/>
      <c r="AC146" s="1272" t="n"/>
      <c r="AD146" s="1298" t="n"/>
      <c r="AE146" s="1272" t="n"/>
      <c r="AF146" s="1272" t="n"/>
      <c r="AG146" s="1272" t="n"/>
      <c r="AH146" s="1272" t="n"/>
      <c r="AI146" s="1272" t="n"/>
      <c r="AJ146" s="1272" t="n"/>
      <c r="AK146" s="1272" t="n"/>
      <c r="AL146" s="1272" t="n"/>
      <c r="AM146" s="1272" t="n"/>
      <c r="AN146" s="1272" t="n"/>
      <c r="AO146" s="1272" t="n"/>
      <c r="AP146" s="1272" t="n"/>
      <c r="AQ146" s="1277" t="n"/>
    </row>
    <row r="147" hidden="1" ht="8" customHeight="1" s="1676">
      <c r="A147" s="1284" t="n"/>
      <c r="B147" s="1323" t="n"/>
      <c r="C147" s="1272" t="n"/>
      <c r="D147" s="2340" t="n"/>
      <c r="E147" s="1298" t="n"/>
      <c r="F147" s="1298" t="n"/>
      <c r="G147" s="1272" t="n"/>
      <c r="H147" s="2340" t="n"/>
      <c r="I147" s="1298" t="n"/>
      <c r="J147" s="1298" t="n"/>
      <c r="K147" s="1272" t="n"/>
      <c r="L147" s="2340" t="n"/>
      <c r="M147" s="1298" t="n"/>
      <c r="N147" s="1298" t="n"/>
      <c r="O147" s="1272" t="n"/>
      <c r="P147" s="2340" t="n"/>
      <c r="Q147" s="1303" t="n"/>
      <c r="R147" s="1298" t="n"/>
      <c r="S147" s="1272" t="n"/>
      <c r="T147" s="2340" t="n"/>
      <c r="U147" s="1291" t="n"/>
      <c r="V147" s="1298" t="n"/>
      <c r="W147" s="1272" t="n"/>
      <c r="X147" s="2340" t="n"/>
      <c r="Y147" s="1291" t="n"/>
      <c r="Z147" s="1298" t="n"/>
      <c r="AA147" s="1272" t="n"/>
      <c r="AB147" s="2340" t="n"/>
      <c r="AC147" s="1291" t="n"/>
      <c r="AD147" s="1298" t="n"/>
      <c r="AE147" s="1272" t="n"/>
      <c r="AF147" s="2340" t="n"/>
      <c r="AG147" s="1291" t="n"/>
      <c r="AH147" s="1272" t="n"/>
      <c r="AI147" s="1272" t="n"/>
      <c r="AJ147" s="1272" t="n"/>
      <c r="AK147" s="1272" t="n"/>
      <c r="AL147" s="1272" t="n"/>
      <c r="AM147" s="1272" t="n"/>
      <c r="AN147" s="1272" t="n"/>
      <c r="AO147" s="1272" t="n"/>
      <c r="AP147" s="1272" t="n"/>
      <c r="AQ147" s="1277" t="n"/>
    </row>
    <row r="148" hidden="1" ht="15.75" customHeight="1" s="1676">
      <c r="A148" s="1304" t="n"/>
      <c r="B148" s="1325" t="inlineStr">
        <is>
          <t>Text_658</t>
        </is>
      </c>
      <c r="C148" s="1272" t="n"/>
      <c r="D148" s="2347" t="n"/>
      <c r="E148" s="1272" t="n"/>
      <c r="F148" s="1272" t="n"/>
      <c r="G148" s="1272" t="n"/>
      <c r="H148" s="2347" t="n"/>
      <c r="I148" s="1272" t="n"/>
      <c r="J148" s="1272" t="n"/>
      <c r="K148" s="1272" t="n"/>
      <c r="L148" s="2347">
        <f t="array" ref="L148">SUM(L144:L147)</f>
        <v/>
      </c>
      <c r="M148" s="1272" t="n"/>
      <c r="N148" s="1272" t="n"/>
      <c r="O148" s="1272" t="n"/>
      <c r="P148" s="2347">
        <f t="array" ref="P148">SUM(P144:P147)</f>
        <v/>
      </c>
      <c r="Q148" s="1272" t="n"/>
      <c r="R148" s="1272" t="n"/>
      <c r="S148" s="1272" t="n"/>
      <c r="T148" s="1272" t="n"/>
      <c r="U148" s="1272" t="n"/>
      <c r="V148" s="1272" t="n"/>
      <c r="W148" s="1272" t="n"/>
      <c r="X148" s="1272" t="n"/>
      <c r="Y148" s="1272" t="n"/>
      <c r="Z148" s="1272" t="n"/>
      <c r="AA148" s="1272" t="n"/>
      <c r="AB148" s="1272" t="n"/>
      <c r="AC148" s="1272" t="n"/>
      <c r="AD148" s="1272" t="n"/>
      <c r="AE148" s="1272" t="n"/>
      <c r="AF148" s="1272" t="n"/>
      <c r="AG148" s="1272" t="n"/>
      <c r="AH148" s="1272" t="n"/>
      <c r="AI148" s="1272" t="n"/>
      <c r="AJ148" s="1272" t="n"/>
      <c r="AK148" s="1272" t="n"/>
      <c r="AL148" s="1272" t="n"/>
      <c r="AM148" s="1272" t="n"/>
      <c r="AN148" s="1272" t="n"/>
      <c r="AO148" s="1272" t="n"/>
      <c r="AP148" s="1272" t="n"/>
      <c r="AQ148" s="1277" t="n"/>
    </row>
    <row r="149" hidden="1" ht="9" customHeight="1" s="1676">
      <c r="A149" s="1304" t="n"/>
      <c r="B149" s="1324" t="inlineStr">
        <is>
          <t>Text_15</t>
        </is>
      </c>
      <c r="C149" s="1272" t="n"/>
      <c r="D149" s="1291" t="n"/>
      <c r="E149" s="1272" t="n"/>
      <c r="F149" s="1272" t="n"/>
      <c r="G149" s="1272" t="n"/>
      <c r="H149" s="1291" t="n"/>
      <c r="I149" s="1272" t="n"/>
      <c r="J149" s="1272" t="n"/>
      <c r="K149" s="1272" t="n"/>
      <c r="L149" s="1291">
        <f t="array" ref="L149">L148/P148-1</f>
        <v/>
      </c>
      <c r="M149" s="1272" t="n"/>
      <c r="N149" s="1272" t="n"/>
      <c r="O149" s="1272" t="n"/>
      <c r="P149" s="1272" t="n"/>
      <c r="Q149" s="1272" t="n"/>
      <c r="R149" s="1272" t="n"/>
      <c r="S149" s="1272" t="n"/>
      <c r="T149" s="1272" t="n"/>
      <c r="U149" s="1272" t="n"/>
      <c r="V149" s="1272" t="n"/>
      <c r="W149" s="1272" t="n"/>
      <c r="X149" s="1272" t="n"/>
      <c r="Y149" s="1272" t="n"/>
      <c r="Z149" s="1272" t="n"/>
      <c r="AA149" s="1272" t="n"/>
      <c r="AB149" s="1272" t="n"/>
      <c r="AC149" s="1272" t="n"/>
      <c r="AD149" s="1272" t="n"/>
      <c r="AE149" s="1272" t="n"/>
      <c r="AF149" s="1272" t="n"/>
      <c r="AG149" s="1272" t="n"/>
      <c r="AH149" s="1272" t="n"/>
      <c r="AI149" s="1272" t="n"/>
      <c r="AJ149" s="1272" t="n"/>
      <c r="AK149" s="1272" t="n"/>
      <c r="AL149" s="1272" t="n"/>
      <c r="AM149" s="1272" t="n"/>
      <c r="AN149" s="1272" t="n"/>
      <c r="AO149" s="1272" t="n"/>
      <c r="AP149" s="1272" t="n"/>
      <c r="AQ149" s="1277" t="n"/>
    </row>
    <row r="150" hidden="1" ht="9" customHeight="1" s="1676">
      <c r="A150" s="1304" t="n"/>
      <c r="B150" s="1272" t="n"/>
      <c r="C150" s="1272" t="n"/>
      <c r="D150" s="1272" t="n"/>
      <c r="E150" s="1272" t="n"/>
      <c r="F150" s="1272" t="n"/>
      <c r="G150" s="1272" t="n"/>
      <c r="H150" s="1272" t="n"/>
      <c r="I150" s="1272" t="n"/>
      <c r="J150" s="1272" t="n"/>
      <c r="K150" s="1272" t="n"/>
      <c r="L150" s="1272" t="n"/>
      <c r="M150" s="1272" t="n"/>
      <c r="N150" s="1272" t="n"/>
      <c r="O150" s="1272" t="n"/>
      <c r="P150" s="1272" t="n"/>
      <c r="Q150" s="1272" t="n"/>
      <c r="R150" s="1272" t="n"/>
      <c r="S150" s="1272" t="n"/>
      <c r="T150" s="1272" t="n"/>
      <c r="U150" s="1272" t="n"/>
      <c r="V150" s="1272" t="n"/>
      <c r="W150" s="1272" t="n"/>
      <c r="X150" s="1272" t="n"/>
      <c r="Y150" s="1272" t="n"/>
      <c r="Z150" s="1272" t="n"/>
      <c r="AA150" s="1272" t="n"/>
      <c r="AB150" s="1272" t="n"/>
      <c r="AC150" s="1272" t="n"/>
      <c r="AD150" s="1272" t="n"/>
      <c r="AE150" s="1272" t="n"/>
      <c r="AF150" s="1272" t="n"/>
      <c r="AG150" s="1272" t="n"/>
      <c r="AH150" s="1272" t="n"/>
      <c r="AI150" s="1272" t="n"/>
      <c r="AJ150" s="1272" t="n"/>
      <c r="AK150" s="1272" t="n"/>
      <c r="AL150" s="1272" t="n"/>
      <c r="AM150" s="1272" t="n"/>
      <c r="AN150" s="1272" t="n"/>
      <c r="AO150" s="1272" t="n"/>
      <c r="AP150" s="1272" t="n"/>
      <c r="AQ150" s="1277" t="n"/>
    </row>
    <row r="151" hidden="1" ht="9" customHeight="1" s="1676">
      <c r="A151" s="1304" t="n"/>
      <c r="B151" s="1343" t="inlineStr">
        <is>
          <t>Text_677</t>
        </is>
      </c>
      <c r="C151" s="1272" t="n"/>
      <c r="D151" s="1318" t="n"/>
      <c r="E151" s="1275" t="n"/>
      <c r="F151" s="1275" t="n"/>
      <c r="G151" s="1272" t="n"/>
      <c r="H151" s="1318" t="n"/>
      <c r="I151" s="1275" t="n"/>
      <c r="J151" s="1275" t="n"/>
      <c r="K151" s="1272" t="n"/>
      <c r="L151" s="1273" t="inlineStr">
        <is>
          <t>Text_618</t>
        </is>
      </c>
      <c r="M151" s="1274" t="inlineStr">
        <is>
          <t>Text_643</t>
        </is>
      </c>
      <c r="N151" s="1275" t="n"/>
      <c r="O151" s="1272" t="n"/>
      <c r="P151" s="1273" t="inlineStr">
        <is>
          <t>Text_618</t>
        </is>
      </c>
      <c r="Q151" s="1274" t="inlineStr">
        <is>
          <t>Text_643</t>
        </is>
      </c>
      <c r="R151" s="1275" t="n"/>
      <c r="S151" s="1272" t="n"/>
      <c r="T151" s="1272" t="n"/>
      <c r="U151" s="1272" t="n"/>
      <c r="V151" s="1275" t="n"/>
      <c r="W151" s="1272" t="n"/>
      <c r="X151" s="1272" t="n"/>
      <c r="Y151" s="1272" t="n"/>
      <c r="Z151" s="1275" t="n"/>
      <c r="AA151" s="1272" t="n"/>
      <c r="AB151" s="1272" t="n"/>
      <c r="AC151" s="1272" t="n"/>
      <c r="AD151" s="1275" t="n"/>
      <c r="AE151" s="1272" t="n"/>
      <c r="AF151" s="1272" t="n"/>
      <c r="AG151" s="1272" t="n"/>
      <c r="AH151" s="1272" t="n"/>
      <c r="AI151" s="1272" t="n"/>
      <c r="AJ151" s="1272" t="n"/>
      <c r="AK151" s="1272" t="n"/>
      <c r="AL151" s="1272" t="n"/>
      <c r="AM151" s="1272" t="n"/>
      <c r="AN151" s="1272" t="n"/>
      <c r="AO151" s="1272" t="n"/>
      <c r="AP151" s="1272" t="n"/>
      <c r="AQ151" s="1277" t="n"/>
    </row>
    <row r="152" hidden="1" ht="15.75" customHeight="1" s="1676">
      <c r="A152" s="1304" t="n"/>
      <c r="B152" s="1319" t="inlineStr">
        <is>
          <t>Text_645</t>
        </is>
      </c>
      <c r="C152" s="1272" t="n"/>
      <c r="D152" s="1321" t="n"/>
      <c r="E152" s="1322" t="n"/>
      <c r="F152" s="1322" t="n"/>
      <c r="G152" s="1272" t="n"/>
      <c r="H152" s="1321" t="n"/>
      <c r="I152" s="1322" t="n"/>
      <c r="J152" s="1322" t="n"/>
      <c r="K152" s="1272" t="n"/>
      <c r="L152" s="1321" t="n">
        <v>1918.10159390651</v>
      </c>
      <c r="M152" s="1322" t="n">
        <v>2059.94375045583</v>
      </c>
      <c r="N152" s="1322" t="n"/>
      <c r="O152" s="1272" t="n"/>
      <c r="P152" s="1321" t="n">
        <v>2232.44816397716</v>
      </c>
      <c r="Q152" s="1322">
        <f t="array" ref="Q152">P152</f>
        <v/>
      </c>
      <c r="R152" s="1322" t="n"/>
      <c r="S152" s="1272" t="n"/>
      <c r="T152" s="1272" t="n"/>
      <c r="U152" s="1272" t="n"/>
      <c r="V152" s="1322" t="n"/>
      <c r="W152" s="1272" t="n"/>
      <c r="X152" s="1272" t="n"/>
      <c r="Y152" s="1272" t="n"/>
      <c r="Z152" s="1322" t="n"/>
      <c r="AA152" s="1272" t="n"/>
      <c r="AB152" s="1272" t="n"/>
      <c r="AC152" s="1272" t="n"/>
      <c r="AD152" s="1322" t="n"/>
      <c r="AE152" s="1272" t="n"/>
      <c r="AF152" s="1272" t="n"/>
      <c r="AG152" s="1272" t="n"/>
      <c r="AH152" s="1272" t="n"/>
      <c r="AI152" s="1272" t="n"/>
      <c r="AJ152" s="1272" t="n"/>
      <c r="AK152" s="1272" t="n"/>
      <c r="AL152" s="1272" t="n"/>
      <c r="AM152" s="1272" t="n"/>
      <c r="AN152" s="1272" t="n"/>
      <c r="AO152" s="1272" t="n"/>
      <c r="AP152" s="1272" t="n"/>
      <c r="AQ152" s="1277" t="n"/>
    </row>
    <row r="153" hidden="1" ht="8" customHeight="1" s="1676">
      <c r="A153" s="1284" t="n"/>
      <c r="B153" s="1323" t="n"/>
      <c r="C153" s="1272" t="n"/>
      <c r="D153" s="2340" t="n"/>
      <c r="E153" s="2340" t="n"/>
      <c r="F153" s="2340" t="n"/>
      <c r="G153" s="1272" t="n"/>
      <c r="H153" s="2340" t="n"/>
      <c r="I153" s="2340" t="n"/>
      <c r="J153" s="2340" t="n"/>
      <c r="K153" s="1272" t="n"/>
      <c r="L153" s="2340" t="n"/>
      <c r="M153" s="2340" t="n"/>
      <c r="N153" s="2340" t="n"/>
      <c r="O153" s="1272" t="n"/>
      <c r="P153" s="2340" t="n"/>
      <c r="Q153" s="1303" t="n"/>
      <c r="R153" s="2340" t="n"/>
      <c r="S153" s="1272" t="n"/>
      <c r="T153" s="2340" t="n"/>
      <c r="U153" s="1291" t="n"/>
      <c r="V153" s="2340" t="n"/>
      <c r="W153" s="1272" t="n"/>
      <c r="X153" s="2340" t="n"/>
      <c r="Y153" s="1291" t="n"/>
      <c r="Z153" s="2340" t="n"/>
      <c r="AA153" s="1272" t="n"/>
      <c r="AB153" s="2340" t="n"/>
      <c r="AC153" s="1291" t="n"/>
      <c r="AD153" s="2340" t="n"/>
      <c r="AE153" s="1272" t="n"/>
      <c r="AF153" s="2340" t="n"/>
      <c r="AG153" s="1291" t="n"/>
      <c r="AH153" s="1272" t="n"/>
      <c r="AI153" s="1272" t="n"/>
      <c r="AJ153" s="1272" t="n"/>
      <c r="AK153" s="1272" t="n"/>
      <c r="AL153" s="1272" t="n"/>
      <c r="AM153" s="1272" t="n"/>
      <c r="AN153" s="1272" t="n"/>
      <c r="AO153" s="1272" t="n"/>
      <c r="AP153" s="1272" t="n"/>
      <c r="AQ153" s="1277" t="n"/>
    </row>
    <row r="154" hidden="1" ht="9" customHeight="1" s="1676">
      <c r="A154" s="1304" t="n"/>
      <c r="B154" s="1327" t="inlineStr">
        <is>
          <t>Text_132</t>
        </is>
      </c>
      <c r="C154" s="1272" t="n"/>
      <c r="D154" s="2342" t="n"/>
      <c r="E154" s="1293" t="n"/>
      <c r="F154" s="1293" t="n"/>
      <c r="G154" s="1272" t="n"/>
      <c r="H154" s="2342" t="n"/>
      <c r="I154" s="1293" t="n"/>
      <c r="J154" s="1293" t="n"/>
      <c r="K154" s="1272" t="n"/>
      <c r="L154" s="2342" t="n">
        <v>822.963472491963</v>
      </c>
      <c r="M154" s="1293">
        <f t="array" ref="M154">L154/L158</f>
        <v/>
      </c>
      <c r="N154" s="1293" t="n"/>
      <c r="O154" s="1272" t="n"/>
      <c r="P154" s="2342" t="n">
        <v>785.80536836039</v>
      </c>
      <c r="Q154" s="1293">
        <f t="array" ref="Q154">P154/P158</f>
        <v/>
      </c>
      <c r="R154" s="1293" t="n"/>
      <c r="S154" s="1272" t="n"/>
      <c r="T154" s="1272" t="n"/>
      <c r="U154" s="1272" t="n"/>
      <c r="V154" s="1275" t="n"/>
      <c r="W154" s="1272" t="n"/>
      <c r="X154" s="1272" t="n"/>
      <c r="Y154" s="1272" t="n"/>
      <c r="Z154" s="1275" t="n"/>
      <c r="AA154" s="1272" t="n"/>
      <c r="AB154" s="1272" t="n"/>
      <c r="AC154" s="1272" t="n"/>
      <c r="AD154" s="1275" t="n"/>
      <c r="AE154" s="1272" t="n"/>
      <c r="AF154" s="1272" t="n"/>
      <c r="AG154" s="1272" t="n"/>
      <c r="AH154" s="1272" t="n"/>
      <c r="AI154" s="1272" t="n"/>
      <c r="AJ154" s="1272" t="n"/>
      <c r="AK154" s="1272" t="n"/>
      <c r="AL154" s="1272" t="n"/>
      <c r="AM154" s="1272" t="n"/>
      <c r="AN154" s="1272" t="n"/>
      <c r="AO154" s="1272" t="n"/>
      <c r="AP154" s="1272" t="n"/>
      <c r="AQ154" s="1277" t="n"/>
    </row>
    <row r="155" hidden="1" ht="9" customHeight="1" s="1676">
      <c r="A155" s="1304" t="n"/>
      <c r="B155" s="1324" t="inlineStr">
        <is>
          <t>Text_650</t>
        </is>
      </c>
      <c r="C155" s="1272" t="n"/>
      <c r="D155" s="2342" t="n"/>
      <c r="E155" s="1298" t="n"/>
      <c r="F155" s="1298" t="n"/>
      <c r="G155" s="1272" t="n"/>
      <c r="H155" s="2342" t="n"/>
      <c r="I155" s="1298" t="n"/>
      <c r="J155" s="1298" t="n"/>
      <c r="K155" s="1272" t="n"/>
      <c r="L155" s="2342" t="n">
        <v>59.6726821953701</v>
      </c>
      <c r="M155" s="1298" t="n"/>
      <c r="N155" s="1298" t="n"/>
      <c r="O155" s="1272" t="n"/>
      <c r="P155" s="2342" t="n">
        <v>46.226936455471</v>
      </c>
      <c r="Q155" s="1298" t="n"/>
      <c r="R155" s="1298" t="n"/>
      <c r="S155" s="1272" t="n"/>
      <c r="T155" s="1272" t="n"/>
      <c r="U155" s="1272" t="n"/>
      <c r="V155" s="1298" t="n"/>
      <c r="W155" s="1272" t="n"/>
      <c r="X155" s="1272" t="n"/>
      <c r="Y155" s="1272" t="n"/>
      <c r="Z155" s="1298" t="n"/>
      <c r="AA155" s="1272" t="n"/>
      <c r="AB155" s="1272" t="n"/>
      <c r="AC155" s="1272" t="n"/>
      <c r="AD155" s="1298" t="n"/>
      <c r="AE155" s="1272" t="n"/>
      <c r="AF155" s="1272" t="n"/>
      <c r="AG155" s="1272" t="n"/>
      <c r="AH155" s="1272" t="n"/>
      <c r="AI155" s="1272" t="n"/>
      <c r="AJ155" s="1272" t="n"/>
      <c r="AK155" s="1272" t="n"/>
      <c r="AL155" s="1272" t="n"/>
      <c r="AM155" s="1272" t="n"/>
      <c r="AN155" s="1272" t="n"/>
      <c r="AO155" s="1272" t="n"/>
      <c r="AP155" s="1272" t="n"/>
      <c r="AQ155" s="1277" t="n"/>
    </row>
    <row r="156" hidden="1" ht="9" customHeight="1" s="1676">
      <c r="A156" s="1304" t="n"/>
      <c r="B156" s="1324" t="inlineStr">
        <is>
          <t>Text_649</t>
        </is>
      </c>
      <c r="C156" s="1272" t="n"/>
      <c r="D156" s="2342" t="n"/>
      <c r="E156" s="1298" t="n"/>
      <c r="F156" s="1298" t="n"/>
      <c r="G156" s="1272" t="n"/>
      <c r="H156" s="2342" t="n"/>
      <c r="I156" s="1298" t="n"/>
      <c r="J156" s="1298" t="n"/>
      <c r="K156" s="1272" t="n"/>
      <c r="L156" s="2342" t="n">
        <v>37.0460013432497</v>
      </c>
      <c r="M156" s="1298" t="n"/>
      <c r="N156" s="1298" t="n"/>
      <c r="O156" s="1272" t="n"/>
      <c r="P156" s="2342" t="n">
        <v>30.4491775198133</v>
      </c>
      <c r="Q156" s="1298" t="n"/>
      <c r="R156" s="1298" t="n"/>
      <c r="S156" s="1272" t="n"/>
      <c r="T156" s="1272" t="n"/>
      <c r="U156" s="1272" t="n"/>
      <c r="V156" s="1298" t="n"/>
      <c r="W156" s="1272" t="n"/>
      <c r="X156" s="1272" t="n"/>
      <c r="Y156" s="1272" t="n"/>
      <c r="Z156" s="1298" t="n"/>
      <c r="AA156" s="1272" t="n"/>
      <c r="AB156" s="1272" t="n"/>
      <c r="AC156" s="1272" t="n"/>
      <c r="AD156" s="1298" t="n"/>
      <c r="AE156" s="1272" t="n"/>
      <c r="AF156" s="1272" t="n"/>
      <c r="AG156" s="1272" t="n"/>
      <c r="AH156" s="1272" t="n"/>
      <c r="AI156" s="1272" t="n"/>
      <c r="AJ156" s="1272" t="n"/>
      <c r="AK156" s="1272" t="n"/>
      <c r="AL156" s="1272" t="n"/>
      <c r="AM156" s="1272" t="n"/>
      <c r="AN156" s="1272" t="n"/>
      <c r="AO156" s="1272" t="n"/>
      <c r="AP156" s="1272" t="n"/>
      <c r="AQ156" s="1277" t="n"/>
    </row>
    <row r="157" hidden="1" ht="8" customHeight="1" s="1676">
      <c r="A157" s="1284" t="n"/>
      <c r="B157" s="1323" t="n"/>
      <c r="C157" s="1272" t="n"/>
      <c r="D157" s="2340" t="n"/>
      <c r="E157" s="1298" t="n"/>
      <c r="F157" s="1298" t="n"/>
      <c r="G157" s="1272" t="n"/>
      <c r="H157" s="2340" t="n"/>
      <c r="I157" s="1298" t="n"/>
      <c r="J157" s="1298" t="n"/>
      <c r="K157" s="1272" t="n"/>
      <c r="L157" s="2340" t="n"/>
      <c r="M157" s="1298" t="n"/>
      <c r="N157" s="1298" t="n"/>
      <c r="O157" s="1272" t="n"/>
      <c r="P157" s="2340" t="n"/>
      <c r="Q157" s="1303" t="n"/>
      <c r="R157" s="1298" t="n"/>
      <c r="S157" s="1272" t="n"/>
      <c r="T157" s="2340" t="n"/>
      <c r="U157" s="1291" t="n"/>
      <c r="V157" s="1298" t="n"/>
      <c r="W157" s="1272" t="n"/>
      <c r="X157" s="2340" t="n"/>
      <c r="Y157" s="1291" t="n"/>
      <c r="Z157" s="1298" t="n"/>
      <c r="AA157" s="1272" t="n"/>
      <c r="AB157" s="2340" t="n"/>
      <c r="AC157" s="1291" t="n"/>
      <c r="AD157" s="1298" t="n"/>
      <c r="AE157" s="1272" t="n"/>
      <c r="AF157" s="2340" t="n"/>
      <c r="AG157" s="1291" t="n"/>
      <c r="AH157" s="1272" t="n"/>
      <c r="AI157" s="1272" t="n"/>
      <c r="AJ157" s="1272" t="n"/>
      <c r="AK157" s="1272" t="n"/>
      <c r="AL157" s="1272" t="n"/>
      <c r="AM157" s="1272" t="n"/>
      <c r="AN157" s="1272" t="n"/>
      <c r="AO157" s="1272" t="n"/>
      <c r="AP157" s="1272" t="n"/>
      <c r="AQ157" s="1277" t="n"/>
    </row>
    <row r="158" hidden="1" ht="15.75" customHeight="1" s="1676">
      <c r="A158" s="1304" t="n"/>
      <c r="B158" s="1325" t="inlineStr">
        <is>
          <t>Text_658</t>
        </is>
      </c>
      <c r="C158" s="1272" t="n"/>
      <c r="D158" s="2347" t="n"/>
      <c r="E158" s="1272" t="n"/>
      <c r="F158" s="1272" t="n"/>
      <c r="G158" s="1272" t="n"/>
      <c r="H158" s="2347" t="n"/>
      <c r="I158" s="1272" t="n"/>
      <c r="J158" s="1272" t="n"/>
      <c r="K158" s="1272" t="n"/>
      <c r="L158" s="2347">
        <f t="array" ref="L158">SUM(L154:L157)</f>
        <v/>
      </c>
      <c r="M158" s="1272" t="n"/>
      <c r="N158" s="1272" t="n"/>
      <c r="O158" s="1272" t="n"/>
      <c r="P158" s="2347">
        <f t="array" ref="P158">SUM(P154:P157)</f>
        <v/>
      </c>
      <c r="Q158" s="1272" t="n"/>
      <c r="R158" s="1272" t="n"/>
      <c r="S158" s="1272" t="n"/>
      <c r="T158" s="1272" t="n"/>
      <c r="U158" s="1272" t="n"/>
      <c r="V158" s="1272" t="n"/>
      <c r="W158" s="1272" t="n"/>
      <c r="X158" s="1272" t="n"/>
      <c r="Y158" s="1272" t="n"/>
      <c r="Z158" s="1272" t="n"/>
      <c r="AA158" s="1272" t="n"/>
      <c r="AB158" s="1272" t="n"/>
      <c r="AC158" s="1272" t="n"/>
      <c r="AD158" s="1272" t="n"/>
      <c r="AE158" s="1272" t="n"/>
      <c r="AF158" s="1272" t="n"/>
      <c r="AG158" s="1272" t="n"/>
      <c r="AH158" s="1272" t="n"/>
      <c r="AI158" s="1272" t="n"/>
      <c r="AJ158" s="1272" t="n"/>
      <c r="AK158" s="1272" t="n"/>
      <c r="AL158" s="1272" t="n"/>
      <c r="AM158" s="1272" t="n"/>
      <c r="AN158" s="1272" t="n"/>
      <c r="AO158" s="1272" t="n"/>
      <c r="AP158" s="1272" t="n"/>
      <c r="AQ158" s="1277" t="n"/>
    </row>
    <row r="159" hidden="1" ht="9" customHeight="1" s="1676">
      <c r="A159" s="1304" t="n"/>
      <c r="B159" s="1324" t="inlineStr">
        <is>
          <t>Text_15</t>
        </is>
      </c>
      <c r="C159" s="1272" t="n"/>
      <c r="D159" s="1291" t="n"/>
      <c r="E159" s="1272" t="n"/>
      <c r="F159" s="1272" t="n"/>
      <c r="G159" s="1272" t="n"/>
      <c r="H159" s="1291" t="n"/>
      <c r="I159" s="1272" t="n"/>
      <c r="J159" s="1272" t="n"/>
      <c r="K159" s="1272" t="n"/>
      <c r="L159" s="1291">
        <f t="array" ref="L159">L158/P158-1</f>
        <v/>
      </c>
      <c r="M159" s="1272" t="n"/>
      <c r="N159" s="1272" t="n"/>
      <c r="O159" s="1272" t="n"/>
      <c r="P159" s="1272" t="n"/>
      <c r="Q159" s="1272" t="n"/>
      <c r="R159" s="1272" t="n"/>
      <c r="S159" s="1272" t="n"/>
      <c r="T159" s="1272" t="n"/>
      <c r="U159" s="1272" t="n"/>
      <c r="V159" s="1272" t="n"/>
      <c r="W159" s="1272" t="n"/>
      <c r="X159" s="1272" t="n"/>
      <c r="Y159" s="1272" t="n"/>
      <c r="Z159" s="1272" t="n"/>
      <c r="AA159" s="1272" t="n"/>
      <c r="AB159" s="1272" t="n"/>
      <c r="AC159" s="1272" t="n"/>
      <c r="AD159" s="1272" t="n"/>
      <c r="AE159" s="1272" t="n"/>
      <c r="AF159" s="1272" t="n"/>
      <c r="AG159" s="1272" t="n"/>
      <c r="AH159" s="1272" t="n"/>
      <c r="AI159" s="1272" t="n"/>
      <c r="AJ159" s="1272" t="n"/>
      <c r="AK159" s="1272" t="n"/>
      <c r="AL159" s="1272" t="n"/>
      <c r="AM159" s="1272" t="n"/>
      <c r="AN159" s="1272" t="n"/>
      <c r="AO159" s="1272" t="n"/>
      <c r="AP159" s="1272" t="n"/>
      <c r="AQ159" s="1277" t="n"/>
    </row>
    <row r="160" hidden="1" ht="9" customHeight="1" s="1676">
      <c r="A160" s="1304" t="n"/>
      <c r="B160" s="1272" t="n"/>
      <c r="C160" s="1272" t="n"/>
      <c r="D160" s="1272" t="n"/>
      <c r="E160" s="1272" t="n"/>
      <c r="F160" s="1272" t="n"/>
      <c r="G160" s="1272" t="n"/>
      <c r="H160" s="1272" t="n"/>
      <c r="I160" s="1272" t="n"/>
      <c r="J160" s="1272" t="n"/>
      <c r="K160" s="1272" t="n"/>
      <c r="L160" s="1272" t="n"/>
      <c r="M160" s="1272" t="n"/>
      <c r="N160" s="1272" t="n"/>
      <c r="O160" s="1272" t="n"/>
      <c r="P160" s="1272" t="n"/>
      <c r="Q160" s="1272" t="n"/>
      <c r="R160" s="1272" t="n"/>
      <c r="S160" s="1272" t="n"/>
      <c r="T160" s="1272" t="n"/>
      <c r="U160" s="1272" t="n"/>
      <c r="V160" s="1272" t="n"/>
      <c r="W160" s="1272" t="n"/>
      <c r="X160" s="1272" t="n"/>
      <c r="Y160" s="1272" t="n"/>
      <c r="Z160" s="1272" t="n"/>
      <c r="AA160" s="1272" t="n"/>
      <c r="AB160" s="1272" t="n"/>
      <c r="AC160" s="1272" t="n"/>
      <c r="AD160" s="1272" t="n"/>
      <c r="AE160" s="1272" t="n"/>
      <c r="AF160" s="1272" t="n"/>
      <c r="AG160" s="1272" t="n"/>
      <c r="AH160" s="1272" t="n"/>
      <c r="AI160" s="1272" t="n"/>
      <c r="AJ160" s="1272" t="n"/>
      <c r="AK160" s="1272" t="n"/>
      <c r="AL160" s="1272" t="n"/>
      <c r="AM160" s="1272" t="n"/>
      <c r="AN160" s="1272" t="n"/>
      <c r="AO160" s="1272" t="n"/>
      <c r="AP160" s="1272" t="n"/>
      <c r="AQ160" s="1277" t="n"/>
    </row>
    <row r="161" hidden="1" ht="9" customHeight="1" s="1676">
      <c r="A161" s="1304" t="n"/>
      <c r="B161" s="1343" t="inlineStr">
        <is>
          <t>Text_678</t>
        </is>
      </c>
      <c r="C161" s="1272" t="n"/>
      <c r="D161" s="1318" t="n"/>
      <c r="E161" s="1275" t="n"/>
      <c r="F161" s="1275" t="n"/>
      <c r="G161" s="1272" t="n"/>
      <c r="H161" s="1318" t="n"/>
      <c r="I161" s="1275" t="n"/>
      <c r="J161" s="1275" t="n"/>
      <c r="K161" s="1272" t="n"/>
      <c r="L161" s="1273" t="inlineStr">
        <is>
          <t>Text_618</t>
        </is>
      </c>
      <c r="M161" s="1274" t="inlineStr">
        <is>
          <t>Text_643</t>
        </is>
      </c>
      <c r="N161" s="1275" t="n"/>
      <c r="O161" s="1272" t="n"/>
      <c r="P161" s="1273" t="inlineStr">
        <is>
          <t>Text_618</t>
        </is>
      </c>
      <c r="Q161" s="1274" t="inlineStr">
        <is>
          <t>Text_643</t>
        </is>
      </c>
      <c r="R161" s="1275" t="n"/>
      <c r="S161" s="1272" t="n"/>
      <c r="T161" s="1272" t="n"/>
      <c r="U161" s="1272" t="n"/>
      <c r="V161" s="1275" t="n"/>
      <c r="W161" s="1272" t="n"/>
      <c r="X161" s="1272" t="n"/>
      <c r="Y161" s="1272" t="n"/>
      <c r="Z161" s="1275" t="n"/>
      <c r="AA161" s="1272" t="n"/>
      <c r="AB161" s="1272" t="n"/>
      <c r="AC161" s="1272" t="n"/>
      <c r="AD161" s="1275" t="n"/>
      <c r="AE161" s="1272" t="n"/>
      <c r="AF161" s="1272" t="n"/>
      <c r="AG161" s="1272" t="n"/>
      <c r="AH161" s="1272" t="n"/>
      <c r="AI161" s="1272" t="n"/>
      <c r="AJ161" s="1272" t="n"/>
      <c r="AK161" s="1272" t="n"/>
      <c r="AL161" s="1272" t="n"/>
      <c r="AM161" s="1272" t="n"/>
      <c r="AN161" s="1272" t="n"/>
      <c r="AO161" s="1272" t="n"/>
      <c r="AP161" s="1272" t="n"/>
      <c r="AQ161" s="1277" t="n"/>
    </row>
    <row r="162" hidden="1" ht="15.75" customHeight="1" s="1676">
      <c r="A162" s="1304" t="n"/>
      <c r="B162" s="1319" t="inlineStr">
        <is>
          <t>Text_645</t>
        </is>
      </c>
      <c r="C162" s="1272" t="n"/>
      <c r="D162" s="1321" t="n"/>
      <c r="E162" s="1322" t="n"/>
      <c r="F162" s="1322" t="n"/>
      <c r="G162" s="1272" t="n"/>
      <c r="H162" s="1321" t="n"/>
      <c r="I162" s="1322" t="n"/>
      <c r="J162" s="1322" t="n"/>
      <c r="K162" s="1272" t="n"/>
      <c r="L162" s="1321" t="n">
        <v>1727.67230090692</v>
      </c>
      <c r="M162" s="1322" t="n">
        <v>2214.03405154383</v>
      </c>
      <c r="N162" s="1322" t="n"/>
      <c r="O162" s="1272" t="n"/>
      <c r="P162" s="1321" t="n">
        <v>1741.32414860573</v>
      </c>
      <c r="Q162" s="1322">
        <f t="array" ref="Q162">P162</f>
        <v/>
      </c>
      <c r="R162" s="1322" t="n"/>
      <c r="S162" s="1272" t="n"/>
      <c r="T162" s="1272" t="n"/>
      <c r="U162" s="1272" t="n"/>
      <c r="V162" s="1322" t="n"/>
      <c r="W162" s="1272" t="n"/>
      <c r="X162" s="1272" t="n"/>
      <c r="Y162" s="1272" t="n"/>
      <c r="Z162" s="1322" t="n"/>
      <c r="AA162" s="1272" t="n"/>
      <c r="AB162" s="1272" t="n"/>
      <c r="AC162" s="1272" t="n"/>
      <c r="AD162" s="1322" t="n"/>
      <c r="AE162" s="1272" t="n"/>
      <c r="AF162" s="1272" t="n"/>
      <c r="AG162" s="1272" t="n"/>
      <c r="AH162" s="1272" t="n"/>
      <c r="AI162" s="1272" t="n"/>
      <c r="AJ162" s="1272" t="n"/>
      <c r="AK162" s="1272" t="n"/>
      <c r="AL162" s="1272" t="n"/>
      <c r="AM162" s="1272" t="n"/>
      <c r="AN162" s="1272" t="n"/>
      <c r="AO162" s="1272" t="n"/>
      <c r="AP162" s="1272" t="n"/>
      <c r="AQ162" s="1277" t="n"/>
    </row>
    <row r="163" hidden="1" ht="8" customHeight="1" s="1676">
      <c r="A163" s="1284" t="n"/>
      <c r="B163" s="1323" t="n"/>
      <c r="C163" s="1272" t="n"/>
      <c r="D163" s="2340" t="n"/>
      <c r="E163" s="2340" t="n"/>
      <c r="F163" s="2340" t="n"/>
      <c r="G163" s="1272" t="n"/>
      <c r="H163" s="2340" t="n"/>
      <c r="I163" s="2340" t="n"/>
      <c r="J163" s="2340" t="n"/>
      <c r="K163" s="1272" t="n"/>
      <c r="L163" s="2340" t="n"/>
      <c r="M163" s="2340" t="n"/>
      <c r="N163" s="2340" t="n"/>
      <c r="O163" s="1272" t="n"/>
      <c r="P163" s="2340" t="n"/>
      <c r="Q163" s="1303" t="n"/>
      <c r="R163" s="2340" t="n"/>
      <c r="S163" s="1272" t="n"/>
      <c r="T163" s="2340" t="n"/>
      <c r="U163" s="1291" t="n"/>
      <c r="V163" s="2340" t="n"/>
      <c r="W163" s="1272" t="n"/>
      <c r="X163" s="2340" t="n"/>
      <c r="Y163" s="1291" t="n"/>
      <c r="Z163" s="2340" t="n"/>
      <c r="AA163" s="1272" t="n"/>
      <c r="AB163" s="2340" t="n"/>
      <c r="AC163" s="1291" t="n"/>
      <c r="AD163" s="2340" t="n"/>
      <c r="AE163" s="1272" t="n"/>
      <c r="AF163" s="2340" t="n"/>
      <c r="AG163" s="1291" t="n"/>
      <c r="AH163" s="1272" t="n"/>
      <c r="AI163" s="1272" t="n"/>
      <c r="AJ163" s="1272" t="n"/>
      <c r="AK163" s="1272" t="n"/>
      <c r="AL163" s="1272" t="n"/>
      <c r="AM163" s="1272" t="n"/>
      <c r="AN163" s="1272" t="n"/>
      <c r="AO163" s="1272" t="n"/>
      <c r="AP163" s="1272" t="n"/>
      <c r="AQ163" s="1277" t="n"/>
    </row>
    <row r="164" hidden="1" ht="9" customHeight="1" s="1676">
      <c r="A164" s="1304" t="n"/>
      <c r="B164" s="1327" t="inlineStr">
        <is>
          <t>Text_132</t>
        </is>
      </c>
      <c r="C164" s="1272" t="n"/>
      <c r="D164" s="2342" t="n"/>
      <c r="E164" s="1293" t="n"/>
      <c r="F164" s="1293" t="n"/>
      <c r="G164" s="1272" t="n"/>
      <c r="H164" s="2342" t="n"/>
      <c r="I164" s="1293" t="n"/>
      <c r="J164" s="1293" t="n"/>
      <c r="K164" s="1272" t="n"/>
      <c r="L164" s="2342" t="n">
        <v>2804.38659967052</v>
      </c>
      <c r="M164" s="1293">
        <f t="array" ref="M164">L164/$L$169</f>
        <v/>
      </c>
      <c r="N164" s="1293" t="n"/>
      <c r="O164" s="1272" t="n"/>
      <c r="P164" s="2352" t="n">
        <v>1829.37131659463</v>
      </c>
      <c r="Q164" s="1293">
        <f t="array" ref="Q164">P164/$P$169</f>
        <v/>
      </c>
      <c r="R164" s="1293" t="n"/>
      <c r="S164" s="1272" t="n"/>
      <c r="T164" s="1272" t="n"/>
      <c r="U164" s="1272" t="n"/>
      <c r="V164" s="1275" t="n"/>
      <c r="W164" s="1272" t="n"/>
      <c r="X164" s="1272" t="n"/>
      <c r="Y164" s="1272" t="n"/>
      <c r="Z164" s="1275" t="n"/>
      <c r="AA164" s="1272" t="n"/>
      <c r="AB164" s="1272" t="n"/>
      <c r="AC164" s="1272" t="n"/>
      <c r="AD164" s="1275" t="n"/>
      <c r="AE164" s="1272" t="n"/>
      <c r="AF164" s="1272" t="n"/>
      <c r="AG164" s="1272" t="n"/>
      <c r="AH164" s="1272" t="n"/>
      <c r="AI164" s="1272" t="n"/>
      <c r="AJ164" s="1272" t="n"/>
      <c r="AK164" s="1272" t="n"/>
      <c r="AL164" s="1272" t="n"/>
      <c r="AM164" s="1272" t="n"/>
      <c r="AN164" s="1272" t="n"/>
      <c r="AO164" s="1272" t="n"/>
      <c r="AP164" s="1272" t="n"/>
      <c r="AQ164" s="1277" t="n"/>
    </row>
    <row r="165" hidden="1" ht="9" customHeight="1" s="1676">
      <c r="A165" s="1304" t="n"/>
      <c r="B165" s="1324" t="inlineStr">
        <is>
          <t>Text_648</t>
        </is>
      </c>
      <c r="C165" s="1272" t="n"/>
      <c r="D165" s="2342" t="n"/>
      <c r="E165" s="1298" t="n"/>
      <c r="F165" s="1298" t="n"/>
      <c r="G165" s="1272" t="n"/>
      <c r="H165" s="2342" t="n"/>
      <c r="I165" s="1298" t="n"/>
      <c r="J165" s="1298" t="n"/>
      <c r="K165" s="1272" t="n"/>
      <c r="L165" s="2342" t="n">
        <v>501.666373060661</v>
      </c>
      <c r="M165" s="1298">
        <f t="array" ref="M165">L165/$L$169</f>
        <v/>
      </c>
      <c r="N165" s="1298" t="n"/>
      <c r="O165" s="1272" t="n"/>
      <c r="P165" s="2352" t="n">
        <v>354.554997475546</v>
      </c>
      <c r="Q165" s="1298">
        <f t="array" ref="Q165">P165/$P$169</f>
        <v/>
      </c>
      <c r="R165" s="1298" t="n"/>
      <c r="S165" s="1272" t="n"/>
      <c r="T165" s="1272" t="n"/>
      <c r="U165" s="1272" t="n"/>
      <c r="V165" s="1298" t="n"/>
      <c r="W165" s="1272" t="n"/>
      <c r="X165" s="1272" t="n"/>
      <c r="Y165" s="1272" t="n"/>
      <c r="Z165" s="1298" t="n"/>
      <c r="AA165" s="1272" t="n"/>
      <c r="AB165" s="1272" t="n"/>
      <c r="AC165" s="1272" t="n"/>
      <c r="AD165" s="1298" t="n"/>
      <c r="AE165" s="1272" t="n"/>
      <c r="AF165" s="1272" t="n"/>
      <c r="AG165" s="1272" t="n"/>
      <c r="AH165" s="1272" t="n"/>
      <c r="AI165" s="1272" t="n"/>
      <c r="AJ165" s="1272" t="n"/>
      <c r="AK165" s="1272" t="n"/>
      <c r="AL165" s="1272" t="n"/>
      <c r="AM165" s="1272" t="n"/>
      <c r="AN165" s="1272" t="n"/>
      <c r="AO165" s="1272" t="n"/>
      <c r="AP165" s="1272" t="n"/>
      <c r="AQ165" s="1277" t="n"/>
    </row>
    <row r="166" hidden="1" ht="9" customHeight="1" s="1676">
      <c r="A166" s="1304" t="n"/>
      <c r="B166" s="1324" t="inlineStr">
        <is>
          <t>Text_652</t>
        </is>
      </c>
      <c r="C166" s="1272" t="n"/>
      <c r="D166" s="2342" t="n"/>
      <c r="E166" s="1298" t="n"/>
      <c r="F166" s="1298" t="n"/>
      <c r="G166" s="1272" t="n"/>
      <c r="H166" s="2342" t="n"/>
      <c r="I166" s="1298" t="n"/>
      <c r="J166" s="1298" t="n"/>
      <c r="K166" s="1272" t="n"/>
      <c r="L166" s="2342" t="n">
        <v>384.782034184191</v>
      </c>
      <c r="M166" s="1298">
        <f t="array" ref="M166">L166/$L$169</f>
        <v/>
      </c>
      <c r="N166" s="1298" t="n"/>
      <c r="O166" s="1272" t="n"/>
      <c r="P166" s="2352" t="n">
        <v>216.438530761887</v>
      </c>
      <c r="Q166" s="1298">
        <f t="array" ref="Q166">P166/$P$169</f>
        <v/>
      </c>
      <c r="R166" s="1298" t="n"/>
      <c r="S166" s="1272" t="n"/>
      <c r="T166" s="1272" t="n"/>
      <c r="U166" s="1272" t="n"/>
      <c r="V166" s="1298" t="n"/>
      <c r="W166" s="1272" t="n"/>
      <c r="X166" s="1272" t="n"/>
      <c r="Y166" s="1272" t="n"/>
      <c r="Z166" s="1298" t="n"/>
      <c r="AA166" s="1272" t="n"/>
      <c r="AB166" s="1272" t="n"/>
      <c r="AC166" s="1272" t="n"/>
      <c r="AD166" s="1298" t="n"/>
      <c r="AE166" s="1272" t="n"/>
      <c r="AF166" s="1272" t="n"/>
      <c r="AG166" s="1272" t="n"/>
      <c r="AH166" s="1272" t="n"/>
      <c r="AI166" s="1272" t="n"/>
      <c r="AJ166" s="1272" t="n"/>
      <c r="AK166" s="1272" t="n"/>
      <c r="AL166" s="1272" t="n"/>
      <c r="AM166" s="1272" t="n"/>
      <c r="AN166" s="1272" t="n"/>
      <c r="AO166" s="1272" t="n"/>
      <c r="AP166" s="1272" t="n"/>
      <c r="AQ166" s="1277" t="n"/>
    </row>
    <row r="167" hidden="1" ht="9" customHeight="1" s="1676">
      <c r="A167" s="1304" t="n"/>
      <c r="B167" s="1324" t="inlineStr">
        <is>
          <t>Text_650</t>
        </is>
      </c>
      <c r="C167" s="1272" t="n"/>
      <c r="D167" s="2342" t="n"/>
      <c r="E167" s="1298" t="n"/>
      <c r="F167" s="1298" t="n"/>
      <c r="G167" s="1272" t="n"/>
      <c r="H167" s="2342" t="n"/>
      <c r="I167" s="1298" t="n"/>
      <c r="J167" s="1298" t="n"/>
      <c r="K167" s="1272" t="n"/>
      <c r="L167" s="2342" t="n">
        <v>86.9186846522439</v>
      </c>
      <c r="M167" s="1298">
        <f t="array" ref="M167">L167/$L$169</f>
        <v/>
      </c>
      <c r="N167" s="1298" t="n"/>
      <c r="O167" s="1272" t="n"/>
      <c r="P167" s="2352" t="n">
        <v>51.9669234528249</v>
      </c>
      <c r="Q167" s="1298">
        <f t="array" ref="Q167">P167/$P$169</f>
        <v/>
      </c>
      <c r="R167" s="1298" t="n"/>
      <c r="S167" s="1272" t="n"/>
      <c r="T167" s="1272" t="n"/>
      <c r="U167" s="1272" t="n"/>
      <c r="V167" s="1298" t="n"/>
      <c r="W167" s="1272" t="n"/>
      <c r="X167" s="1272" t="n"/>
      <c r="Y167" s="1272" t="n"/>
      <c r="Z167" s="1298" t="n"/>
      <c r="AA167" s="1272" t="n"/>
      <c r="AB167" s="1272" t="n"/>
      <c r="AC167" s="1272" t="n"/>
      <c r="AD167" s="1298" t="n"/>
      <c r="AE167" s="1272" t="n"/>
      <c r="AF167" s="1272" t="n"/>
      <c r="AG167" s="1272" t="n"/>
      <c r="AH167" s="1272" t="n"/>
      <c r="AI167" s="1272" t="n"/>
      <c r="AJ167" s="1272" t="n"/>
      <c r="AK167" s="1272" t="n"/>
      <c r="AL167" s="1272" t="n"/>
      <c r="AM167" s="1272" t="n"/>
      <c r="AN167" s="1272" t="n"/>
      <c r="AO167" s="1272" t="n"/>
      <c r="AP167" s="1272" t="n"/>
      <c r="AQ167" s="1277" t="n"/>
    </row>
    <row r="168" hidden="1" ht="8" customHeight="1" s="1676">
      <c r="A168" s="1284" t="n"/>
      <c r="B168" s="1323" t="n"/>
      <c r="C168" s="1272" t="n"/>
      <c r="D168" s="2340" t="n"/>
      <c r="E168" s="1298" t="n"/>
      <c r="F168" s="1298" t="n"/>
      <c r="G168" s="1272" t="n"/>
      <c r="H168" s="2340" t="n"/>
      <c r="I168" s="1298" t="n"/>
      <c r="J168" s="1298" t="n"/>
      <c r="K168" s="1272" t="n"/>
      <c r="L168" s="2340" t="n"/>
      <c r="M168" s="1298" t="n"/>
      <c r="N168" s="1298" t="n"/>
      <c r="O168" s="1272" t="n"/>
      <c r="P168" s="2340" t="n"/>
      <c r="Q168" s="1303" t="n"/>
      <c r="R168" s="1298" t="n"/>
      <c r="S168" s="1272" t="n"/>
      <c r="T168" s="2340" t="n"/>
      <c r="U168" s="1291" t="n"/>
      <c r="V168" s="1298" t="n"/>
      <c r="W168" s="1272" t="n"/>
      <c r="X168" s="2340" t="n"/>
      <c r="Y168" s="1291" t="n"/>
      <c r="Z168" s="1298" t="n"/>
      <c r="AA168" s="1272" t="n"/>
      <c r="AB168" s="2340" t="n"/>
      <c r="AC168" s="1291" t="n"/>
      <c r="AD168" s="1298" t="n"/>
      <c r="AE168" s="1272" t="n"/>
      <c r="AF168" s="2340" t="n"/>
      <c r="AG168" s="1291" t="n"/>
      <c r="AH168" s="1272" t="n"/>
      <c r="AI168" s="1272" t="n"/>
      <c r="AJ168" s="1272" t="n"/>
      <c r="AK168" s="1272" t="n"/>
      <c r="AL168" s="1272" t="n"/>
      <c r="AM168" s="1272" t="n"/>
      <c r="AN168" s="1272" t="n"/>
      <c r="AO168" s="1272" t="n"/>
      <c r="AP168" s="1272" t="n"/>
      <c r="AQ168" s="1277" t="n"/>
    </row>
    <row r="169" hidden="1" ht="15.75" customHeight="1" s="1676">
      <c r="A169" s="1304" t="n"/>
      <c r="B169" s="1325" t="inlineStr">
        <is>
          <t>Text_658</t>
        </is>
      </c>
      <c r="C169" s="1272" t="n"/>
      <c r="D169" s="2347" t="n"/>
      <c r="E169" s="1272" t="n"/>
      <c r="F169" s="1272" t="n"/>
      <c r="G169" s="1272" t="n"/>
      <c r="H169" s="2347" t="n"/>
      <c r="I169" s="1272" t="n"/>
      <c r="J169" s="1272" t="n"/>
      <c r="K169" s="1272" t="n"/>
      <c r="L169" s="2347">
        <f t="array" ref="L169">SUM(L164:L168)</f>
        <v/>
      </c>
      <c r="M169" s="1272" t="n"/>
      <c r="N169" s="1272" t="n"/>
      <c r="O169" s="1272" t="n"/>
      <c r="P169" s="2347">
        <f t="array" ref="P169">SUM(P164:P168)</f>
        <v/>
      </c>
      <c r="Q169" s="1272" t="n"/>
      <c r="R169" s="1272" t="n"/>
      <c r="S169" s="1272" t="n"/>
      <c r="T169" s="1272" t="n"/>
      <c r="U169" s="1272" t="n"/>
      <c r="V169" s="1272" t="n"/>
      <c r="W169" s="1272" t="n"/>
      <c r="X169" s="1272" t="n"/>
      <c r="Y169" s="1272" t="n"/>
      <c r="Z169" s="1272" t="n"/>
      <c r="AA169" s="1272" t="n"/>
      <c r="AB169" s="1272" t="n"/>
      <c r="AC169" s="1272" t="n"/>
      <c r="AD169" s="1272" t="n"/>
      <c r="AE169" s="1272" t="n"/>
      <c r="AF169" s="1272" t="n"/>
      <c r="AG169" s="1272" t="n"/>
      <c r="AH169" s="1272" t="n"/>
      <c r="AI169" s="1272" t="n"/>
      <c r="AJ169" s="1272" t="n"/>
      <c r="AK169" s="1272" t="n"/>
      <c r="AL169" s="1272" t="n"/>
      <c r="AM169" s="1272" t="n"/>
      <c r="AN169" s="1272" t="n"/>
      <c r="AO169" s="1272" t="n"/>
      <c r="AP169" s="1272" t="n"/>
      <c r="AQ169" s="1277" t="n"/>
    </row>
    <row r="170" hidden="1" ht="9" customHeight="1" s="1676">
      <c r="A170" s="1304" t="n"/>
      <c r="B170" s="1324" t="inlineStr">
        <is>
          <t>Text_15</t>
        </is>
      </c>
      <c r="C170" s="1272" t="n"/>
      <c r="D170" s="1291" t="n"/>
      <c r="E170" s="1272" t="n"/>
      <c r="F170" s="1272" t="n"/>
      <c r="G170" s="1272" t="n"/>
      <c r="H170" s="1291" t="n"/>
      <c r="I170" s="1272" t="n"/>
      <c r="J170" s="1272" t="n"/>
      <c r="K170" s="1272" t="n"/>
      <c r="L170" s="1291">
        <f t="array" ref="L170">L169/P169-1</f>
        <v/>
      </c>
      <c r="M170" s="1272" t="n"/>
      <c r="N170" s="1272" t="n"/>
      <c r="O170" s="1272" t="n"/>
      <c r="P170" s="1272" t="n"/>
      <c r="Q170" s="1272" t="n"/>
      <c r="R170" s="1272" t="n"/>
      <c r="S170" s="1272" t="n"/>
      <c r="T170" s="1272" t="n"/>
      <c r="U170" s="1272" t="n"/>
      <c r="V170" s="1272" t="n"/>
      <c r="W170" s="1272" t="n"/>
      <c r="X170" s="1272" t="n"/>
      <c r="Y170" s="1272" t="n"/>
      <c r="Z170" s="1272" t="n"/>
      <c r="AA170" s="1272" t="n"/>
      <c r="AB170" s="1272" t="n"/>
      <c r="AC170" s="1272" t="n"/>
      <c r="AD170" s="1272" t="n"/>
      <c r="AE170" s="1272" t="n"/>
      <c r="AF170" s="1272" t="n"/>
      <c r="AG170" s="1272" t="n"/>
      <c r="AH170" s="1272" t="n"/>
      <c r="AI170" s="1272" t="n"/>
      <c r="AJ170" s="1272" t="n"/>
      <c r="AK170" s="1272" t="n"/>
      <c r="AL170" s="1272" t="n"/>
      <c r="AM170" s="1272" t="n"/>
      <c r="AN170" s="1272" t="n"/>
      <c r="AO170" s="1272" t="n"/>
      <c r="AP170" s="1272" t="n"/>
      <c r="AQ170" s="1277" t="n"/>
    </row>
    <row r="171" hidden="1" ht="9" customHeight="1" s="1676">
      <c r="A171" s="1304" t="n"/>
      <c r="B171" s="1313" t="inlineStr">
        <is>
          <t>Text_35</t>
        </is>
      </c>
      <c r="C171" s="1272" t="n"/>
      <c r="D171" s="2348" t="n"/>
      <c r="E171" s="1272" t="n"/>
      <c r="F171" s="1272" t="n"/>
      <c r="G171" s="1272" t="n"/>
      <c r="H171" s="2348" t="n"/>
      <c r="I171" s="1272" t="n"/>
      <c r="J171" s="1272" t="n"/>
      <c r="K171" s="1272" t="n"/>
      <c r="L171" s="2348">
        <f t="array" ref="L171">L179+L189-L169</f>
        <v/>
      </c>
      <c r="M171" s="1272" t="n"/>
      <c r="N171" s="1272" t="n"/>
      <c r="O171" s="1272" t="n"/>
      <c r="P171" s="2348">
        <f t="array" ref="P171">P179+P189-P169</f>
        <v/>
      </c>
      <c r="Q171" s="1272" t="n"/>
      <c r="R171" s="1272" t="n"/>
      <c r="S171" s="1272" t="n"/>
      <c r="T171" s="1272" t="n"/>
      <c r="U171" s="1272" t="n"/>
      <c r="V171" s="1272" t="n"/>
      <c r="W171" s="1272" t="n"/>
      <c r="X171" s="1272" t="n"/>
      <c r="Y171" s="1272" t="n"/>
      <c r="Z171" s="1272" t="n"/>
      <c r="AA171" s="1272" t="n"/>
      <c r="AB171" s="1272" t="n"/>
      <c r="AC171" s="1272" t="n"/>
      <c r="AD171" s="1272" t="n"/>
      <c r="AE171" s="1272" t="n"/>
      <c r="AF171" s="1272" t="n"/>
      <c r="AG171" s="1272" t="n"/>
      <c r="AH171" s="1272" t="n"/>
      <c r="AI171" s="1272" t="n"/>
      <c r="AJ171" s="1272" t="n"/>
      <c r="AK171" s="1272" t="n"/>
      <c r="AL171" s="1272" t="n"/>
      <c r="AM171" s="1272" t="n"/>
      <c r="AN171" s="1272" t="n"/>
      <c r="AO171" s="1272" t="n"/>
      <c r="AP171" s="1272" t="n"/>
      <c r="AQ171" s="1277" t="n"/>
    </row>
    <row r="172" hidden="1" ht="9" customHeight="1" s="1676">
      <c r="A172" s="1304" t="n"/>
      <c r="B172" s="1343" t="inlineStr">
        <is>
          <t>Text_679</t>
        </is>
      </c>
      <c r="C172" s="1272" t="n"/>
      <c r="D172" s="1318" t="n"/>
      <c r="E172" s="1275" t="n"/>
      <c r="F172" s="1275" t="n"/>
      <c r="G172" s="1272" t="n"/>
      <c r="H172" s="1318" t="n"/>
      <c r="I172" s="1275" t="n"/>
      <c r="J172" s="1275" t="n"/>
      <c r="K172" s="1272" t="n"/>
      <c r="L172" s="1273" t="inlineStr">
        <is>
          <t>Text_618</t>
        </is>
      </c>
      <c r="M172" s="1274" t="inlineStr">
        <is>
          <t>Text_643</t>
        </is>
      </c>
      <c r="N172" s="1275" t="n"/>
      <c r="O172" s="1272" t="n"/>
      <c r="P172" s="1273" t="inlineStr">
        <is>
          <t>Text_618</t>
        </is>
      </c>
      <c r="Q172" s="1274" t="inlineStr">
        <is>
          <t>Text_643</t>
        </is>
      </c>
      <c r="R172" s="1275" t="n"/>
      <c r="S172" s="1272" t="n"/>
      <c r="T172" s="1272" t="n"/>
      <c r="U172" s="1272" t="n"/>
      <c r="V172" s="1275" t="n"/>
      <c r="W172" s="1272" t="n"/>
      <c r="X172" s="1272" t="n"/>
      <c r="Y172" s="1272" t="n"/>
      <c r="Z172" s="1275" t="n"/>
      <c r="AA172" s="1272" t="n"/>
      <c r="AB172" s="1272" t="n"/>
      <c r="AC172" s="1272" t="n"/>
      <c r="AD172" s="1275" t="n"/>
      <c r="AE172" s="1272" t="n"/>
      <c r="AF172" s="1272" t="n"/>
      <c r="AG172" s="1272" t="n"/>
      <c r="AH172" s="1272" t="n"/>
      <c r="AI172" s="1272" t="n"/>
      <c r="AJ172" s="1272" t="n"/>
      <c r="AK172" s="1272" t="n"/>
      <c r="AL172" s="1272" t="n"/>
      <c r="AM172" s="1272" t="n"/>
      <c r="AN172" s="1272" t="n"/>
      <c r="AO172" s="1272" t="n"/>
      <c r="AP172" s="1272" t="n"/>
      <c r="AQ172" s="1277" t="n"/>
    </row>
    <row r="173" hidden="1" ht="15.75" customHeight="1" s="1676">
      <c r="A173" s="1304" t="n"/>
      <c r="B173" s="1319" t="inlineStr">
        <is>
          <t>Text_645</t>
        </is>
      </c>
      <c r="C173" s="1272" t="n"/>
      <c r="D173" s="1321" t="n"/>
      <c r="E173" s="1322" t="n"/>
      <c r="F173" s="1322" t="n"/>
      <c r="G173" s="1272" t="n"/>
      <c r="H173" s="1321" t="n"/>
      <c r="I173" s="1322" t="n"/>
      <c r="J173" s="1322" t="n"/>
      <c r="K173" s="1272" t="n"/>
      <c r="L173" s="1321" t="n">
        <v>1794.21663556481</v>
      </c>
      <c r="M173" s="1322" t="n">
        <v>2311.5095878575</v>
      </c>
      <c r="N173" s="1322" t="n"/>
      <c r="O173" s="1272" t="n"/>
      <c r="P173" s="1321" t="n">
        <v>2125.34637235162</v>
      </c>
      <c r="Q173" s="1322">
        <f t="array" ref="Q173">P173</f>
        <v/>
      </c>
      <c r="R173" s="1322" t="n"/>
      <c r="S173" s="1272" t="n"/>
      <c r="T173" s="1272" t="n"/>
      <c r="U173" s="1272" t="n"/>
      <c r="V173" s="1322" t="n"/>
      <c r="W173" s="1272" t="n"/>
      <c r="X173" s="1272" t="n"/>
      <c r="Y173" s="1272" t="n"/>
      <c r="Z173" s="1322" t="n"/>
      <c r="AA173" s="1272" t="n"/>
      <c r="AB173" s="1272" t="n"/>
      <c r="AC173" s="1272" t="n"/>
      <c r="AD173" s="1322" t="n"/>
      <c r="AE173" s="1272" t="n"/>
      <c r="AF173" s="1272" t="n"/>
      <c r="AG173" s="1272" t="n"/>
      <c r="AH173" s="1272" t="n"/>
      <c r="AI173" s="1272" t="n"/>
      <c r="AJ173" s="1272" t="n"/>
      <c r="AK173" s="1272" t="n"/>
      <c r="AL173" s="1272" t="n"/>
      <c r="AM173" s="1272" t="n"/>
      <c r="AN173" s="1272" t="n"/>
      <c r="AO173" s="1272" t="n"/>
      <c r="AP173" s="1272" t="n"/>
      <c r="AQ173" s="1277" t="n"/>
    </row>
    <row r="174" hidden="1" ht="8" customHeight="1" s="1676">
      <c r="A174" s="1284" t="n"/>
      <c r="B174" s="1323" t="n"/>
      <c r="C174" s="1272" t="n"/>
      <c r="D174" s="2340" t="n"/>
      <c r="E174" s="2340" t="n"/>
      <c r="F174" s="2340" t="n"/>
      <c r="G174" s="1272" t="n"/>
      <c r="H174" s="2340" t="n"/>
      <c r="I174" s="2340" t="n"/>
      <c r="J174" s="2340" t="n"/>
      <c r="K174" s="1272" t="n"/>
      <c r="L174" s="2340" t="n"/>
      <c r="M174" s="2340" t="n"/>
      <c r="N174" s="2340" t="n"/>
      <c r="O174" s="1272" t="n"/>
      <c r="P174" s="2340" t="n"/>
      <c r="Q174" s="1303" t="n"/>
      <c r="R174" s="2340" t="n"/>
      <c r="S174" s="1272" t="n"/>
      <c r="T174" s="2340" t="n"/>
      <c r="U174" s="1291" t="n"/>
      <c r="V174" s="2340" t="n"/>
      <c r="W174" s="1272" t="n"/>
      <c r="X174" s="2340" t="n"/>
      <c r="Y174" s="1291" t="n"/>
      <c r="Z174" s="2340" t="n"/>
      <c r="AA174" s="1272" t="n"/>
      <c r="AB174" s="2340" t="n"/>
      <c r="AC174" s="1291" t="n"/>
      <c r="AD174" s="2340" t="n"/>
      <c r="AE174" s="1272" t="n"/>
      <c r="AF174" s="2340" t="n"/>
      <c r="AG174" s="1291" t="n"/>
      <c r="AH174" s="1272" t="n"/>
      <c r="AI174" s="1272" t="n"/>
      <c r="AJ174" s="1272" t="n"/>
      <c r="AK174" s="1272" t="n"/>
      <c r="AL174" s="1272" t="n"/>
      <c r="AM174" s="1272" t="n"/>
      <c r="AN174" s="1272" t="n"/>
      <c r="AO174" s="1272" t="n"/>
      <c r="AP174" s="1272" t="n"/>
      <c r="AQ174" s="1277" t="n"/>
    </row>
    <row r="175" hidden="1" ht="9" customHeight="1" s="1676">
      <c r="A175" s="1304" t="n"/>
      <c r="B175" s="1327" t="inlineStr">
        <is>
          <t>Text_132</t>
        </is>
      </c>
      <c r="C175" s="1272" t="n"/>
      <c r="D175" s="2341" t="n"/>
      <c r="E175" s="1293" t="n"/>
      <c r="F175" s="1293" t="n"/>
      <c r="G175" s="1272" t="n"/>
      <c r="H175" s="2341" t="n"/>
      <c r="I175" s="1293" t="n"/>
      <c r="J175" s="1293" t="n"/>
      <c r="K175" s="1272" t="n"/>
      <c r="L175" s="2341" t="n">
        <v>2751.99543650244</v>
      </c>
      <c r="M175" s="1293">
        <f t="array" ref="M175">L175/$L$179</f>
        <v/>
      </c>
      <c r="N175" s="1293" t="n"/>
      <c r="O175" s="1272" t="n"/>
      <c r="P175" s="2341" t="n">
        <v>1472.57600512788</v>
      </c>
      <c r="Q175" s="1293">
        <f t="array" ref="Q175">P175/$P$179</f>
        <v/>
      </c>
      <c r="R175" s="1293" t="n"/>
      <c r="S175" s="1272" t="n"/>
      <c r="T175" s="1272" t="n"/>
      <c r="U175" s="1272" t="n"/>
      <c r="V175" s="1275" t="n"/>
      <c r="W175" s="1272" t="n"/>
      <c r="X175" s="1272" t="n"/>
      <c r="Y175" s="1272" t="n"/>
      <c r="Z175" s="1275" t="n"/>
      <c r="AA175" s="1272" t="n"/>
      <c r="AB175" s="1272" t="n"/>
      <c r="AC175" s="1272" t="n"/>
      <c r="AD175" s="1275" t="n"/>
      <c r="AE175" s="1272" t="n"/>
      <c r="AF175" s="1272" t="n"/>
      <c r="AG175" s="1272" t="n"/>
      <c r="AH175" s="1272" t="n"/>
      <c r="AI175" s="1272" t="n"/>
      <c r="AJ175" s="1272" t="n"/>
      <c r="AK175" s="1272" t="n"/>
      <c r="AL175" s="1272" t="n"/>
      <c r="AM175" s="1272" t="n"/>
      <c r="AN175" s="1272" t="n"/>
      <c r="AO175" s="1272" t="n"/>
      <c r="AP175" s="1272" t="n"/>
      <c r="AQ175" s="1277" t="n"/>
    </row>
    <row r="176" hidden="1" ht="9" customHeight="1" s="1676">
      <c r="A176" s="1304" t="n"/>
      <c r="B176" s="1324" t="inlineStr">
        <is>
          <t>Text_648</t>
        </is>
      </c>
      <c r="C176" s="1272" t="n"/>
      <c r="D176" s="1337" t="n"/>
      <c r="E176" s="1298" t="n"/>
      <c r="F176" s="1298" t="n"/>
      <c r="G176" s="1272" t="n"/>
      <c r="H176" s="1337" t="n"/>
      <c r="I176" s="1298" t="n"/>
      <c r="J176" s="1298" t="n"/>
      <c r="K176" s="1272" t="n"/>
      <c r="L176" s="1337" t="n">
        <v>320.832392397012</v>
      </c>
      <c r="M176" s="1298">
        <f t="array" ref="M176">L176/$L$179</f>
        <v/>
      </c>
      <c r="N176" s="1298" t="n"/>
      <c r="O176" s="1272" t="n"/>
      <c r="P176" s="1337" t="n">
        <v>262.312333320004</v>
      </c>
      <c r="Q176" s="1298">
        <f t="array" ref="Q176">P176/$P$179</f>
        <v/>
      </c>
      <c r="R176" s="1298" t="n"/>
      <c r="S176" s="1272" t="n"/>
      <c r="T176" s="1272" t="n"/>
      <c r="U176" s="1272" t="n"/>
      <c r="V176" s="1298" t="n"/>
      <c r="W176" s="1272" t="n"/>
      <c r="X176" s="1272" t="n"/>
      <c r="Y176" s="1272" t="n"/>
      <c r="Z176" s="1298" t="n"/>
      <c r="AA176" s="1272" t="n"/>
      <c r="AB176" s="1272" t="n"/>
      <c r="AC176" s="1272" t="n"/>
      <c r="AD176" s="1298" t="n"/>
      <c r="AE176" s="1272" t="n"/>
      <c r="AF176" s="1272" t="n"/>
      <c r="AG176" s="1272" t="n"/>
      <c r="AH176" s="1272" t="n"/>
      <c r="AI176" s="1272" t="n"/>
      <c r="AJ176" s="1272" t="n"/>
      <c r="AK176" s="1272" t="n"/>
      <c r="AL176" s="1272" t="n"/>
      <c r="AM176" s="1272" t="n"/>
      <c r="AN176" s="1272" t="n"/>
      <c r="AO176" s="1272" t="n"/>
      <c r="AP176" s="1272" t="n"/>
      <c r="AQ176" s="1277" t="n"/>
    </row>
    <row r="177" hidden="1" ht="9" customHeight="1" s="1676">
      <c r="A177" s="1304" t="n"/>
      <c r="B177" s="1324" t="inlineStr">
        <is>
          <t>Text_650</t>
        </is>
      </c>
      <c r="C177" s="1272" t="n"/>
      <c r="D177" s="1337" t="n"/>
      <c r="E177" s="1298" t="n"/>
      <c r="F177" s="1298" t="n"/>
      <c r="G177" s="1272" t="n"/>
      <c r="H177" s="1337" t="n"/>
      <c r="I177" s="1298" t="n"/>
      <c r="J177" s="1298" t="n"/>
      <c r="K177" s="1272" t="n"/>
      <c r="L177" s="1337" t="n">
        <v>80.7523770596611</v>
      </c>
      <c r="M177" s="1298">
        <f t="array" ref="M177">L177/$L$179</f>
        <v/>
      </c>
      <c r="N177" s="1298" t="n"/>
      <c r="O177" s="1272" t="n"/>
      <c r="P177" s="1337" t="n">
        <v>62.226764732428</v>
      </c>
      <c r="Q177" s="1298">
        <f t="array" ref="Q177">P177/$P$179</f>
        <v/>
      </c>
      <c r="R177" s="1298" t="n"/>
      <c r="S177" s="1272" t="n"/>
      <c r="T177" s="1272" t="n"/>
      <c r="U177" s="1272" t="n"/>
      <c r="V177" s="1298" t="n"/>
      <c r="W177" s="1272" t="n"/>
      <c r="X177" s="1272" t="n"/>
      <c r="Y177" s="1272" t="n"/>
      <c r="Z177" s="1298" t="n"/>
      <c r="AA177" s="1272" t="n"/>
      <c r="AB177" s="1272" t="n"/>
      <c r="AC177" s="1272" t="n"/>
      <c r="AD177" s="1298" t="n"/>
      <c r="AE177" s="1272" t="n"/>
      <c r="AF177" s="1272" t="n"/>
      <c r="AG177" s="1272" t="n"/>
      <c r="AH177" s="1272" t="n"/>
      <c r="AI177" s="1272" t="n"/>
      <c r="AJ177" s="1272" t="n"/>
      <c r="AK177" s="1272" t="n"/>
      <c r="AL177" s="1272" t="n"/>
      <c r="AM177" s="1272" t="n"/>
      <c r="AN177" s="1272" t="n"/>
      <c r="AO177" s="1272" t="n"/>
      <c r="AP177" s="1272" t="n"/>
      <c r="AQ177" s="1277" t="n"/>
    </row>
    <row r="178" hidden="1" ht="8" customHeight="1" s="1676">
      <c r="A178" s="1284" t="n"/>
      <c r="B178" s="1323" t="n"/>
      <c r="C178" s="1272" t="n"/>
      <c r="D178" s="2340" t="n"/>
      <c r="E178" s="2340" t="n"/>
      <c r="F178" s="2340" t="n"/>
      <c r="G178" s="1272" t="n"/>
      <c r="H178" s="2340" t="n"/>
      <c r="I178" s="2340" t="n"/>
      <c r="J178" s="2340" t="n"/>
      <c r="K178" s="1272" t="n"/>
      <c r="L178" s="2340" t="n"/>
      <c r="M178" s="2340" t="n"/>
      <c r="N178" s="2340" t="n"/>
      <c r="O178" s="1272" t="n"/>
      <c r="P178" s="2340" t="n"/>
      <c r="Q178" s="1303" t="n"/>
      <c r="R178" s="2340" t="n"/>
      <c r="S178" s="1272" t="n"/>
      <c r="T178" s="2340" t="n"/>
      <c r="U178" s="1291" t="n"/>
      <c r="V178" s="2340" t="n"/>
      <c r="W178" s="1272" t="n"/>
      <c r="X178" s="2340" t="n"/>
      <c r="Y178" s="1291" t="n"/>
      <c r="Z178" s="2340" t="n"/>
      <c r="AA178" s="1272" t="n"/>
      <c r="AB178" s="2340" t="n"/>
      <c r="AC178" s="1291" t="n"/>
      <c r="AD178" s="2340" t="n"/>
      <c r="AE178" s="1272" t="n"/>
      <c r="AF178" s="2340" t="n"/>
      <c r="AG178" s="1291" t="n"/>
      <c r="AH178" s="1272" t="n"/>
      <c r="AI178" s="1272" t="n"/>
      <c r="AJ178" s="1272" t="n"/>
      <c r="AK178" s="1272" t="n"/>
      <c r="AL178" s="1272" t="n"/>
      <c r="AM178" s="1272" t="n"/>
      <c r="AN178" s="1272" t="n"/>
      <c r="AO178" s="1272" t="n"/>
      <c r="AP178" s="1272" t="n"/>
      <c r="AQ178" s="1277" t="n"/>
    </row>
    <row r="179" hidden="1" ht="15.75" customHeight="1" s="1676">
      <c r="A179" s="1304" t="n"/>
      <c r="B179" s="1325" t="inlineStr">
        <is>
          <t>Text_658</t>
        </is>
      </c>
      <c r="C179" s="1272" t="n"/>
      <c r="D179" s="2347" t="n"/>
      <c r="E179" s="1272" t="n"/>
      <c r="F179" s="1272" t="n"/>
      <c r="G179" s="1272" t="n"/>
      <c r="H179" s="2347" t="n"/>
      <c r="I179" s="1272" t="n"/>
      <c r="J179" s="1272" t="n"/>
      <c r="K179" s="1272" t="n"/>
      <c r="L179" s="2347">
        <f t="array" ref="L179">SUM(L175:L178)</f>
        <v/>
      </c>
      <c r="M179" s="1272" t="n"/>
      <c r="N179" s="1272" t="n"/>
      <c r="O179" s="1272" t="n"/>
      <c r="P179" s="2347">
        <f t="array" ref="P179">SUM(P175:P178)</f>
        <v/>
      </c>
      <c r="Q179" s="1272" t="n"/>
      <c r="R179" s="1272" t="n"/>
      <c r="S179" s="1272" t="n"/>
      <c r="T179" s="1272" t="n"/>
      <c r="U179" s="1272" t="n"/>
      <c r="V179" s="1272" t="n"/>
      <c r="W179" s="1272" t="n"/>
      <c r="X179" s="1272" t="n"/>
      <c r="Y179" s="1272" t="n"/>
      <c r="Z179" s="1272" t="n"/>
      <c r="AA179" s="1272" t="n"/>
      <c r="AB179" s="1272" t="n"/>
      <c r="AC179" s="1272" t="n"/>
      <c r="AD179" s="1272" t="n"/>
      <c r="AE179" s="1272" t="n"/>
      <c r="AF179" s="1272" t="n"/>
      <c r="AG179" s="1272" t="n"/>
      <c r="AH179" s="1272" t="n"/>
      <c r="AI179" s="1272" t="n"/>
      <c r="AJ179" s="1272" t="n"/>
      <c r="AK179" s="1272" t="n"/>
      <c r="AL179" s="1272" t="n"/>
      <c r="AM179" s="1272" t="n"/>
      <c r="AN179" s="1272" t="n"/>
      <c r="AO179" s="1272" t="n"/>
      <c r="AP179" s="1272" t="n"/>
      <c r="AQ179" s="1277" t="n"/>
    </row>
    <row r="180" hidden="1" ht="9" customHeight="1" s="1676">
      <c r="A180" s="1304" t="n"/>
      <c r="B180" s="1324" t="inlineStr">
        <is>
          <t>Text_15</t>
        </is>
      </c>
      <c r="C180" s="1272" t="n"/>
      <c r="D180" s="1291" t="n"/>
      <c r="E180" s="1272" t="n"/>
      <c r="F180" s="1272" t="n"/>
      <c r="G180" s="1272" t="n"/>
      <c r="H180" s="1291" t="n"/>
      <c r="I180" s="1272" t="n"/>
      <c r="J180" s="1272" t="n"/>
      <c r="K180" s="1272" t="n"/>
      <c r="L180" s="1291">
        <f t="array" ref="L180">L179/P179-1</f>
        <v/>
      </c>
      <c r="M180" s="1272" t="n"/>
      <c r="N180" s="1272" t="n"/>
      <c r="O180" s="1272" t="n"/>
      <c r="P180" s="1272" t="n"/>
      <c r="Q180" s="1272" t="n"/>
      <c r="R180" s="1272" t="n"/>
      <c r="S180" s="1272" t="n"/>
      <c r="T180" s="1272" t="n"/>
      <c r="U180" s="1272" t="n"/>
      <c r="V180" s="1272" t="n"/>
      <c r="W180" s="1272" t="n"/>
      <c r="X180" s="1272" t="n"/>
      <c r="Y180" s="1272" t="n"/>
      <c r="Z180" s="1272" t="n"/>
      <c r="AA180" s="1272" t="n"/>
      <c r="AB180" s="1272" t="n"/>
      <c r="AC180" s="1272" t="n"/>
      <c r="AD180" s="1272" t="n"/>
      <c r="AE180" s="1272" t="n"/>
      <c r="AF180" s="1272" t="n"/>
      <c r="AG180" s="1272" t="n"/>
      <c r="AH180" s="1272" t="n"/>
      <c r="AI180" s="1272" t="n"/>
      <c r="AJ180" s="1272" t="n"/>
      <c r="AK180" s="1272" t="n"/>
      <c r="AL180" s="1272" t="n"/>
      <c r="AM180" s="1272" t="n"/>
      <c r="AN180" s="1272" t="n"/>
      <c r="AO180" s="1272" t="n"/>
      <c r="AP180" s="1272" t="n"/>
      <c r="AQ180" s="1277" t="n"/>
    </row>
    <row r="181" hidden="1" ht="9" customHeight="1" s="1676">
      <c r="A181" s="1304" t="n"/>
      <c r="B181" s="1323" t="n"/>
      <c r="C181" s="1272" t="n"/>
      <c r="D181" s="1291" t="n"/>
      <c r="E181" s="1272" t="n"/>
      <c r="F181" s="1272" t="n"/>
      <c r="G181" s="1272" t="n"/>
      <c r="H181" s="1291" t="n"/>
      <c r="I181" s="1272" t="n"/>
      <c r="J181" s="1272" t="n"/>
      <c r="K181" s="1272" t="n"/>
      <c r="L181" s="1291" t="n"/>
      <c r="M181" s="1272" t="n"/>
      <c r="N181" s="1272" t="n"/>
      <c r="O181" s="1272" t="n"/>
      <c r="P181" s="1272" t="n"/>
      <c r="Q181" s="1272" t="n"/>
      <c r="R181" s="1272" t="n"/>
      <c r="S181" s="1272" t="n"/>
      <c r="T181" s="1272" t="n"/>
      <c r="U181" s="1272" t="n"/>
      <c r="V181" s="1272" t="n"/>
      <c r="W181" s="1272" t="n"/>
      <c r="X181" s="1272" t="n"/>
      <c r="Y181" s="1272" t="n"/>
      <c r="Z181" s="1272" t="n"/>
      <c r="AA181" s="1272" t="n"/>
      <c r="AB181" s="1272" t="n"/>
      <c r="AC181" s="1272" t="n"/>
      <c r="AD181" s="1272" t="n"/>
      <c r="AE181" s="1272" t="n"/>
      <c r="AF181" s="1272" t="n"/>
      <c r="AG181" s="1272" t="n"/>
      <c r="AH181" s="1272" t="n"/>
      <c r="AI181" s="1272" t="n"/>
      <c r="AJ181" s="1272" t="n"/>
      <c r="AK181" s="1272" t="n"/>
      <c r="AL181" s="1272" t="n"/>
      <c r="AM181" s="1272" t="n"/>
      <c r="AN181" s="1272" t="n"/>
      <c r="AO181" s="1272" t="n"/>
      <c r="AP181" s="1272" t="n"/>
      <c r="AQ181" s="1277" t="n"/>
    </row>
    <row r="182" hidden="1" ht="9" customHeight="1" s="1676">
      <c r="A182" s="1304" t="n"/>
      <c r="B182" s="1343" t="inlineStr">
        <is>
          <t>Text_680</t>
        </is>
      </c>
      <c r="C182" s="1272" t="n"/>
      <c r="D182" s="1318" t="n"/>
      <c r="E182" s="1275" t="n"/>
      <c r="F182" s="1275" t="n"/>
      <c r="G182" s="1272" t="n"/>
      <c r="H182" s="1318" t="n"/>
      <c r="I182" s="1275" t="n"/>
      <c r="J182" s="1275" t="n"/>
      <c r="K182" s="1272" t="n"/>
      <c r="L182" s="1273" t="inlineStr">
        <is>
          <t>Text_618</t>
        </is>
      </c>
      <c r="M182" s="1274" t="inlineStr">
        <is>
          <t>Text_643</t>
        </is>
      </c>
      <c r="N182" s="1275" t="n"/>
      <c r="O182" s="1272" t="n"/>
      <c r="P182" s="1273" t="inlineStr">
        <is>
          <t>Text_618</t>
        </is>
      </c>
      <c r="Q182" s="1274" t="inlineStr">
        <is>
          <t>Text_643</t>
        </is>
      </c>
      <c r="R182" s="1275" t="n"/>
      <c r="S182" s="1272" t="n"/>
      <c r="T182" s="1272" t="n"/>
      <c r="U182" s="1272" t="n"/>
      <c r="V182" s="1275" t="n"/>
      <c r="W182" s="1272" t="n"/>
      <c r="X182" s="1272" t="n"/>
      <c r="Y182" s="1272" t="n"/>
      <c r="Z182" s="1275" t="n"/>
      <c r="AA182" s="1272" t="n"/>
      <c r="AB182" s="1296" t="inlineStr">
        <is>
          <t>Text_681</t>
        </is>
      </c>
      <c r="AC182" s="1272" t="n"/>
      <c r="AD182" s="1275" t="n"/>
      <c r="AE182" s="1272" t="n"/>
      <c r="AF182" s="1272" t="n"/>
      <c r="AG182" s="1272" t="n"/>
      <c r="AH182" s="1272" t="n"/>
      <c r="AI182" s="1272" t="n"/>
      <c r="AJ182" s="1272" t="n"/>
      <c r="AK182" s="1272" t="n"/>
      <c r="AL182" s="1272" t="n"/>
      <c r="AM182" s="1272" t="n"/>
      <c r="AN182" s="1272" t="n"/>
      <c r="AO182" s="1272" t="n"/>
      <c r="AP182" s="1272" t="n"/>
      <c r="AQ182" s="1277" t="n"/>
    </row>
    <row r="183" hidden="1" ht="15.75" customHeight="1" s="1676">
      <c r="A183" s="1304" t="n"/>
      <c r="B183" s="1319" t="inlineStr">
        <is>
          <t>Text_645</t>
        </is>
      </c>
      <c r="C183" s="1272" t="n"/>
      <c r="D183" s="1321" t="n"/>
      <c r="E183" s="1322" t="n"/>
      <c r="F183" s="1322" t="n"/>
      <c r="G183" s="1272" t="n"/>
      <c r="H183" s="1321" t="n"/>
      <c r="I183" s="1322" t="n"/>
      <c r="J183" s="1322" t="n"/>
      <c r="K183" s="1272" t="n"/>
      <c r="L183" s="1321" t="n">
        <v>2066.69026666817</v>
      </c>
      <c r="M183" s="1322" t="n">
        <v>1977.99051450821</v>
      </c>
      <c r="N183" s="1322" t="n"/>
      <c r="O183" s="1272" t="n"/>
      <c r="P183" s="1321" t="n">
        <v>1884.20915279461</v>
      </c>
      <c r="Q183" s="1322">
        <f t="array" ref="Q183">P183</f>
        <v/>
      </c>
      <c r="R183" s="1322" t="n"/>
      <c r="S183" s="1272" t="n"/>
      <c r="T183" s="1272" t="n"/>
      <c r="U183" s="1272" t="n"/>
      <c r="V183" s="1322" t="n"/>
      <c r="W183" s="1272" t="n"/>
      <c r="X183" s="1272" t="n"/>
      <c r="Y183" s="1272" t="n"/>
      <c r="Z183" s="1322" t="n"/>
      <c r="AA183" s="1272" t="n"/>
      <c r="AB183" s="1345" t="inlineStr">
        <is>
          <t>Text_682</t>
        </is>
      </c>
      <c r="AC183" s="1272" t="n"/>
      <c r="AD183" s="1322" t="n"/>
      <c r="AE183" s="1272" t="n"/>
      <c r="AF183" s="1272" t="n"/>
      <c r="AG183" s="1272" t="n"/>
      <c r="AH183" s="1272" t="n"/>
      <c r="AI183" s="1272" t="n"/>
      <c r="AJ183" s="1272" t="n"/>
      <c r="AK183" s="1272" t="n"/>
      <c r="AL183" s="1272" t="n"/>
      <c r="AM183" s="1272" t="n"/>
      <c r="AN183" s="1272" t="n"/>
      <c r="AO183" s="1272" t="n"/>
      <c r="AP183" s="1272" t="n"/>
      <c r="AQ183" s="1277" t="n"/>
    </row>
    <row r="184" hidden="1" ht="8" customHeight="1" s="1676">
      <c r="A184" s="1284" t="n"/>
      <c r="B184" s="1323" t="n"/>
      <c r="C184" s="1272" t="n"/>
      <c r="D184" s="2340" t="n"/>
      <c r="E184" s="2340" t="n"/>
      <c r="F184" s="2340" t="n"/>
      <c r="G184" s="1272" t="n"/>
      <c r="H184" s="2340" t="n"/>
      <c r="I184" s="2340" t="n"/>
      <c r="J184" s="2340" t="n"/>
      <c r="K184" s="1272" t="n"/>
      <c r="L184" s="2340" t="n"/>
      <c r="M184" s="2340" t="n"/>
      <c r="N184" s="2340" t="n"/>
      <c r="O184" s="1272" t="n"/>
      <c r="P184" s="2340" t="n"/>
      <c r="Q184" s="1303" t="n"/>
      <c r="R184" s="2340" t="n"/>
      <c r="S184" s="1272" t="n"/>
      <c r="T184" s="2340" t="n"/>
      <c r="U184" s="1291" t="n"/>
      <c r="V184" s="2340" t="n"/>
      <c r="W184" s="1272" t="n"/>
      <c r="X184" s="2340" t="n"/>
      <c r="Y184" s="1291" t="n"/>
      <c r="Z184" s="2340" t="n"/>
      <c r="AA184" s="1272" t="n"/>
      <c r="AB184" s="2340" t="n"/>
      <c r="AC184" s="1291" t="n"/>
      <c r="AD184" s="2340" t="n"/>
      <c r="AE184" s="1272" t="n"/>
      <c r="AF184" s="2340" t="n"/>
      <c r="AG184" s="1291" t="n"/>
      <c r="AH184" s="1272" t="n"/>
      <c r="AI184" s="1272" t="n"/>
      <c r="AJ184" s="1272" t="n"/>
      <c r="AK184" s="1272" t="n"/>
      <c r="AL184" s="1272" t="n"/>
      <c r="AM184" s="1272" t="n"/>
      <c r="AN184" s="1272" t="n"/>
      <c r="AO184" s="1272" t="n"/>
      <c r="AP184" s="1272" t="n"/>
      <c r="AQ184" s="1277" t="n"/>
    </row>
    <row r="185" hidden="1" ht="9" customHeight="1" s="1676">
      <c r="A185" s="1304" t="n"/>
      <c r="B185" s="1324" t="inlineStr">
        <is>
          <t>Text_652</t>
        </is>
      </c>
      <c r="C185" s="1272" t="n"/>
      <c r="D185" s="2342" t="n"/>
      <c r="E185" s="1298" t="n"/>
      <c r="F185" s="1298" t="n"/>
      <c r="G185" s="1272" t="n"/>
      <c r="H185" s="2342" t="n"/>
      <c r="I185" s="1298" t="n"/>
      <c r="J185" s="1298" t="n"/>
      <c r="K185" s="1272" t="n"/>
      <c r="L185" s="2342" t="n">
        <v>385.126107612327</v>
      </c>
      <c r="M185" s="1298">
        <f t="array" ref="M185">L185/$L$189</f>
        <v/>
      </c>
      <c r="N185" s="1298" t="n"/>
      <c r="O185" s="1272" t="n"/>
      <c r="P185" s="2342" t="n">
        <v>214.562347237546</v>
      </c>
      <c r="Q185" s="1298">
        <f t="array" ref="Q185">P185/$P$189</f>
        <v/>
      </c>
      <c r="R185" s="1298" t="n"/>
      <c r="S185" s="1272" t="n"/>
      <c r="T185" s="1272" t="n"/>
      <c r="U185" s="1272" t="n"/>
      <c r="V185" s="1298" t="n"/>
      <c r="W185" s="1272" t="n"/>
      <c r="X185" s="1272" t="n"/>
      <c r="Y185" s="1272" t="n"/>
      <c r="Z185" s="1298" t="n"/>
      <c r="AA185" s="1272" t="n"/>
      <c r="AB185" s="1272" t="n"/>
      <c r="AC185" s="1272" t="n"/>
      <c r="AD185" s="1298" t="n"/>
      <c r="AE185" s="1272" t="n"/>
      <c r="AF185" s="1272" t="n"/>
      <c r="AG185" s="1272" t="n"/>
      <c r="AH185" s="1272" t="n"/>
      <c r="AI185" s="1272" t="n"/>
      <c r="AJ185" s="1272" t="n"/>
      <c r="AK185" s="1272" t="n"/>
      <c r="AL185" s="1272" t="n"/>
      <c r="AM185" s="1272" t="n"/>
      <c r="AN185" s="1272" t="n"/>
      <c r="AO185" s="1272" t="n"/>
      <c r="AP185" s="1272" t="n"/>
      <c r="AQ185" s="1277" t="n"/>
    </row>
    <row r="186" hidden="1" ht="9" customHeight="1" s="1676">
      <c r="A186" s="1304" t="n"/>
      <c r="B186" s="1324" t="inlineStr">
        <is>
          <t>Text_648</t>
        </is>
      </c>
      <c r="C186" s="1272" t="n"/>
      <c r="D186" s="2342" t="n"/>
      <c r="E186" s="1298" t="n"/>
      <c r="F186" s="1298" t="n"/>
      <c r="G186" s="1272" t="n"/>
      <c r="H186" s="2342" t="n"/>
      <c r="I186" s="1298" t="n"/>
      <c r="J186" s="1298" t="n"/>
      <c r="K186" s="1272" t="n"/>
      <c r="L186" s="2342" t="n">
        <v>243.272447124655</v>
      </c>
      <c r="M186" s="1298">
        <f t="array" ref="M186">L186/$L$189</f>
        <v/>
      </c>
      <c r="N186" s="1298" t="n"/>
      <c r="O186" s="1272" t="n"/>
      <c r="P186" s="2342" t="n">
        <v>122.54397678545</v>
      </c>
      <c r="Q186" s="1298">
        <f t="array" ref="Q186">P186/$P$189</f>
        <v/>
      </c>
      <c r="R186" s="1298" t="n"/>
      <c r="S186" s="1272" t="n"/>
      <c r="T186" s="1272" t="n"/>
      <c r="U186" s="1272" t="n"/>
      <c r="V186" s="1298" t="n"/>
      <c r="W186" s="1272" t="n"/>
      <c r="X186" s="1272" t="n"/>
      <c r="Y186" s="1272" t="n"/>
      <c r="Z186" s="1298" t="n"/>
      <c r="AA186" s="1272" t="n"/>
      <c r="AB186" s="1272" t="n"/>
      <c r="AC186" s="1272" t="n"/>
      <c r="AD186" s="1298" t="n"/>
      <c r="AE186" s="1272" t="n"/>
      <c r="AF186" s="1272" t="n"/>
      <c r="AG186" s="1272" t="n"/>
      <c r="AH186" s="1272" t="n"/>
      <c r="AI186" s="1272" t="n"/>
      <c r="AJ186" s="1272" t="n"/>
      <c r="AK186" s="1272" t="n"/>
      <c r="AL186" s="1272" t="n"/>
      <c r="AM186" s="1272" t="n"/>
      <c r="AN186" s="1272" t="n"/>
      <c r="AO186" s="1272" t="n"/>
      <c r="AP186" s="1272" t="n"/>
      <c r="AQ186" s="1277" t="n"/>
    </row>
    <row r="187" hidden="1" ht="9" customHeight="1" s="1676">
      <c r="A187" s="1304" t="n"/>
      <c r="B187" s="1327" t="inlineStr">
        <is>
          <t>Text_132</t>
        </is>
      </c>
      <c r="C187" s="1272" t="n"/>
      <c r="D187" s="2341" t="n"/>
      <c r="E187" s="1293" t="n"/>
      <c r="F187" s="1293" t="n"/>
      <c r="G187" s="1272" t="n"/>
      <c r="H187" s="2341" t="n"/>
      <c r="I187" s="1293" t="n"/>
      <c r="J187" s="1293" t="n"/>
      <c r="K187" s="1272" t="n"/>
      <c r="L187" s="2341" t="n">
        <v>18.7805432186653</v>
      </c>
      <c r="M187" s="1293">
        <f t="array" ref="M187">L187/$L$189</f>
        <v/>
      </c>
      <c r="N187" s="1293" t="n"/>
      <c r="O187" s="1272" t="n"/>
      <c r="P187" s="2341" t="n">
        <v>42.5352881745105</v>
      </c>
      <c r="Q187" s="1293">
        <f t="array" ref="Q187">P187/$P$189</f>
        <v/>
      </c>
      <c r="R187" s="1293" t="n"/>
      <c r="S187" s="1272" t="n"/>
      <c r="T187" s="1272" t="n"/>
      <c r="U187" s="1272" t="n"/>
      <c r="V187" s="1275" t="n"/>
      <c r="W187" s="1272" t="n"/>
      <c r="X187" s="1272" t="n"/>
      <c r="Y187" s="1272" t="n"/>
      <c r="Z187" s="1275" t="n"/>
      <c r="AA187" s="1272" t="n"/>
      <c r="AB187" s="1272" t="n"/>
      <c r="AC187" s="1272" t="n"/>
      <c r="AD187" s="1275" t="n"/>
      <c r="AE187" s="1272" t="n"/>
      <c r="AF187" s="1272" t="n"/>
      <c r="AG187" s="1272" t="n"/>
      <c r="AH187" s="1272" t="n"/>
      <c r="AI187" s="1272" t="n"/>
      <c r="AJ187" s="1272" t="n"/>
      <c r="AK187" s="1272" t="n"/>
      <c r="AL187" s="1272" t="n"/>
      <c r="AM187" s="1272" t="n"/>
      <c r="AN187" s="1272" t="n"/>
      <c r="AO187" s="1272" t="n"/>
      <c r="AP187" s="1272" t="n"/>
      <c r="AQ187" s="1277" t="n"/>
    </row>
    <row r="188" hidden="1" ht="8" customHeight="1" s="1676">
      <c r="A188" s="1284" t="n"/>
      <c r="B188" s="1323" t="n"/>
      <c r="C188" s="1272" t="n"/>
      <c r="D188" s="2340" t="n"/>
      <c r="E188" s="2340" t="n"/>
      <c r="F188" s="2340" t="n"/>
      <c r="G188" s="1272" t="n"/>
      <c r="H188" s="2340" t="n"/>
      <c r="I188" s="2340" t="n"/>
      <c r="J188" s="2340" t="n"/>
      <c r="K188" s="1272" t="n"/>
      <c r="L188" s="2340" t="n"/>
      <c r="M188" s="2340" t="n"/>
      <c r="N188" s="2340" t="n"/>
      <c r="O188" s="1272" t="n"/>
      <c r="P188" s="2340" t="n"/>
      <c r="Q188" s="1298" t="n"/>
      <c r="R188" s="2340" t="n"/>
      <c r="S188" s="1272" t="n"/>
      <c r="T188" s="2340" t="n"/>
      <c r="U188" s="1291" t="n"/>
      <c r="V188" s="2340" t="n"/>
      <c r="W188" s="1272" t="n"/>
      <c r="X188" s="2340" t="n"/>
      <c r="Y188" s="1291" t="n"/>
      <c r="Z188" s="2340" t="n"/>
      <c r="AA188" s="1272" t="n"/>
      <c r="AB188" s="2340" t="n"/>
      <c r="AC188" s="1291" t="n"/>
      <c r="AD188" s="2340" t="n"/>
      <c r="AE188" s="1272" t="n"/>
      <c r="AF188" s="2340" t="n"/>
      <c r="AG188" s="1291" t="n"/>
      <c r="AH188" s="1272" t="n"/>
      <c r="AI188" s="1272" t="n"/>
      <c r="AJ188" s="1272" t="n"/>
      <c r="AK188" s="1272" t="n"/>
      <c r="AL188" s="1272" t="n"/>
      <c r="AM188" s="1272" t="n"/>
      <c r="AN188" s="1272" t="n"/>
      <c r="AO188" s="1272" t="n"/>
      <c r="AP188" s="1272" t="n"/>
      <c r="AQ188" s="1277" t="n"/>
    </row>
    <row r="189" hidden="1" ht="15.75" customHeight="1" s="1676">
      <c r="A189" s="1304" t="n"/>
      <c r="B189" s="1325" t="inlineStr">
        <is>
          <t>Text_658</t>
        </is>
      </c>
      <c r="C189" s="1272" t="n"/>
      <c r="D189" s="2347" t="n"/>
      <c r="E189" s="1272" t="n"/>
      <c r="F189" s="1272" t="n"/>
      <c r="G189" s="1272" t="n"/>
      <c r="H189" s="2347" t="n"/>
      <c r="I189" s="1272" t="n"/>
      <c r="J189" s="1272" t="n"/>
      <c r="K189" s="1272" t="n"/>
      <c r="L189" s="2347">
        <f t="array" ref="L189">SUM(L185:L188)</f>
        <v/>
      </c>
      <c r="M189" s="1272" t="n"/>
      <c r="N189" s="1272" t="n"/>
      <c r="O189" s="1272" t="n"/>
      <c r="P189" s="2347">
        <f t="array" ref="P189">SUM(P185:P188)</f>
        <v/>
      </c>
      <c r="Q189" s="1272" t="n"/>
      <c r="R189" s="1272" t="n"/>
      <c r="S189" s="1272" t="n"/>
      <c r="T189" s="1272" t="n"/>
      <c r="U189" s="1272" t="n"/>
      <c r="V189" s="1272" t="n"/>
      <c r="W189" s="1272" t="n"/>
      <c r="X189" s="1272" t="n"/>
      <c r="Y189" s="1272" t="n"/>
      <c r="Z189" s="1272" t="n"/>
      <c r="AA189" s="1272" t="n"/>
      <c r="AB189" s="1272" t="n"/>
      <c r="AC189" s="1272" t="n"/>
      <c r="AD189" s="1272" t="n"/>
      <c r="AE189" s="1272" t="n"/>
      <c r="AF189" s="1272" t="n"/>
      <c r="AG189" s="1272" t="n"/>
      <c r="AH189" s="1272" t="n"/>
      <c r="AI189" s="1272" t="n"/>
      <c r="AJ189" s="1272" t="n"/>
      <c r="AK189" s="1272" t="n"/>
      <c r="AL189" s="1272" t="n"/>
      <c r="AM189" s="1272" t="n"/>
      <c r="AN189" s="1272" t="n"/>
      <c r="AO189" s="1272" t="n"/>
      <c r="AP189" s="1272" t="n"/>
      <c r="AQ189" s="1277" t="n"/>
    </row>
    <row r="190" hidden="1" ht="9" customHeight="1" s="1676">
      <c r="A190" s="1304" t="n"/>
      <c r="B190" s="1324" t="inlineStr">
        <is>
          <t>Text_15</t>
        </is>
      </c>
      <c r="C190" s="1272" t="n"/>
      <c r="D190" s="1291" t="n"/>
      <c r="E190" s="1272" t="n"/>
      <c r="F190" s="1272" t="n"/>
      <c r="G190" s="1272" t="n"/>
      <c r="H190" s="1291" t="n"/>
      <c r="I190" s="1272" t="n"/>
      <c r="J190" s="1272" t="n"/>
      <c r="K190" s="1272" t="n"/>
      <c r="L190" s="1291">
        <f t="array" ref="L190">L189/P189-1</f>
        <v/>
      </c>
      <c r="M190" s="1272" t="n"/>
      <c r="N190" s="1272" t="n"/>
      <c r="O190" s="1272" t="n"/>
      <c r="P190" s="1272" t="n"/>
      <c r="Q190" s="1272" t="n"/>
      <c r="R190" s="1272" t="n"/>
      <c r="S190" s="1272" t="n"/>
      <c r="T190" s="1272" t="n"/>
      <c r="U190" s="1272" t="n"/>
      <c r="V190" s="1272" t="n"/>
      <c r="W190" s="1272" t="n"/>
      <c r="X190" s="1272" t="n"/>
      <c r="Y190" s="1272" t="n"/>
      <c r="Z190" s="1272" t="n"/>
      <c r="AA190" s="1272" t="n"/>
      <c r="AB190" s="1272" t="n"/>
      <c r="AC190" s="1272" t="n"/>
      <c r="AD190" s="1272" t="n"/>
      <c r="AE190" s="1272" t="n"/>
      <c r="AF190" s="1272" t="n"/>
      <c r="AG190" s="1272" t="n"/>
      <c r="AH190" s="1272" t="n"/>
      <c r="AI190" s="1272" t="n"/>
      <c r="AJ190" s="1272" t="n"/>
      <c r="AK190" s="1272" t="n"/>
      <c r="AL190" s="1272" t="n"/>
      <c r="AM190" s="1272" t="n"/>
      <c r="AN190" s="1272" t="n"/>
      <c r="AO190" s="1272" t="n"/>
      <c r="AP190" s="1272" t="n"/>
      <c r="AQ190" s="1277" t="n"/>
    </row>
    <row r="191" hidden="1" ht="9" customHeight="1" s="1676">
      <c r="A191" s="1304" t="n"/>
      <c r="B191" s="1323" t="n"/>
      <c r="C191" s="1272" t="n"/>
      <c r="D191" s="1272" t="n"/>
      <c r="E191" s="1272" t="n"/>
      <c r="F191" s="1272" t="n"/>
      <c r="G191" s="1272" t="n"/>
      <c r="H191" s="1272" t="n"/>
      <c r="I191" s="1272" t="n"/>
      <c r="J191" s="1272" t="n"/>
      <c r="K191" s="1272" t="n"/>
      <c r="L191" s="1272" t="n"/>
      <c r="M191" s="1272" t="n"/>
      <c r="N191" s="1272" t="n"/>
      <c r="O191" s="1272" t="n"/>
      <c r="P191" s="1272" t="n"/>
      <c r="Q191" s="1272" t="n"/>
      <c r="R191" s="1272" t="n"/>
      <c r="S191" s="1272" t="n"/>
      <c r="T191" s="1272" t="n"/>
      <c r="U191" s="1272" t="n"/>
      <c r="V191" s="1272" t="n"/>
      <c r="W191" s="1272" t="n"/>
      <c r="X191" s="1272" t="n"/>
      <c r="Y191" s="1272" t="n"/>
      <c r="Z191" s="1272" t="n"/>
      <c r="AA191" s="1272" t="n"/>
      <c r="AB191" s="1272" t="n"/>
      <c r="AC191" s="1272" t="n"/>
      <c r="AD191" s="1272" t="n"/>
      <c r="AE191" s="1272" t="n"/>
      <c r="AF191" s="1272" t="n"/>
      <c r="AG191" s="1272" t="n"/>
      <c r="AH191" s="1272" t="n"/>
      <c r="AI191" s="1272" t="n"/>
      <c r="AJ191" s="1272" t="n"/>
      <c r="AK191" s="1272" t="n"/>
      <c r="AL191" s="1272" t="n"/>
      <c r="AM191" s="1272" t="n"/>
      <c r="AN191" s="1272" t="n"/>
      <c r="AO191" s="1272" t="n"/>
      <c r="AP191" s="1272" t="n"/>
      <c r="AQ191" s="1277" t="n"/>
    </row>
    <row r="192" hidden="1" ht="9" customHeight="1" s="1676">
      <c r="A192" s="1304" t="n"/>
      <c r="B192" s="1343" t="inlineStr">
        <is>
          <t>Text_683</t>
        </is>
      </c>
      <c r="C192" s="1272" t="n"/>
      <c r="D192" s="1318" t="n"/>
      <c r="E192" s="1275" t="n"/>
      <c r="F192" s="1275" t="n"/>
      <c r="G192" s="1272" t="n"/>
      <c r="H192" s="1318" t="n"/>
      <c r="I192" s="1275" t="n"/>
      <c r="J192" s="1275" t="n"/>
      <c r="K192" s="1272" t="n"/>
      <c r="L192" s="1273" t="inlineStr">
        <is>
          <t>Text_618</t>
        </is>
      </c>
      <c r="M192" s="1274" t="inlineStr">
        <is>
          <t>Text_643</t>
        </is>
      </c>
      <c r="N192" s="1275" t="n"/>
      <c r="O192" s="1272" t="n"/>
      <c r="P192" s="1273" t="inlineStr">
        <is>
          <t>Text_618</t>
        </is>
      </c>
      <c r="Q192" s="1274" t="inlineStr">
        <is>
          <t>Text_643</t>
        </is>
      </c>
      <c r="R192" s="1275" t="n"/>
      <c r="S192" s="1272" t="n"/>
      <c r="T192" s="1272" t="n"/>
      <c r="U192" s="1272" t="n"/>
      <c r="V192" s="1275" t="n"/>
      <c r="W192" s="1272" t="n"/>
      <c r="X192" s="1272" t="n"/>
      <c r="Y192" s="1272" t="n"/>
      <c r="Z192" s="1275" t="n"/>
      <c r="AA192" s="1272" t="n"/>
      <c r="AB192" s="1272" t="n"/>
      <c r="AC192" s="1272" t="n"/>
      <c r="AD192" s="1275" t="n"/>
      <c r="AE192" s="1272" t="n"/>
      <c r="AF192" s="1272" t="n"/>
      <c r="AG192" s="1272" t="n"/>
      <c r="AH192" s="1272" t="n"/>
      <c r="AI192" s="1272" t="n"/>
      <c r="AJ192" s="1272" t="n"/>
      <c r="AK192" s="1272" t="n"/>
      <c r="AL192" s="1272" t="n"/>
      <c r="AM192" s="1272" t="n"/>
      <c r="AN192" s="1272" t="n"/>
      <c r="AO192" s="1272" t="n"/>
      <c r="AP192" s="1272" t="n"/>
      <c r="AQ192" s="1277" t="n"/>
    </row>
    <row r="193" hidden="1" ht="15.75" customHeight="1" s="1676">
      <c r="A193" s="1304" t="n"/>
      <c r="B193" s="1319" t="inlineStr">
        <is>
          <t>Text_645</t>
        </is>
      </c>
      <c r="C193" s="1272" t="n"/>
      <c r="D193" s="1321" t="n"/>
      <c r="E193" s="1322" t="n"/>
      <c r="F193" s="1322" t="n"/>
      <c r="G193" s="1272" t="n"/>
      <c r="H193" s="1321" t="n"/>
      <c r="I193" s="1322" t="n"/>
      <c r="J193" s="1322" t="n"/>
      <c r="K193" s="1272" t="n"/>
      <c r="L193" s="1321" t="n">
        <v>1850.45623084403</v>
      </c>
      <c r="M193" s="1322" t="n">
        <v>1754.19362331221</v>
      </c>
      <c r="N193" s="1322" t="n"/>
      <c r="O193" s="1272" t="n"/>
      <c r="P193" s="1321" t="n">
        <v>1796.37008825447</v>
      </c>
      <c r="Q193" s="1322">
        <f t="array" ref="Q193">P193</f>
        <v/>
      </c>
      <c r="R193" s="1322" t="n"/>
      <c r="S193" s="1272" t="n"/>
      <c r="T193" s="1272" t="n"/>
      <c r="U193" s="1272" t="n"/>
      <c r="V193" s="1322" t="n"/>
      <c r="W193" s="1272" t="n"/>
      <c r="X193" s="1272" t="n"/>
      <c r="Y193" s="1272" t="n"/>
      <c r="Z193" s="1322" t="n"/>
      <c r="AA193" s="1272" t="n"/>
      <c r="AB193" s="1272" t="n"/>
      <c r="AC193" s="1272" t="n"/>
      <c r="AD193" s="1322" t="n"/>
      <c r="AE193" s="1272" t="n"/>
      <c r="AF193" s="1272" t="n"/>
      <c r="AG193" s="1272" t="n"/>
      <c r="AH193" s="1272" t="n"/>
      <c r="AI193" s="1272" t="n"/>
      <c r="AJ193" s="1272" t="n"/>
      <c r="AK193" s="1272" t="n"/>
      <c r="AL193" s="1272" t="n"/>
      <c r="AM193" s="1272" t="n"/>
      <c r="AN193" s="1272" t="n"/>
      <c r="AO193" s="1272" t="n"/>
      <c r="AP193" s="1272" t="n"/>
      <c r="AQ193" s="1277" t="n"/>
    </row>
    <row r="194" hidden="1" ht="8" customHeight="1" s="1676">
      <c r="A194" s="1284" t="n"/>
      <c r="B194" s="1323" t="n"/>
      <c r="C194" s="1272" t="n"/>
      <c r="D194" s="2340" t="n"/>
      <c r="E194" s="2340" t="n"/>
      <c r="F194" s="2340" t="n"/>
      <c r="G194" s="1272" t="n"/>
      <c r="H194" s="2340" t="n"/>
      <c r="I194" s="2340" t="n"/>
      <c r="J194" s="2340" t="n"/>
      <c r="K194" s="1272" t="n"/>
      <c r="L194" s="2340" t="n"/>
      <c r="M194" s="2340" t="n"/>
      <c r="N194" s="2340" t="n"/>
      <c r="O194" s="1272" t="n"/>
      <c r="P194" s="2340" t="n"/>
      <c r="Q194" s="1303" t="n"/>
      <c r="R194" s="2340" t="n"/>
      <c r="S194" s="1272" t="n"/>
      <c r="T194" s="2340" t="n"/>
      <c r="U194" s="1291" t="n"/>
      <c r="V194" s="2340" t="n"/>
      <c r="W194" s="1272" t="n"/>
      <c r="X194" s="2340" t="n"/>
      <c r="Y194" s="1291" t="n"/>
      <c r="Z194" s="2340" t="n"/>
      <c r="AA194" s="1272" t="n"/>
      <c r="AB194" s="2340" t="n"/>
      <c r="AC194" s="1291" t="n"/>
      <c r="AD194" s="2340" t="n"/>
      <c r="AE194" s="1272" t="n"/>
      <c r="AF194" s="2340" t="n"/>
      <c r="AG194" s="1291" t="n"/>
      <c r="AH194" s="1272" t="n"/>
      <c r="AI194" s="1272" t="n"/>
      <c r="AJ194" s="1272" t="n"/>
      <c r="AK194" s="1272" t="n"/>
      <c r="AL194" s="1272" t="n"/>
      <c r="AM194" s="1272" t="n"/>
      <c r="AN194" s="1272" t="n"/>
      <c r="AO194" s="1272" t="n"/>
      <c r="AP194" s="1272" t="n"/>
      <c r="AQ194" s="1277" t="n"/>
    </row>
    <row r="195" hidden="1" ht="9" customHeight="1" s="1676">
      <c r="A195" s="1304" t="n"/>
      <c r="B195" s="1324" t="inlineStr">
        <is>
          <t>Text_648</t>
        </is>
      </c>
      <c r="C195" s="1272" t="n"/>
      <c r="D195" s="2342" t="n"/>
      <c r="E195" s="1298" t="n"/>
      <c r="F195" s="1298" t="n"/>
      <c r="G195" s="1272" t="n"/>
      <c r="H195" s="2342" t="n"/>
      <c r="I195" s="1298" t="n"/>
      <c r="J195" s="1298" t="n"/>
      <c r="K195" s="1272" t="n"/>
      <c r="L195" s="2342" t="n">
        <v>478.135692092416</v>
      </c>
      <c r="M195" s="1298">
        <f t="array" ref="M195">L195/$L$200</f>
        <v/>
      </c>
      <c r="N195" s="1298" t="n"/>
      <c r="O195" s="1272" t="n"/>
      <c r="P195" s="2342" t="n">
        <v>323.716339107242</v>
      </c>
      <c r="Q195" s="1298">
        <f t="array" ref="Q195">P195/$P$200</f>
        <v/>
      </c>
      <c r="R195" s="1298" t="n"/>
      <c r="S195" s="1272" t="n"/>
      <c r="T195" s="1272" t="n"/>
      <c r="U195" s="1272" t="n"/>
      <c r="V195" s="1298" t="n"/>
      <c r="W195" s="1272" t="n"/>
      <c r="X195" s="1272" t="n"/>
      <c r="Y195" s="1272" t="n"/>
      <c r="Z195" s="1298" t="n"/>
      <c r="AA195" s="1272" t="n"/>
      <c r="AB195" s="1272" t="n"/>
      <c r="AC195" s="1272" t="n"/>
      <c r="AD195" s="1298" t="n"/>
      <c r="AE195" s="1272" t="n"/>
      <c r="AF195" s="1272" t="n"/>
      <c r="AG195" s="1272" t="n"/>
      <c r="AH195" s="1272" t="n"/>
      <c r="AI195" s="1272" t="n"/>
      <c r="AJ195" s="1272" t="n"/>
      <c r="AK195" s="1272" t="n"/>
      <c r="AL195" s="1272" t="n"/>
      <c r="AM195" s="1272" t="n"/>
      <c r="AN195" s="1272" t="n"/>
      <c r="AO195" s="1272" t="n"/>
      <c r="AP195" s="1272" t="n"/>
      <c r="AQ195" s="1277" t="n"/>
    </row>
    <row r="196" hidden="1" ht="9" customHeight="1" s="1676">
      <c r="A196" s="1304" t="n"/>
      <c r="B196" s="1327" t="inlineStr">
        <is>
          <t>Text_132</t>
        </is>
      </c>
      <c r="C196" s="1272" t="n"/>
      <c r="D196" s="2341" t="n"/>
      <c r="E196" s="1293" t="n"/>
      <c r="F196" s="1293" t="n"/>
      <c r="G196" s="1272" t="n"/>
      <c r="H196" s="2341" t="n"/>
      <c r="I196" s="1293" t="n"/>
      <c r="J196" s="1293" t="n"/>
      <c r="K196" s="1272" t="n"/>
      <c r="L196" s="2341" t="n">
        <v>103.792582738559</v>
      </c>
      <c r="M196" s="1293">
        <f t="array" ref="M196">L196/$L$200</f>
        <v/>
      </c>
      <c r="N196" s="1293" t="n"/>
      <c r="O196" s="1272" t="n"/>
      <c r="P196" s="2341" t="n">
        <v>66.9973590117373</v>
      </c>
      <c r="Q196" s="1293">
        <f t="array" ref="Q196">P196/$P$200</f>
        <v/>
      </c>
      <c r="R196" s="1293" t="n"/>
      <c r="S196" s="1272" t="n"/>
      <c r="T196" s="1272" t="n"/>
      <c r="U196" s="1272" t="n"/>
      <c r="V196" s="1275" t="n"/>
      <c r="W196" s="1272" t="n"/>
      <c r="X196" s="1272" t="n"/>
      <c r="Y196" s="1272" t="n"/>
      <c r="Z196" s="1275" t="n"/>
      <c r="AA196" s="1272" t="n"/>
      <c r="AB196" s="1272" t="n"/>
      <c r="AC196" s="1272" t="n"/>
      <c r="AD196" s="1275" t="n"/>
      <c r="AE196" s="1272" t="n"/>
      <c r="AF196" s="1272" t="n"/>
      <c r="AG196" s="1272" t="n"/>
      <c r="AH196" s="1272" t="n"/>
      <c r="AI196" s="1272" t="n"/>
      <c r="AJ196" s="1272" t="n"/>
      <c r="AK196" s="1272" t="n"/>
      <c r="AL196" s="1272" t="n"/>
      <c r="AM196" s="1272" t="n"/>
      <c r="AN196" s="1272" t="n"/>
      <c r="AO196" s="1272" t="n"/>
      <c r="AP196" s="1272" t="n"/>
      <c r="AQ196" s="1277" t="n"/>
    </row>
    <row r="197" hidden="1" ht="9" customHeight="1" s="1676">
      <c r="A197" s="1304" t="n"/>
      <c r="B197" s="1324" t="inlineStr">
        <is>
          <t>Text_674</t>
        </is>
      </c>
      <c r="C197" s="1272" t="n"/>
      <c r="D197" s="1337" t="n"/>
      <c r="E197" s="1298" t="n"/>
      <c r="F197" s="1298" t="n"/>
      <c r="G197" s="1272" t="n"/>
      <c r="H197" s="1337" t="n"/>
      <c r="I197" s="1298" t="n"/>
      <c r="J197" s="1298" t="n"/>
      <c r="K197" s="1272" t="n"/>
      <c r="L197" s="1337" t="n">
        <v>13.1850671046676</v>
      </c>
      <c r="M197" s="1298">
        <f t="array" ref="M197">L197/$L$200</f>
        <v/>
      </c>
      <c r="N197" s="1298" t="n"/>
      <c r="O197" s="1272" t="n"/>
      <c r="P197" s="2342" t="n">
        <v>11.3265666461123</v>
      </c>
      <c r="Q197" s="1298">
        <f t="array" ref="Q197">P197/$P$200</f>
        <v/>
      </c>
      <c r="R197" s="1298" t="n"/>
      <c r="S197" s="1272" t="n"/>
      <c r="T197" s="1272" t="n"/>
      <c r="U197" s="1272" t="n"/>
      <c r="V197" s="1298" t="n"/>
      <c r="W197" s="1272" t="n"/>
      <c r="X197" s="1272" t="n"/>
      <c r="Y197" s="1272" t="n"/>
      <c r="Z197" s="1298" t="n"/>
      <c r="AA197" s="1272" t="n"/>
      <c r="AB197" s="1272" t="n"/>
      <c r="AC197" s="1272" t="n"/>
      <c r="AD197" s="1298" t="n"/>
      <c r="AE197" s="1272" t="n"/>
      <c r="AF197" s="1272" t="n"/>
      <c r="AG197" s="1272" t="n"/>
      <c r="AH197" s="1272" t="n"/>
      <c r="AI197" s="1272" t="n"/>
      <c r="AJ197" s="1272" t="n"/>
      <c r="AK197" s="1272" t="n"/>
      <c r="AL197" s="1272" t="n"/>
      <c r="AM197" s="1272" t="n"/>
      <c r="AN197" s="1272" t="n"/>
      <c r="AO197" s="1272" t="n"/>
      <c r="AP197" s="1272" t="n"/>
      <c r="AQ197" s="1277" t="n"/>
    </row>
    <row r="198" hidden="1" ht="9" customHeight="1" s="1676">
      <c r="A198" s="1304" t="n"/>
      <c r="B198" s="1324" t="inlineStr">
        <is>
          <t>Text_650</t>
        </is>
      </c>
      <c r="C198" s="1272" t="n"/>
      <c r="D198" s="1337" t="n"/>
      <c r="E198" s="1298" t="n"/>
      <c r="F198" s="1298" t="n"/>
      <c r="G198" s="1272" t="n"/>
      <c r="H198" s="1337" t="n"/>
      <c r="I198" s="1298" t="n"/>
      <c r="J198" s="1298" t="n"/>
      <c r="K198" s="1272" t="n"/>
      <c r="L198" s="1337" t="n">
        <v>13.3637097036616</v>
      </c>
      <c r="M198" s="1298">
        <f t="array" ref="M198">L198/$L$200</f>
        <v/>
      </c>
      <c r="N198" s="1298" t="n"/>
      <c r="O198" s="1272" t="n"/>
      <c r="P198" s="2342" t="n">
        <v>42.6836112172762</v>
      </c>
      <c r="Q198" s="1298">
        <f t="array" ref="Q198">P198/$P$200</f>
        <v/>
      </c>
      <c r="R198" s="1298" t="n"/>
      <c r="S198" s="1272" t="n"/>
      <c r="T198" s="1272" t="n"/>
      <c r="U198" s="1272" t="n"/>
      <c r="V198" s="1298" t="n"/>
      <c r="W198" s="1272" t="n"/>
      <c r="X198" s="1272" t="n"/>
      <c r="Y198" s="1272" t="n"/>
      <c r="Z198" s="1298" t="n"/>
      <c r="AA198" s="1272" t="n"/>
      <c r="AB198" s="1272" t="n"/>
      <c r="AC198" s="1272" t="n"/>
      <c r="AD198" s="1298" t="n"/>
      <c r="AE198" s="1272" t="n"/>
      <c r="AF198" s="1272" t="n"/>
      <c r="AG198" s="1272" t="n"/>
      <c r="AH198" s="1272" t="n"/>
      <c r="AI198" s="1272" t="n"/>
      <c r="AJ198" s="1272" t="n"/>
      <c r="AK198" s="1272" t="n"/>
      <c r="AL198" s="1272" t="n"/>
      <c r="AM198" s="1272" t="n"/>
      <c r="AN198" s="1272" t="n"/>
      <c r="AO198" s="1272" t="n"/>
      <c r="AP198" s="1272" t="n"/>
      <c r="AQ198" s="1277" t="n"/>
    </row>
    <row r="199" hidden="1" ht="8" customHeight="1" s="1676">
      <c r="A199" s="1284" t="n"/>
      <c r="B199" s="1323" t="n"/>
      <c r="C199" s="1272" t="n"/>
      <c r="D199" s="2340" t="n"/>
      <c r="E199" s="1298" t="n"/>
      <c r="F199" s="1298" t="n"/>
      <c r="G199" s="1272" t="n"/>
      <c r="H199" s="2340" t="n"/>
      <c r="I199" s="1298" t="n"/>
      <c r="J199" s="1298" t="n"/>
      <c r="K199" s="1272" t="n"/>
      <c r="L199" s="2340" t="n"/>
      <c r="M199" s="1298" t="n"/>
      <c r="N199" s="1298" t="n"/>
      <c r="O199" s="1272" t="n"/>
      <c r="P199" s="2340" t="n"/>
      <c r="Q199" s="1303" t="n"/>
      <c r="R199" s="1298" t="n"/>
      <c r="S199" s="1272" t="n"/>
      <c r="T199" s="2340" t="n"/>
      <c r="U199" s="1291" t="n"/>
      <c r="V199" s="1298" t="n"/>
      <c r="W199" s="1272" t="n"/>
      <c r="X199" s="2340" t="n"/>
      <c r="Y199" s="1291" t="n"/>
      <c r="Z199" s="1298" t="n"/>
      <c r="AA199" s="1272" t="n"/>
      <c r="AB199" s="2340" t="n"/>
      <c r="AC199" s="1291" t="n"/>
      <c r="AD199" s="1298" t="n"/>
      <c r="AE199" s="1272" t="n"/>
      <c r="AF199" s="2340" t="n"/>
      <c r="AG199" s="1291" t="n"/>
      <c r="AH199" s="1272" t="n"/>
      <c r="AI199" s="1272" t="n"/>
      <c r="AJ199" s="1272" t="n"/>
      <c r="AK199" s="1272" t="n"/>
      <c r="AL199" s="1272" t="n"/>
      <c r="AM199" s="1272" t="n"/>
      <c r="AN199" s="1272" t="n"/>
      <c r="AO199" s="1272" t="n"/>
      <c r="AP199" s="1272" t="n"/>
      <c r="AQ199" s="1277" t="n"/>
    </row>
    <row r="200" hidden="1" ht="15.75" customHeight="1" s="1676">
      <c r="A200" s="1304" t="n"/>
      <c r="B200" s="1325" t="inlineStr">
        <is>
          <t>Text_658</t>
        </is>
      </c>
      <c r="C200" s="1272" t="n"/>
      <c r="D200" s="2347" t="n"/>
      <c r="E200" s="1272" t="n"/>
      <c r="F200" s="1272" t="n"/>
      <c r="G200" s="1272" t="n"/>
      <c r="H200" s="2347" t="n"/>
      <c r="I200" s="1272" t="n"/>
      <c r="J200" s="1272" t="n"/>
      <c r="K200" s="1272" t="n"/>
      <c r="L200" s="2347">
        <f t="array" ref="L200">SUM(L195:L199)</f>
        <v/>
      </c>
      <c r="M200" s="1272" t="n"/>
      <c r="N200" s="1272" t="n"/>
      <c r="O200" s="1272" t="n"/>
      <c r="P200" s="2347">
        <f t="array" ref="P200">SUM(P195:P199)</f>
        <v/>
      </c>
      <c r="Q200" s="1272" t="n"/>
      <c r="R200" s="1272" t="n"/>
      <c r="S200" s="1272" t="n"/>
      <c r="T200" s="1272" t="n"/>
      <c r="U200" s="1272" t="n"/>
      <c r="V200" s="1272" t="n"/>
      <c r="W200" s="1272" t="n"/>
      <c r="X200" s="1272" t="n"/>
      <c r="Y200" s="1272" t="n"/>
      <c r="Z200" s="1272" t="n"/>
      <c r="AA200" s="1272" t="n"/>
      <c r="AB200" s="1272" t="n"/>
      <c r="AC200" s="1272" t="n"/>
      <c r="AD200" s="1272" t="n"/>
      <c r="AE200" s="1272" t="n"/>
      <c r="AF200" s="1272" t="n"/>
      <c r="AG200" s="1272" t="n"/>
      <c r="AH200" s="1272" t="n"/>
      <c r="AI200" s="1272" t="n"/>
      <c r="AJ200" s="1272" t="n"/>
      <c r="AK200" s="1272" t="n"/>
      <c r="AL200" s="1272" t="n"/>
      <c r="AM200" s="1272" t="n"/>
      <c r="AN200" s="1272" t="n"/>
      <c r="AO200" s="1272" t="n"/>
      <c r="AP200" s="1272" t="n"/>
      <c r="AQ200" s="1277" t="n"/>
    </row>
    <row r="201" hidden="1" ht="9" customHeight="1" s="1676">
      <c r="A201" s="1304" t="n"/>
      <c r="B201" s="1324" t="inlineStr">
        <is>
          <t>Text_15</t>
        </is>
      </c>
      <c r="C201" s="1272" t="n"/>
      <c r="D201" s="1291" t="n"/>
      <c r="E201" s="1272" t="n"/>
      <c r="F201" s="1272" t="n"/>
      <c r="G201" s="1272" t="n"/>
      <c r="H201" s="1291" t="n"/>
      <c r="I201" s="1272" t="n"/>
      <c r="J201" s="1272" t="n"/>
      <c r="K201" s="1272" t="n"/>
      <c r="L201" s="1291">
        <f t="array" ref="L201">L200/P200-1</f>
        <v/>
      </c>
      <c r="M201" s="1272" t="n"/>
      <c r="N201" s="1272" t="n"/>
      <c r="O201" s="1272" t="n"/>
      <c r="P201" s="1272" t="n"/>
      <c r="Q201" s="1272" t="n"/>
      <c r="R201" s="1272" t="n"/>
      <c r="S201" s="1272" t="n"/>
      <c r="T201" s="1272" t="n"/>
      <c r="U201" s="1272" t="n"/>
      <c r="V201" s="1272" t="n"/>
      <c r="W201" s="1272" t="n"/>
      <c r="X201" s="1272" t="n"/>
      <c r="Y201" s="1272" t="n"/>
      <c r="Z201" s="1272" t="n"/>
      <c r="AA201" s="1272" t="n"/>
      <c r="AB201" s="1272" t="n"/>
      <c r="AC201" s="1272" t="n"/>
      <c r="AD201" s="1272" t="n"/>
      <c r="AE201" s="1272" t="n"/>
      <c r="AF201" s="1272" t="n"/>
      <c r="AG201" s="1272" t="n"/>
      <c r="AH201" s="1272" t="n"/>
      <c r="AI201" s="1272" t="n"/>
      <c r="AJ201" s="1272" t="n"/>
      <c r="AK201" s="1272" t="n"/>
      <c r="AL201" s="1272" t="n"/>
      <c r="AM201" s="1272" t="n"/>
      <c r="AN201" s="1272" t="n"/>
      <c r="AO201" s="1272" t="n"/>
      <c r="AP201" s="1272" t="n"/>
      <c r="AQ201" s="1277" t="n"/>
    </row>
    <row r="202" hidden="1" ht="9" customHeight="1" s="1676">
      <c r="A202" s="1304" t="n"/>
      <c r="B202" s="1272" t="n"/>
      <c r="C202" s="1272" t="n"/>
      <c r="D202" s="1272" t="n"/>
      <c r="E202" s="1272" t="n"/>
      <c r="F202" s="1272" t="n"/>
      <c r="G202" s="1272" t="n"/>
      <c r="H202" s="1272" t="n"/>
      <c r="I202" s="1272" t="n"/>
      <c r="J202" s="1272" t="n"/>
      <c r="K202" s="1272" t="n"/>
      <c r="L202" s="1272" t="n"/>
      <c r="M202" s="1272" t="n"/>
      <c r="N202" s="1272" t="n"/>
      <c r="O202" s="1272" t="n"/>
      <c r="P202" s="1272" t="n"/>
      <c r="Q202" s="1272" t="n"/>
      <c r="R202" s="1272" t="n"/>
      <c r="S202" s="1272" t="n"/>
      <c r="T202" s="1272" t="n"/>
      <c r="U202" s="1272" t="n"/>
      <c r="V202" s="1272" t="n"/>
      <c r="W202" s="1272" t="n"/>
      <c r="X202" s="1272" t="n"/>
      <c r="Y202" s="1272" t="n"/>
      <c r="Z202" s="1272" t="n"/>
      <c r="AA202" s="1272" t="n"/>
      <c r="AB202" s="1272" t="n"/>
      <c r="AC202" s="1272" t="n"/>
      <c r="AD202" s="1272" t="n"/>
      <c r="AE202" s="1272" t="n"/>
      <c r="AF202" s="1272" t="n"/>
      <c r="AG202" s="1272" t="n"/>
      <c r="AH202" s="1272" t="n"/>
      <c r="AI202" s="1272" t="n"/>
      <c r="AJ202" s="1272" t="n"/>
      <c r="AK202" s="1272" t="n"/>
      <c r="AL202" s="1272" t="n"/>
      <c r="AM202" s="1272" t="n"/>
      <c r="AN202" s="1272" t="n"/>
      <c r="AO202" s="1272" t="n"/>
      <c r="AP202" s="1272" t="n"/>
      <c r="AQ202" s="1277" t="n"/>
    </row>
    <row r="203" ht="13.55" customHeight="1" s="1676">
      <c r="A203" s="1304" t="n"/>
      <c r="B203" s="1272" t="n"/>
      <c r="C203" s="1272" t="n"/>
      <c r="D203" s="1272" t="n"/>
      <c r="E203" s="1272" t="n"/>
      <c r="F203" s="1272" t="n"/>
      <c r="G203" s="1272" t="n"/>
      <c r="H203" s="1272" t="n"/>
      <c r="I203" s="1272" t="n"/>
      <c r="J203" s="1272" t="n"/>
      <c r="K203" s="1272" t="n"/>
      <c r="L203" s="1272" t="n"/>
      <c r="M203" s="1272" t="n"/>
      <c r="N203" s="1272" t="n"/>
      <c r="O203" s="1272" t="n"/>
      <c r="P203" s="1272" t="n"/>
      <c r="Q203" s="1272" t="n"/>
      <c r="R203" s="1272" t="n"/>
      <c r="S203" s="1272" t="n"/>
      <c r="T203" s="1272" t="n"/>
      <c r="U203" s="1272" t="n"/>
      <c r="V203" s="1272" t="n"/>
      <c r="W203" s="1272" t="n"/>
      <c r="X203" s="1272" t="n"/>
      <c r="Y203" s="1272" t="n"/>
      <c r="Z203" s="1272" t="n"/>
      <c r="AA203" s="1272" t="n"/>
      <c r="AB203" s="1272" t="n"/>
      <c r="AC203" s="1272" t="n"/>
      <c r="AD203" s="1272" t="n"/>
      <c r="AE203" s="1272" t="n"/>
      <c r="AF203" s="1272" t="n"/>
      <c r="AG203" s="1272" t="n"/>
      <c r="AH203" s="1272" t="n"/>
      <c r="AI203" s="1272" t="n"/>
      <c r="AJ203" s="1272" t="n"/>
      <c r="AK203" s="1272" t="n"/>
      <c r="AL203" s="1272" t="n"/>
      <c r="AM203" s="1272" t="n"/>
      <c r="AN203" s="1272" t="n"/>
      <c r="AO203" s="1272" t="n"/>
      <c r="AP203" s="1272" t="n"/>
      <c r="AQ203" s="1277" t="n"/>
    </row>
    <row r="204" ht="13.55" customHeight="1" s="1676">
      <c r="A204" s="1304" t="n"/>
      <c r="B204" s="1346" t="inlineStr">
        <is>
          <t>Text_684</t>
        </is>
      </c>
      <c r="C204" s="1272" t="n"/>
      <c r="D204" s="1318" t="n"/>
      <c r="E204" s="1275" t="n"/>
      <c r="F204" s="1275" t="n"/>
      <c r="G204" s="1272" t="n"/>
      <c r="H204" s="1318" t="n"/>
      <c r="I204" s="1275" t="n"/>
      <c r="J204" s="1275" t="n"/>
      <c r="K204" s="1272" t="n"/>
      <c r="L204" s="1273" t="inlineStr">
        <is>
          <t>Text_618</t>
        </is>
      </c>
      <c r="M204" s="1274" t="inlineStr">
        <is>
          <t>Text_643</t>
        </is>
      </c>
      <c r="N204" s="1275" t="n"/>
      <c r="O204" s="1272" t="n"/>
      <c r="P204" s="1273" t="inlineStr">
        <is>
          <t>Text_618</t>
        </is>
      </c>
      <c r="Q204" s="1274" t="inlineStr">
        <is>
          <t>Text_643</t>
        </is>
      </c>
      <c r="R204" s="1275" t="n"/>
      <c r="S204" s="1272" t="n"/>
      <c r="T204" s="1272" t="n"/>
      <c r="U204" s="1272" t="n"/>
      <c r="V204" s="1275" t="n"/>
      <c r="W204" s="1272" t="n"/>
      <c r="X204" s="1272" t="n"/>
      <c r="Y204" s="1272" t="n"/>
      <c r="Z204" s="1275" t="n"/>
      <c r="AA204" s="1272" t="n"/>
      <c r="AB204" s="1272" t="n"/>
      <c r="AC204" s="1272" t="n"/>
      <c r="AD204" s="1275" t="n"/>
      <c r="AE204" s="1272" t="n"/>
      <c r="AF204" s="1272" t="n"/>
      <c r="AG204" s="1272" t="n"/>
      <c r="AH204" s="1272" t="n"/>
      <c r="AI204" s="1272" t="n"/>
      <c r="AJ204" s="1272" t="n"/>
      <c r="AK204" s="1272" t="n"/>
      <c r="AL204" s="1272" t="n"/>
      <c r="AM204" s="1272" t="n"/>
      <c r="AN204" s="1272" t="n"/>
      <c r="AO204" s="1272" t="n"/>
      <c r="AP204" s="1272" t="n"/>
      <c r="AQ204" s="1277" t="n"/>
    </row>
    <row r="205" ht="15.75" customHeight="1" s="1676">
      <c r="A205" s="1304" t="n"/>
      <c r="B205" s="1334" t="inlineStr">
        <is>
          <t>Text_645</t>
        </is>
      </c>
      <c r="C205" s="1272" t="n"/>
      <c r="D205" s="1347" t="n"/>
      <c r="E205" s="1282" t="n"/>
      <c r="F205" s="1322" t="n"/>
      <c r="G205" s="1272" t="n"/>
      <c r="H205" s="1347" t="n"/>
      <c r="I205" s="1282" t="n"/>
      <c r="J205" s="1322" t="n"/>
      <c r="K205" s="1272" t="n"/>
      <c r="L205" s="1347" t="n">
        <v>1999.98378304751</v>
      </c>
      <c r="M205" s="1282" t="n">
        <v>1726.1456480694</v>
      </c>
      <c r="N205" s="1322" t="n"/>
      <c r="O205" s="1272" t="n"/>
      <c r="P205" s="1347" t="n">
        <v>1766.44882432293</v>
      </c>
      <c r="Q205" s="1282">
        <f t="array" ref="Q205">P205</f>
        <v/>
      </c>
      <c r="R205" s="1322" t="n"/>
      <c r="S205" s="1272" t="n"/>
      <c r="T205" s="1272" t="n"/>
      <c r="U205" s="1272" t="n"/>
      <c r="V205" s="1322" t="n"/>
      <c r="W205" s="1272" t="n"/>
      <c r="X205" s="1272" t="n"/>
      <c r="Y205" s="1272" t="n"/>
      <c r="Z205" s="1322" t="n"/>
      <c r="AA205" s="1272" t="n"/>
      <c r="AB205" s="1272" t="n"/>
      <c r="AC205" s="1272" t="n"/>
      <c r="AD205" s="1322" t="n"/>
      <c r="AE205" s="1272" t="n"/>
      <c r="AF205" s="1272" t="n"/>
      <c r="AG205" s="1272" t="n"/>
      <c r="AH205" s="1272" t="n"/>
      <c r="AI205" s="1272" t="n"/>
      <c r="AJ205" s="1272" t="n"/>
      <c r="AK205" s="1272" t="n"/>
      <c r="AL205" s="1272" t="n"/>
      <c r="AM205" s="1272" t="n"/>
      <c r="AN205" s="1272" t="n"/>
      <c r="AO205" s="1272" t="n"/>
      <c r="AP205" s="1272" t="n"/>
      <c r="AQ205" s="1277" t="n"/>
    </row>
    <row r="206" ht="8" customHeight="1" s="1676">
      <c r="A206" s="1284" t="n"/>
      <c r="B206" s="1335" t="n"/>
      <c r="C206" s="1272" t="n"/>
      <c r="D206" s="2339" t="n"/>
      <c r="E206" s="2339" t="n"/>
      <c r="F206" s="2340" t="n"/>
      <c r="G206" s="1272" t="n"/>
      <c r="H206" s="2339" t="n"/>
      <c r="I206" s="2339" t="n"/>
      <c r="J206" s="2340" t="n"/>
      <c r="K206" s="1272" t="n"/>
      <c r="L206" s="2339" t="n"/>
      <c r="M206" s="2339" t="n"/>
      <c r="N206" s="2340" t="n"/>
      <c r="O206" s="1272" t="n"/>
      <c r="P206" s="2339" t="n"/>
      <c r="Q206" s="1288" t="n"/>
      <c r="R206" s="2340" t="n"/>
      <c r="S206" s="1272" t="n"/>
      <c r="T206" s="2340" t="n"/>
      <c r="U206" s="1291" t="n"/>
      <c r="V206" s="2340" t="n"/>
      <c r="W206" s="1272" t="n"/>
      <c r="X206" s="2340" t="n"/>
      <c r="Y206" s="1291" t="n"/>
      <c r="Z206" s="2340" t="n"/>
      <c r="AA206" s="1272" t="n"/>
      <c r="AB206" s="2340" t="n"/>
      <c r="AC206" s="1291" t="n"/>
      <c r="AD206" s="2340" t="n"/>
      <c r="AE206" s="1272" t="n"/>
      <c r="AF206" s="2340" t="n"/>
      <c r="AG206" s="1291" t="n"/>
      <c r="AH206" s="1272" t="n"/>
      <c r="AI206" s="1272" t="n"/>
      <c r="AJ206" s="1272" t="n"/>
      <c r="AK206" s="1272" t="n"/>
      <c r="AL206" s="1272" t="n"/>
      <c r="AM206" s="1272" t="n"/>
      <c r="AN206" s="1272" t="n"/>
      <c r="AO206" s="1272" t="n"/>
      <c r="AP206" s="1272" t="n"/>
      <c r="AQ206" s="1277" t="n"/>
    </row>
    <row r="207" ht="13.55" customHeight="1" s="1676">
      <c r="A207" s="1304" t="n"/>
      <c r="B207" s="1327" t="inlineStr">
        <is>
          <t>Text_132</t>
        </is>
      </c>
      <c r="C207" s="1272" t="n"/>
      <c r="D207" s="2341" t="n"/>
      <c r="E207" s="1293" t="n"/>
      <c r="F207" s="1293" t="n"/>
      <c r="G207" s="1272" t="n"/>
      <c r="H207" s="2341" t="n"/>
      <c r="I207" s="1293" t="n"/>
      <c r="J207" s="1293" t="n"/>
      <c r="K207" s="1272" t="n"/>
      <c r="L207" s="2341" t="n">
        <v>32.4652117069152</v>
      </c>
      <c r="M207" s="1293">
        <f t="array" ref="M207">L207/$L$210</f>
        <v/>
      </c>
      <c r="N207" s="1293" t="n"/>
      <c r="O207" s="1272" t="n"/>
      <c r="P207" s="2341" t="n">
        <v>77.5953540808144</v>
      </c>
      <c r="Q207" s="1293">
        <f t="array" ref="Q207">P207/$P$210</f>
        <v/>
      </c>
      <c r="R207" s="1293" t="n"/>
      <c r="S207" s="1272" t="n"/>
      <c r="T207" s="1272" t="n"/>
      <c r="U207" s="1272" t="n"/>
      <c r="V207" s="1275" t="n"/>
      <c r="W207" s="1272" t="n"/>
      <c r="X207" s="1272" t="n"/>
      <c r="Y207" s="1272" t="n"/>
      <c r="Z207" s="1275" t="n"/>
      <c r="AA207" s="1272" t="n"/>
      <c r="AB207" s="1272" t="n"/>
      <c r="AC207" s="1272" t="n"/>
      <c r="AD207" s="1275" t="n"/>
      <c r="AE207" s="1272" t="n"/>
      <c r="AF207" s="1272" t="n"/>
      <c r="AG207" s="1272" t="n"/>
      <c r="AH207" s="1272" t="n"/>
      <c r="AI207" s="1272" t="n"/>
      <c r="AJ207" s="1272" t="n"/>
      <c r="AK207" s="1272" t="n"/>
      <c r="AL207" s="1272" t="n"/>
      <c r="AM207" s="1272" t="n"/>
      <c r="AN207" s="1272" t="n"/>
      <c r="AO207" s="1272" t="n"/>
      <c r="AP207" s="1272" t="n"/>
      <c r="AQ207" s="1277" t="n"/>
    </row>
    <row r="208" ht="13.55" customHeight="1" s="1676">
      <c r="A208" s="1304" t="n"/>
      <c r="B208" s="1296" t="inlineStr">
        <is>
          <t>Text_668</t>
        </is>
      </c>
      <c r="C208" s="1272" t="n"/>
      <c r="D208" s="2342" t="n"/>
      <c r="E208" s="1298" t="n"/>
      <c r="F208" s="1298" t="n"/>
      <c r="G208" s="1272" t="n"/>
      <c r="H208" s="2342" t="n"/>
      <c r="I208" s="1298" t="n"/>
      <c r="J208" s="1298" t="n"/>
      <c r="K208" s="1272" t="n"/>
      <c r="L208" s="2342" t="n">
        <v>18.5015434480888</v>
      </c>
      <c r="M208" s="1298">
        <f t="array" ref="M208">L208/$L$210</f>
        <v/>
      </c>
      <c r="N208" s="1298" t="n"/>
      <c r="O208" s="2340" t="n"/>
      <c r="P208" s="2342" t="n">
        <v>11.0504906160808</v>
      </c>
      <c r="Q208" s="1298">
        <f t="array" ref="Q208">P208/$P$210</f>
        <v/>
      </c>
      <c r="R208" s="1298" t="n"/>
      <c r="S208" s="1272" t="n"/>
      <c r="T208" s="1272" t="n"/>
      <c r="U208" s="1272" t="n"/>
      <c r="V208" s="1298" t="n"/>
      <c r="W208" s="1272" t="n"/>
      <c r="X208" s="1272" t="n"/>
      <c r="Y208" s="1272" t="n"/>
      <c r="Z208" s="1298" t="n"/>
      <c r="AA208" s="1272" t="n"/>
      <c r="AB208" s="1272" t="n"/>
      <c r="AC208" s="1272" t="n"/>
      <c r="AD208" s="1298" t="n"/>
      <c r="AE208" s="1272" t="n"/>
      <c r="AF208" s="1272" t="n"/>
      <c r="AG208" s="1272" t="n"/>
      <c r="AH208" s="1272" t="n"/>
      <c r="AI208" s="1272" t="n"/>
      <c r="AJ208" s="1272" t="n"/>
      <c r="AK208" s="1272" t="n"/>
      <c r="AL208" s="1272" t="n"/>
      <c r="AM208" s="1272" t="n"/>
      <c r="AN208" s="1272" t="n"/>
      <c r="AO208" s="1272" t="n"/>
      <c r="AP208" s="1272" t="n"/>
      <c r="AQ208" s="1277" t="n"/>
    </row>
    <row r="209" ht="8" customHeight="1" s="1676">
      <c r="A209" s="1284" t="n"/>
      <c r="B209" s="1341" t="n"/>
      <c r="C209" s="1272" t="n"/>
      <c r="D209" s="2343" t="n"/>
      <c r="E209" s="2340" t="n"/>
      <c r="F209" s="2340" t="n"/>
      <c r="G209" s="1272" t="n"/>
      <c r="H209" s="2343" t="n"/>
      <c r="I209" s="2340" t="n"/>
      <c r="J209" s="2340" t="n"/>
      <c r="K209" s="1272" t="n"/>
      <c r="L209" s="2343" t="n"/>
      <c r="M209" s="2340" t="n"/>
      <c r="N209" s="2340" t="n"/>
      <c r="O209" s="1272" t="n"/>
      <c r="P209" s="2343" t="n"/>
      <c r="Q209" s="1303" t="n"/>
      <c r="R209" s="2340" t="n"/>
      <c r="S209" s="1272" t="n"/>
      <c r="T209" s="2340" t="n"/>
      <c r="U209" s="1291" t="n"/>
      <c r="V209" s="2340" t="n"/>
      <c r="W209" s="1272" t="n"/>
      <c r="X209" s="2340" t="n"/>
      <c r="Y209" s="1291" t="n"/>
      <c r="Z209" s="2340" t="n"/>
      <c r="AA209" s="1272" t="n"/>
      <c r="AB209" s="2340" t="n"/>
      <c r="AC209" s="1291" t="n"/>
      <c r="AD209" s="2340" t="n"/>
      <c r="AE209" s="1272" t="n"/>
      <c r="AF209" s="2340" t="n"/>
      <c r="AG209" s="1291" t="n"/>
      <c r="AH209" s="1272" t="n"/>
      <c r="AI209" s="1272" t="n"/>
      <c r="AJ209" s="1272" t="n"/>
      <c r="AK209" s="1272" t="n"/>
      <c r="AL209" s="1272" t="n"/>
      <c r="AM209" s="1272" t="n"/>
      <c r="AN209" s="1272" t="n"/>
      <c r="AO209" s="1272" t="n"/>
      <c r="AP209" s="1272" t="n"/>
      <c r="AQ209" s="1277" t="n"/>
    </row>
    <row r="210" ht="15.75" customHeight="1" s="1676">
      <c r="A210" s="1304" t="n"/>
      <c r="B210" s="1305" t="inlineStr">
        <is>
          <t>Text_658</t>
        </is>
      </c>
      <c r="C210" s="1272" t="n"/>
      <c r="D210" s="2344" t="n"/>
      <c r="E210" s="1272" t="n"/>
      <c r="F210" s="1272" t="n"/>
      <c r="G210" s="1272" t="n"/>
      <c r="H210" s="2344" t="n"/>
      <c r="I210" s="1272" t="n"/>
      <c r="J210" s="1272" t="n"/>
      <c r="K210" s="1272" t="n"/>
      <c r="L210" s="2344" t="n">
        <v>53.5626200112119</v>
      </c>
      <c r="M210" s="1272" t="n"/>
      <c r="N210" s="1272" t="n"/>
      <c r="O210" s="1272" t="n"/>
      <c r="P210" s="2344" t="n">
        <v>91.77348564169699</v>
      </c>
      <c r="Q210" s="1272" t="n"/>
      <c r="R210" s="1272" t="n"/>
      <c r="S210" s="1272" t="n"/>
      <c r="T210" s="1272" t="n"/>
      <c r="U210" s="1272" t="n"/>
      <c r="V210" s="1272" t="n"/>
      <c r="W210" s="1272" t="n"/>
      <c r="X210" s="1272" t="n"/>
      <c r="Y210" s="1272" t="n"/>
      <c r="Z210" s="1272" t="n"/>
      <c r="AA210" s="1272" t="n"/>
      <c r="AB210" s="1272" t="n"/>
      <c r="AC210" s="1272" t="n"/>
      <c r="AD210" s="1272" t="n"/>
      <c r="AE210" s="1272" t="n"/>
      <c r="AF210" s="1272" t="n"/>
      <c r="AG210" s="1272" t="n"/>
      <c r="AH210" s="1272" t="n"/>
      <c r="AI210" s="1272" t="n"/>
      <c r="AJ210" s="1272" t="n"/>
      <c r="AK210" s="1272" t="n"/>
      <c r="AL210" s="1272" t="n"/>
      <c r="AM210" s="1272" t="n"/>
      <c r="AN210" s="1272" t="n"/>
      <c r="AO210" s="1272" t="n"/>
      <c r="AP210" s="1272" t="n"/>
      <c r="AQ210" s="1277" t="n"/>
    </row>
    <row r="211" ht="14.05" customHeight="1" s="1676">
      <c r="A211" s="1304" t="n"/>
      <c r="B211" s="1342" t="inlineStr">
        <is>
          <t>Text_15</t>
        </is>
      </c>
      <c r="C211" s="1272" t="n"/>
      <c r="D211" s="1289" t="n"/>
      <c r="E211" s="1272" t="n"/>
      <c r="F211" s="1272" t="n"/>
      <c r="G211" s="1272" t="n"/>
      <c r="H211" s="1289" t="n"/>
      <c r="I211" s="1272" t="n"/>
      <c r="J211" s="1272" t="n"/>
      <c r="K211" s="1272" t="n"/>
      <c r="L211" s="1289">
        <f t="array" ref="L211">L210/P210-1</f>
        <v/>
      </c>
      <c r="M211" s="1272" t="n"/>
      <c r="N211" s="1272" t="n"/>
      <c r="O211" s="1272" t="n"/>
      <c r="P211" s="1285" t="n"/>
      <c r="Q211" s="1272" t="n"/>
      <c r="R211" s="1272" t="n"/>
      <c r="S211" s="1272" t="n"/>
      <c r="T211" s="1272" t="n"/>
      <c r="U211" s="1272" t="n"/>
      <c r="V211" s="1272" t="n"/>
      <c r="W211" s="1272" t="n"/>
      <c r="X211" s="1272" t="n"/>
      <c r="Y211" s="1272" t="n"/>
      <c r="Z211" s="1272" t="n"/>
      <c r="AA211" s="1272" t="n"/>
      <c r="AB211" s="1272" t="n"/>
      <c r="AC211" s="1272" t="n"/>
      <c r="AD211" s="1272" t="n"/>
      <c r="AE211" s="1272" t="n"/>
      <c r="AF211" s="1272" t="n"/>
      <c r="AG211" s="1272" t="n"/>
      <c r="AH211" s="1272" t="n"/>
      <c r="AI211" s="1272" t="n"/>
      <c r="AJ211" s="1272" t="n"/>
      <c r="AK211" s="1272" t="n"/>
      <c r="AL211" s="1272" t="n"/>
      <c r="AM211" s="1272" t="n"/>
      <c r="AN211" s="1272" t="n"/>
      <c r="AO211" s="1272" t="n"/>
      <c r="AP211" s="1272" t="n"/>
      <c r="AQ211" s="1277" t="n"/>
    </row>
    <row r="212" ht="13.55" customHeight="1" s="1676">
      <c r="A212" s="1304" t="n"/>
      <c r="B212" s="1272" t="n"/>
      <c r="C212" s="1272" t="n"/>
      <c r="D212" s="1272" t="n"/>
      <c r="E212" s="1272" t="n"/>
      <c r="F212" s="1272" t="n"/>
      <c r="G212" s="1272" t="n"/>
      <c r="H212" s="1272" t="n"/>
      <c r="I212" s="1272" t="n"/>
      <c r="J212" s="1272" t="n"/>
      <c r="K212" s="1272" t="n"/>
      <c r="L212" s="1272" t="n"/>
      <c r="M212" s="1272" t="n"/>
      <c r="N212" s="1272" t="n"/>
      <c r="O212" s="1272" t="n"/>
      <c r="P212" s="1272" t="n"/>
      <c r="Q212" s="1272" t="n"/>
      <c r="R212" s="1272" t="n"/>
      <c r="S212" s="1272" t="n"/>
      <c r="T212" s="1272" t="n"/>
      <c r="U212" s="1272" t="n"/>
      <c r="V212" s="1272" t="n"/>
      <c r="W212" s="1272" t="n"/>
      <c r="X212" s="1272" t="n"/>
      <c r="Y212" s="1272" t="n"/>
      <c r="Z212" s="1272" t="n"/>
      <c r="AA212" s="1272" t="n"/>
      <c r="AB212" s="1272" t="n"/>
      <c r="AC212" s="1272" t="n"/>
      <c r="AD212" s="1272" t="n"/>
      <c r="AE212" s="1272" t="n"/>
      <c r="AF212" s="1272" t="n"/>
      <c r="AG212" s="1272" t="n"/>
      <c r="AH212" s="1272" t="n"/>
      <c r="AI212" s="1272" t="n"/>
      <c r="AJ212" s="1272" t="n"/>
      <c r="AK212" s="1272" t="n"/>
      <c r="AL212" s="1272" t="n"/>
      <c r="AM212" s="1272" t="n"/>
      <c r="AN212" s="1272" t="n"/>
      <c r="AO212" s="1272" t="n"/>
      <c r="AP212" s="1272" t="n"/>
      <c r="AQ212" s="1277" t="n"/>
    </row>
    <row r="213" ht="13.55" customHeight="1" s="1676">
      <c r="A213" s="1304" t="n"/>
      <c r="B213" s="1272" t="n"/>
      <c r="C213" s="1272" t="n"/>
      <c r="D213" s="1272" t="n"/>
      <c r="E213" s="1272" t="n"/>
      <c r="F213" s="1272" t="n"/>
      <c r="G213" s="1272" t="n"/>
      <c r="H213" s="1272" t="n"/>
      <c r="I213" s="1272" t="n"/>
      <c r="J213" s="1272" t="n"/>
      <c r="K213" s="1272" t="n"/>
      <c r="L213" s="1272" t="n"/>
      <c r="M213" s="1272" t="n"/>
      <c r="N213" s="1272" t="n"/>
      <c r="O213" s="1272" t="n"/>
      <c r="P213" s="1272" t="n"/>
      <c r="Q213" s="1272" t="n"/>
      <c r="R213" s="1272" t="n"/>
      <c r="S213" s="1272" t="n"/>
      <c r="T213" s="1272" t="n"/>
      <c r="U213" s="1272" t="n"/>
      <c r="V213" s="1272" t="n"/>
      <c r="W213" s="1272" t="n"/>
      <c r="X213" s="1272" t="n"/>
      <c r="Y213" s="1272" t="n"/>
      <c r="Z213" s="1272" t="n"/>
      <c r="AA213" s="1272" t="n"/>
      <c r="AB213" s="1272" t="n"/>
      <c r="AC213" s="1272" t="n"/>
      <c r="AD213" s="1272" t="n"/>
      <c r="AE213" s="1272" t="n"/>
      <c r="AF213" s="1272" t="n"/>
      <c r="AG213" s="1272" t="n"/>
      <c r="AH213" s="1272" t="n"/>
      <c r="AI213" s="1272" t="n"/>
      <c r="AJ213" s="1272" t="n"/>
      <c r="AK213" s="1272" t="n"/>
      <c r="AL213" s="1272" t="n"/>
      <c r="AM213" s="1272" t="n"/>
      <c r="AN213" s="1272" t="n"/>
      <c r="AO213" s="1272" t="n"/>
      <c r="AP213" s="1272" t="n"/>
      <c r="AQ213" s="1277" t="n"/>
    </row>
    <row r="214" ht="13.55" customHeight="1" s="1676">
      <c r="A214" s="1304" t="n"/>
      <c r="B214" s="1348" t="inlineStr">
        <is>
          <t>Text_685</t>
        </is>
      </c>
      <c r="C214" s="1272" t="n"/>
      <c r="D214" s="1318" t="n"/>
      <c r="E214" s="1275" t="n"/>
      <c r="F214" s="1275" t="n"/>
      <c r="G214" s="1272" t="n"/>
      <c r="H214" s="1318" t="n"/>
      <c r="I214" s="1275" t="n"/>
      <c r="J214" s="1275" t="n"/>
      <c r="K214" s="1272" t="n"/>
      <c r="L214" s="1273" t="inlineStr">
        <is>
          <t>Text_618</t>
        </is>
      </c>
      <c r="M214" s="1274" t="inlineStr">
        <is>
          <t>Text_643</t>
        </is>
      </c>
      <c r="N214" s="1275" t="n"/>
      <c r="O214" s="1272" t="n"/>
      <c r="P214" s="1273" t="inlineStr">
        <is>
          <t>Text_618</t>
        </is>
      </c>
      <c r="Q214" s="1274" t="inlineStr">
        <is>
          <t>Text_643</t>
        </is>
      </c>
      <c r="R214" s="1275" t="n"/>
      <c r="S214" s="1272" t="n"/>
      <c r="T214" s="1272" t="n"/>
      <c r="U214" s="1272" t="n"/>
      <c r="V214" s="1275" t="n"/>
      <c r="W214" s="1272" t="n"/>
      <c r="X214" s="1272" t="n"/>
      <c r="Y214" s="1272" t="n"/>
      <c r="Z214" s="1275" t="n"/>
      <c r="AA214" s="1272" t="n"/>
      <c r="AB214" s="1272" t="n"/>
      <c r="AC214" s="1272" t="n"/>
      <c r="AD214" s="1275" t="n"/>
      <c r="AE214" s="1272" t="n"/>
      <c r="AF214" s="1272" t="n"/>
      <c r="AG214" s="1272" t="n"/>
      <c r="AH214" s="1272" t="n"/>
      <c r="AI214" s="1272" t="n"/>
      <c r="AJ214" s="1272" t="n"/>
      <c r="AK214" s="1272" t="n"/>
      <c r="AL214" s="1272" t="n"/>
      <c r="AM214" s="1272" t="n"/>
      <c r="AN214" s="1272" t="n"/>
      <c r="AO214" s="1272" t="n"/>
      <c r="AP214" s="1272" t="n"/>
      <c r="AQ214" s="1277" t="n"/>
    </row>
    <row r="215" ht="15.75" customHeight="1" s="1676">
      <c r="A215" s="1304" t="n"/>
      <c r="B215" s="1334" t="inlineStr">
        <is>
          <t>Text_645</t>
        </is>
      </c>
      <c r="C215" s="1272" t="n"/>
      <c r="D215" s="1347" t="n"/>
      <c r="E215" s="1282" t="n"/>
      <c r="F215" s="1322" t="n"/>
      <c r="G215" s="1272" t="n"/>
      <c r="H215" s="1347" t="n"/>
      <c r="I215" s="1282" t="n"/>
      <c r="J215" s="1322" t="n"/>
      <c r="K215" s="1272" t="n"/>
      <c r="L215" s="1347" t="n">
        <v>1897.27358944742</v>
      </c>
      <c r="M215" s="1282" t="n">
        <v>2120.32677910321</v>
      </c>
      <c r="N215" s="1322" t="n"/>
      <c r="O215" s="1272" t="n"/>
      <c r="P215" s="1347" t="n">
        <v>2301.97345052002</v>
      </c>
      <c r="Q215" s="1282">
        <f t="array" ref="Q215">P215</f>
        <v/>
      </c>
      <c r="R215" s="1322" t="n"/>
      <c r="S215" s="1272" t="n"/>
      <c r="T215" s="1272" t="n"/>
      <c r="U215" s="1272" t="n"/>
      <c r="V215" s="1322" t="n"/>
      <c r="W215" s="1272" t="n"/>
      <c r="X215" s="1272" t="n"/>
      <c r="Y215" s="1272" t="n"/>
      <c r="Z215" s="1322" t="n"/>
      <c r="AA215" s="1272" t="n"/>
      <c r="AB215" s="1272" t="n"/>
      <c r="AC215" s="1272" t="n"/>
      <c r="AD215" s="1322" t="n"/>
      <c r="AE215" s="1272" t="n"/>
      <c r="AF215" s="1272" t="n"/>
      <c r="AG215" s="1272" t="n"/>
      <c r="AH215" s="1272" t="n"/>
      <c r="AI215" s="1272" t="n"/>
      <c r="AJ215" s="1272" t="n"/>
      <c r="AK215" s="1272" t="n"/>
      <c r="AL215" s="1272" t="n"/>
      <c r="AM215" s="1272" t="n"/>
      <c r="AN215" s="1272" t="n"/>
      <c r="AO215" s="1272" t="n"/>
      <c r="AP215" s="1272" t="n"/>
      <c r="AQ215" s="1277" t="n"/>
    </row>
    <row r="216" ht="8" customHeight="1" s="1676">
      <c r="A216" s="1284" t="n"/>
      <c r="B216" s="1335" t="n"/>
      <c r="C216" s="1272" t="n"/>
      <c r="D216" s="2339" t="n"/>
      <c r="E216" s="2339" t="n"/>
      <c r="F216" s="2340" t="n"/>
      <c r="G216" s="1272" t="n"/>
      <c r="H216" s="2339" t="n"/>
      <c r="I216" s="2339" t="n"/>
      <c r="J216" s="2340" t="n"/>
      <c r="K216" s="1272" t="n"/>
      <c r="L216" s="2339" t="n"/>
      <c r="M216" s="2339" t="n"/>
      <c r="N216" s="2340" t="n"/>
      <c r="O216" s="1272" t="n"/>
      <c r="P216" s="2339" t="n"/>
      <c r="Q216" s="1288" t="n"/>
      <c r="R216" s="2340" t="n"/>
      <c r="S216" s="1272" t="n"/>
      <c r="T216" s="2340" t="n"/>
      <c r="U216" s="1291" t="n"/>
      <c r="V216" s="2340" t="n"/>
      <c r="W216" s="1272" t="n"/>
      <c r="X216" s="2340" t="n"/>
      <c r="Y216" s="1291" t="n"/>
      <c r="Z216" s="2340" t="n"/>
      <c r="AA216" s="1272" t="n"/>
      <c r="AB216" s="2340" t="n"/>
      <c r="AC216" s="1291" t="n"/>
      <c r="AD216" s="2340" t="n"/>
      <c r="AE216" s="1272" t="n"/>
      <c r="AF216" s="2340" t="n"/>
      <c r="AG216" s="1291" t="n"/>
      <c r="AH216" s="1272" t="n"/>
      <c r="AI216" s="1272" t="n"/>
      <c r="AJ216" s="1272" t="n"/>
      <c r="AK216" s="1272" t="n"/>
      <c r="AL216" s="1272" t="n"/>
      <c r="AM216" s="1272" t="n"/>
      <c r="AN216" s="1272" t="n"/>
      <c r="AO216" s="1272" t="n"/>
      <c r="AP216" s="1272" t="n"/>
      <c r="AQ216" s="1277" t="n"/>
    </row>
    <row r="217" ht="13.55" customHeight="1" s="1676">
      <c r="A217" s="1304" t="n"/>
      <c r="B217" s="1296" t="inlineStr">
        <is>
          <t>Text_655</t>
        </is>
      </c>
      <c r="C217" s="1272" t="n"/>
      <c r="D217" s="2342" t="n"/>
      <c r="E217" s="1298" t="n"/>
      <c r="F217" s="1298" t="n"/>
      <c r="G217" s="1272" t="n"/>
      <c r="H217" s="2342" t="n"/>
      <c r="I217" s="1298" t="n"/>
      <c r="J217" s="1298" t="n"/>
      <c r="K217" s="1272" t="n"/>
      <c r="L217" s="2342" t="n">
        <v>76.96705978082839</v>
      </c>
      <c r="M217" s="1298">
        <f t="array" ref="M217">L217/$L$220</f>
        <v/>
      </c>
      <c r="N217" s="1298" t="n"/>
      <c r="O217" s="2340" t="n"/>
      <c r="P217" s="2342" t="n">
        <v>103.129791145805</v>
      </c>
      <c r="Q217" s="1298">
        <f t="array" ref="Q217">P217/$P$220</f>
        <v/>
      </c>
      <c r="R217" s="1298" t="n"/>
      <c r="S217" s="1272" t="n"/>
      <c r="T217" s="1272" t="n"/>
      <c r="U217" s="1272" t="n"/>
      <c r="V217" s="1298" t="n"/>
      <c r="W217" s="1272" t="n"/>
      <c r="X217" s="1272" t="n"/>
      <c r="Y217" s="1272" t="n"/>
      <c r="Z217" s="1298" t="n"/>
      <c r="AA217" s="1272" t="n"/>
      <c r="AB217" s="1272" t="n"/>
      <c r="AC217" s="1272" t="n"/>
      <c r="AD217" s="1298" t="n"/>
      <c r="AE217" s="1272" t="n"/>
      <c r="AF217" s="1272" t="n"/>
      <c r="AG217" s="1272" t="n"/>
      <c r="AH217" s="1272" t="n"/>
      <c r="AI217" s="1272" t="n"/>
      <c r="AJ217" s="1272" t="n"/>
      <c r="AK217" s="1272" t="n"/>
      <c r="AL217" s="1272" t="n"/>
      <c r="AM217" s="1272" t="n"/>
      <c r="AN217" s="1272" t="n"/>
      <c r="AO217" s="1272" t="n"/>
      <c r="AP217" s="1272" t="n"/>
      <c r="AQ217" s="1277" t="n"/>
    </row>
    <row r="218" ht="13.55" customHeight="1" s="1676">
      <c r="A218" s="1304" t="n"/>
      <c r="B218" s="1327" t="inlineStr">
        <is>
          <t>Text_132</t>
        </is>
      </c>
      <c r="C218" s="1272" t="n"/>
      <c r="D218" s="2341" t="n"/>
      <c r="E218" s="1293" t="n"/>
      <c r="F218" s="1293" t="n"/>
      <c r="G218" s="1272" t="n"/>
      <c r="H218" s="2341" t="n"/>
      <c r="I218" s="1293" t="n"/>
      <c r="J218" s="1293" t="n"/>
      <c r="K218" s="1272" t="n"/>
      <c r="L218" s="2341" t="n">
        <v>56.2685398216349</v>
      </c>
      <c r="M218" s="1293">
        <f t="array" ref="M218">L218/$L$220</f>
        <v/>
      </c>
      <c r="N218" s="1293" t="n"/>
      <c r="O218" s="1272" t="n"/>
      <c r="P218" s="2341" t="n">
        <v>61.1505522016012</v>
      </c>
      <c r="Q218" s="1293">
        <f t="array" ref="Q218">P218/$P$220</f>
        <v/>
      </c>
      <c r="R218" s="1293" t="n"/>
      <c r="S218" s="1272" t="n"/>
      <c r="T218" s="1272" t="n"/>
      <c r="U218" s="1272" t="n"/>
      <c r="V218" s="1275" t="n"/>
      <c r="W218" s="1272" t="n"/>
      <c r="X218" s="1272" t="n"/>
      <c r="Y218" s="1272" t="n"/>
      <c r="Z218" s="1275" t="n"/>
      <c r="AA218" s="1272" t="n"/>
      <c r="AB218" s="1272" t="n"/>
      <c r="AC218" s="1272" t="n"/>
      <c r="AD218" s="1275" t="n"/>
      <c r="AE218" s="1272" t="n"/>
      <c r="AF218" s="1272" t="n"/>
      <c r="AG218" s="1272" t="n"/>
      <c r="AH218" s="1272" t="n"/>
      <c r="AI218" s="1272" t="n"/>
      <c r="AJ218" s="1272" t="n"/>
      <c r="AK218" s="1272" t="n"/>
      <c r="AL218" s="1272" t="n"/>
      <c r="AM218" s="1272" t="n"/>
      <c r="AN218" s="1272" t="n"/>
      <c r="AO218" s="1272" t="n"/>
      <c r="AP218" s="1272" t="n"/>
      <c r="AQ218" s="1277" t="n"/>
    </row>
    <row r="219" ht="8" customHeight="1" s="1676">
      <c r="A219" s="1284" t="n"/>
      <c r="B219" s="1341" t="n"/>
      <c r="C219" s="1272" t="n"/>
      <c r="D219" s="2343" t="n"/>
      <c r="E219" s="2340" t="n"/>
      <c r="F219" s="2340" t="n"/>
      <c r="G219" s="1272" t="n"/>
      <c r="H219" s="2343" t="n"/>
      <c r="I219" s="2340" t="n"/>
      <c r="J219" s="2340" t="n"/>
      <c r="K219" s="1272" t="n"/>
      <c r="L219" s="2343" t="n"/>
      <c r="M219" s="2340" t="n"/>
      <c r="N219" s="2340" t="n"/>
      <c r="O219" s="1272" t="n"/>
      <c r="P219" s="2343" t="n"/>
      <c r="Q219" s="1303" t="n"/>
      <c r="R219" s="2340" t="n"/>
      <c r="S219" s="1272" t="n"/>
      <c r="T219" s="2340" t="n"/>
      <c r="U219" s="1291" t="n"/>
      <c r="V219" s="2340" t="n"/>
      <c r="W219" s="1272" t="n"/>
      <c r="X219" s="2340" t="n"/>
      <c r="Y219" s="1291" t="n"/>
      <c r="Z219" s="2340" t="n"/>
      <c r="AA219" s="1272" t="n"/>
      <c r="AB219" s="2340" t="n"/>
      <c r="AC219" s="1291" t="n"/>
      <c r="AD219" s="2340" t="n"/>
      <c r="AE219" s="1272" t="n"/>
      <c r="AF219" s="2340" t="n"/>
      <c r="AG219" s="1291" t="n"/>
      <c r="AH219" s="1272" t="n"/>
      <c r="AI219" s="1272" t="n"/>
      <c r="AJ219" s="1272" t="n"/>
      <c r="AK219" s="1272" t="n"/>
      <c r="AL219" s="1272" t="n"/>
      <c r="AM219" s="1272" t="n"/>
      <c r="AN219" s="1272" t="n"/>
      <c r="AO219" s="1272" t="n"/>
      <c r="AP219" s="1272" t="n"/>
      <c r="AQ219" s="1277" t="n"/>
    </row>
    <row r="220" ht="15.75" customHeight="1" s="1676">
      <c r="A220" s="1304" t="n"/>
      <c r="B220" s="1305" t="inlineStr">
        <is>
          <t>Text_658</t>
        </is>
      </c>
      <c r="C220" s="1272" t="n"/>
      <c r="D220" s="2344" t="n"/>
      <c r="E220" s="1272" t="n"/>
      <c r="F220" s="1272" t="n"/>
      <c r="G220" s="1272" t="n"/>
      <c r="H220" s="2344" t="n"/>
      <c r="I220" s="1272" t="n"/>
      <c r="J220" s="1272" t="n"/>
      <c r="K220" s="1272" t="n"/>
      <c r="L220" s="2344" t="n">
        <v>144.012032720975</v>
      </c>
      <c r="M220" s="1272" t="n"/>
      <c r="N220" s="1272" t="n"/>
      <c r="O220" s="1272" t="n"/>
      <c r="P220" s="2344" t="n">
        <v>132.625615784962</v>
      </c>
      <c r="Q220" s="1272" t="n"/>
      <c r="R220" s="1272" t="n"/>
      <c r="S220" s="1272" t="n"/>
      <c r="T220" s="1272" t="n"/>
      <c r="U220" s="1272" t="n"/>
      <c r="V220" s="1272" t="n"/>
      <c r="W220" s="1272" t="n"/>
      <c r="X220" s="1272" t="n"/>
      <c r="Y220" s="1272" t="n"/>
      <c r="Z220" s="1272" t="n"/>
      <c r="AA220" s="1272" t="n"/>
      <c r="AB220" s="1272" t="n"/>
      <c r="AC220" s="1272" t="n"/>
      <c r="AD220" s="1272" t="n"/>
      <c r="AE220" s="1272" t="n"/>
      <c r="AF220" s="1272" t="n"/>
      <c r="AG220" s="1272" t="n"/>
      <c r="AH220" s="1272" t="n"/>
      <c r="AI220" s="1272" t="n"/>
      <c r="AJ220" s="1272" t="n"/>
      <c r="AK220" s="1272" t="n"/>
      <c r="AL220" s="1272" t="n"/>
      <c r="AM220" s="1272" t="n"/>
      <c r="AN220" s="1272" t="n"/>
      <c r="AO220" s="1272" t="n"/>
      <c r="AP220" s="1272" t="n"/>
      <c r="AQ220" s="1277" t="n"/>
    </row>
    <row r="221" ht="14.05" customHeight="1" s="1676">
      <c r="A221" s="1349" t="n"/>
      <c r="B221" s="1350" t="inlineStr">
        <is>
          <t>Text_15</t>
        </is>
      </c>
      <c r="C221" s="1351" t="n"/>
      <c r="D221" s="1352" t="n"/>
      <c r="E221" s="1351" t="n"/>
      <c r="F221" s="1351" t="n"/>
      <c r="G221" s="1351" t="n"/>
      <c r="H221" s="1352" t="n"/>
      <c r="I221" s="1351" t="n"/>
      <c r="J221" s="1351" t="n"/>
      <c r="K221" s="1351" t="n"/>
      <c r="L221" s="1352">
        <f t="array" ref="L221">L220/P220-1</f>
        <v/>
      </c>
      <c r="M221" s="1351" t="n"/>
      <c r="N221" s="1351" t="n"/>
      <c r="O221" s="1351" t="n"/>
      <c r="P221" s="1353" t="n"/>
      <c r="Q221" s="1351" t="n"/>
      <c r="R221" s="1351" t="n"/>
      <c r="S221" s="1351" t="n"/>
      <c r="T221" s="1351" t="n"/>
      <c r="U221" s="1351" t="n"/>
      <c r="V221" s="1351" t="n"/>
      <c r="W221" s="1351" t="n"/>
      <c r="X221" s="1351" t="n"/>
      <c r="Y221" s="1351" t="n"/>
      <c r="Z221" s="1351" t="n"/>
      <c r="AA221" s="1351" t="n"/>
      <c r="AB221" s="1351" t="n"/>
      <c r="AC221" s="1351" t="n"/>
      <c r="AD221" s="1351" t="n"/>
      <c r="AE221" s="1351" t="n"/>
      <c r="AF221" s="1351" t="n"/>
      <c r="AG221" s="1351" t="n"/>
      <c r="AH221" s="1351" t="n"/>
      <c r="AI221" s="1351" t="n"/>
      <c r="AJ221" s="1351" t="n"/>
      <c r="AK221" s="1351" t="n"/>
      <c r="AL221" s="1351" t="n"/>
      <c r="AM221" s="1351" t="n"/>
      <c r="AN221" s="1351" t="n"/>
      <c r="AO221" s="1351" t="n"/>
      <c r="AP221" s="1351" t="n"/>
      <c r="AQ221" s="1354" t="n"/>
    </row>
  </sheetData>
  <mergeCells count="2">
    <mergeCell ref="AJ2:AJ3"/>
    <mergeCell ref="AB23:AQ24"/>
  </mergeCells>
  <hyperlinks>
    <hyperlink xmlns:r="http://schemas.openxmlformats.org/officeDocument/2006/relationships" ref="AB183" location="" tooltip="" display="https://www.asml.com/en/technology/lithography-principles/measuring-accuracy" r:id="rId1"/>
  </hyperlink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8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2.35156" customWidth="1" style="1623" min="1" max="1"/>
    <col width="63.5" customWidth="1" style="1623" min="2" max="2"/>
    <col width="8.851559999999999" customWidth="1" style="1623" min="3" max="4"/>
    <col width="70.5" customWidth="1" style="1623" min="5" max="5"/>
    <col width="8.851559999999999" customWidth="1" style="1623" min="6" max="6"/>
    <col width="73.17189999999999" customWidth="1" style="1623" min="7" max="7"/>
    <col width="10.3516" customWidth="1" style="1623" min="8" max="8"/>
    <col width="8.851559999999999" customWidth="1" style="1623" min="9" max="10"/>
    <col width="8.851559999999999" customWidth="1" style="1623" min="11" max="16384"/>
  </cols>
  <sheetData>
    <row r="1" ht="8.25" customHeight="1" s="1676">
      <c r="A1" s="1267" t="n"/>
      <c r="B1" s="1356" t="n"/>
      <c r="C1" s="1356" t="n"/>
      <c r="D1" s="1356" t="n"/>
      <c r="E1" s="1356" t="n"/>
      <c r="F1" s="1268" t="n"/>
      <c r="G1" s="2353" t="inlineStr">
        <is>
          <t>Text_687</t>
        </is>
      </c>
      <c r="H1" s="1358" t="n"/>
      <c r="I1" s="1268" t="n"/>
      <c r="J1" s="1269" t="n"/>
    </row>
    <row r="2" ht="15" customHeight="1" s="1676">
      <c r="A2" s="1338" t="n"/>
      <c r="B2" s="1359" t="inlineStr">
        <is>
          <t>Text_688</t>
        </is>
      </c>
      <c r="C2" s="1360" t="inlineStr">
        <is>
          <t>Text_132</t>
        </is>
      </c>
      <c r="D2" s="1360" t="inlineStr">
        <is>
          <t>Text_689</t>
        </is>
      </c>
      <c r="E2" s="1361" t="n"/>
      <c r="F2" s="1362" t="n"/>
      <c r="G2" s="2201" t="n"/>
      <c r="H2" s="1363" t="inlineStr">
        <is>
          <t>Text_132</t>
        </is>
      </c>
      <c r="I2" s="1364" t="inlineStr">
        <is>
          <t>Text_67</t>
        </is>
      </c>
      <c r="J2" s="1365" t="inlineStr">
        <is>
          <t>Text_63</t>
        </is>
      </c>
    </row>
    <row r="3" ht="18.75" customHeight="1" s="1676">
      <c r="A3" s="1338" t="n"/>
      <c r="B3" s="1366" t="inlineStr">
        <is>
          <t>Text_690</t>
        </is>
      </c>
      <c r="C3" s="1367" t="n"/>
      <c r="D3" s="1367" t="n"/>
      <c r="E3" s="1368" t="n"/>
      <c r="F3" s="1369" t="n"/>
      <c r="G3" s="1370" t="inlineStr">
        <is>
          <t>Text_691</t>
        </is>
      </c>
      <c r="H3" s="1371" t="n">
        <v>7.55785556299879</v>
      </c>
      <c r="I3" s="1371" t="n">
        <v>7.80357977399965</v>
      </c>
      <c r="J3" s="1371" t="n">
        <v>9.719623753798389</v>
      </c>
    </row>
    <row r="4" ht="18.75" customHeight="1" s="1676">
      <c r="A4" s="1338" t="n"/>
      <c r="B4" s="1372" t="inlineStr">
        <is>
          <t>Text_692</t>
        </is>
      </c>
      <c r="C4" s="1373" t="n">
        <v>1.02021074541138</v>
      </c>
      <c r="D4" s="1373" t="n">
        <v>0.983135221873632</v>
      </c>
      <c r="E4" s="1374" t="inlineStr">
        <is>
          <t>Text_693</t>
        </is>
      </c>
      <c r="F4" s="1369" t="n"/>
      <c r="G4" s="1375" t="inlineStr">
        <is>
          <t>Text_694</t>
        </is>
      </c>
      <c r="H4" s="1376" t="inlineStr">
        <is>
          <t xml:space="preserve"> ✔</t>
        </is>
      </c>
      <c r="I4" s="1376" t="inlineStr">
        <is>
          <t xml:space="preserve"> ✔</t>
        </is>
      </c>
      <c r="J4" s="1376" t="inlineStr">
        <is>
          <t xml:space="preserve"> ✔</t>
        </is>
      </c>
    </row>
    <row r="5" ht="18.75" customHeight="1" s="1676">
      <c r="A5" s="1338" t="n"/>
      <c r="B5" s="1372" t="inlineStr">
        <is>
          <t>Text_695</t>
        </is>
      </c>
      <c r="C5" s="1373" t="n">
        <v>1.01756629022071</v>
      </c>
      <c r="D5" s="1373" t="n">
        <v>0.989593722619595</v>
      </c>
      <c r="E5" s="1374" t="inlineStr">
        <is>
          <t>Text_696</t>
        </is>
      </c>
      <c r="F5" s="1369" t="n"/>
      <c r="G5" s="1377" t="inlineStr">
        <is>
          <t>Text_695</t>
        </is>
      </c>
      <c r="H5" s="1378" t="inlineStr">
        <is>
          <t xml:space="preserve"> ✔</t>
        </is>
      </c>
      <c r="I5" s="1378" t="inlineStr">
        <is>
          <t xml:space="preserve"> ✔</t>
        </is>
      </c>
      <c r="J5" s="1378" t="inlineStr">
        <is>
          <t xml:space="preserve"> ✔</t>
        </is>
      </c>
    </row>
    <row r="6" ht="18.75" customHeight="1" s="1676">
      <c r="A6" s="1338" t="n"/>
      <c r="B6" s="1379" t="inlineStr">
        <is>
          <t>Text_697</t>
        </is>
      </c>
      <c r="C6" s="1380" t="n">
        <v>1.02562537914224</v>
      </c>
      <c r="D6" s="1380" t="n">
        <v>0.995418366273671</v>
      </c>
      <c r="E6" s="1381" t="inlineStr">
        <is>
          <t>Text_698</t>
        </is>
      </c>
      <c r="F6" s="1369" t="n"/>
      <c r="G6" s="1375" t="inlineStr">
        <is>
          <t>Text_697</t>
        </is>
      </c>
      <c r="H6" s="1376" t="inlineStr">
        <is>
          <t xml:space="preserve"> ✔</t>
        </is>
      </c>
      <c r="I6" s="1376" t="inlineStr">
        <is>
          <t xml:space="preserve"> ✔</t>
        </is>
      </c>
      <c r="J6" s="1376" t="inlineStr">
        <is>
          <t xml:space="preserve"> ✔</t>
        </is>
      </c>
    </row>
    <row r="7" ht="38.25" customHeight="1" s="1676">
      <c r="A7" s="1338" t="n"/>
      <c r="B7" s="1382" t="inlineStr">
        <is>
          <t>Text_699</t>
        </is>
      </c>
      <c r="C7" s="1380" t="n">
        <v>0</v>
      </c>
      <c r="D7" s="1380" t="n">
        <v>0</v>
      </c>
      <c r="E7" s="1381" t="inlineStr">
        <is>
          <t>Text_700</t>
        </is>
      </c>
      <c r="F7" s="1369" t="n"/>
      <c r="G7" s="1377" t="inlineStr">
        <is>
          <t>Text_699</t>
        </is>
      </c>
      <c r="H7" s="1383" t="inlineStr">
        <is>
          <t>✘</t>
        </is>
      </c>
      <c r="I7" s="1378" t="inlineStr">
        <is>
          <t xml:space="preserve"> ✔</t>
        </is>
      </c>
      <c r="J7" s="1378" t="inlineStr">
        <is>
          <t xml:space="preserve"> ✔</t>
        </is>
      </c>
    </row>
    <row r="8" ht="18.75" customHeight="1" s="1676">
      <c r="A8" s="1338" t="n"/>
      <c r="B8" s="1372" t="inlineStr">
        <is>
          <t>Text_701</t>
        </is>
      </c>
      <c r="C8" s="1373" t="n">
        <v>0</v>
      </c>
      <c r="D8" s="1373" t="n">
        <v>0</v>
      </c>
      <c r="E8" s="1374" t="inlineStr">
        <is>
          <t>Text_702</t>
        </is>
      </c>
      <c r="F8" s="1369" t="n"/>
      <c r="G8" s="1375" t="inlineStr">
        <is>
          <t>Text_701</t>
        </is>
      </c>
      <c r="H8" s="1376" t="inlineStr">
        <is>
          <t>✘</t>
        </is>
      </c>
      <c r="I8" s="1376" t="inlineStr">
        <is>
          <t>✘</t>
        </is>
      </c>
      <c r="J8" s="1376" t="inlineStr">
        <is>
          <t>✘</t>
        </is>
      </c>
    </row>
    <row r="9" ht="26.25" customHeight="1" s="1676">
      <c r="A9" s="1338" t="n"/>
      <c r="B9" s="1379" t="inlineStr">
        <is>
          <t>Text_703</t>
        </is>
      </c>
      <c r="C9" s="1380" t="n">
        <v>0</v>
      </c>
      <c r="D9" s="1381" t="inlineStr">
        <is>
          <t>=</t>
        </is>
      </c>
      <c r="E9" s="1374" t="inlineStr">
        <is>
          <t>Text_704</t>
        </is>
      </c>
      <c r="F9" s="1369" t="n"/>
      <c r="G9" s="1377" t="inlineStr">
        <is>
          <t>Text_703</t>
        </is>
      </c>
      <c r="H9" s="1378" t="inlineStr">
        <is>
          <t>✘</t>
        </is>
      </c>
      <c r="I9" s="1378" t="inlineStr">
        <is>
          <t>✘</t>
        </is>
      </c>
      <c r="J9" s="1378" t="inlineStr">
        <is>
          <t>✘</t>
        </is>
      </c>
    </row>
    <row r="10" ht="18.75" customHeight="1" s="1676">
      <c r="A10" s="1338" t="n"/>
      <c r="B10" s="1372" t="inlineStr">
        <is>
          <t>Text_705</t>
        </is>
      </c>
      <c r="C10" s="1373" t="n">
        <v>1.04693218122842</v>
      </c>
      <c r="D10" s="1373" t="n">
        <v>0.987783921372719</v>
      </c>
      <c r="E10" s="1374" t="inlineStr">
        <is>
          <t>Text_706</t>
        </is>
      </c>
      <c r="F10" s="1369" t="n"/>
      <c r="G10" s="1375" t="inlineStr">
        <is>
          <t>Text_705</t>
        </is>
      </c>
      <c r="H10" s="1376" t="inlineStr">
        <is>
          <t xml:space="preserve"> ✔</t>
        </is>
      </c>
      <c r="I10" s="1376" t="inlineStr">
        <is>
          <t xml:space="preserve"> ✔</t>
        </is>
      </c>
      <c r="J10" s="1376" t="inlineStr">
        <is>
          <t xml:space="preserve"> ✔</t>
        </is>
      </c>
    </row>
    <row r="11" ht="18.75" customHeight="1" s="1676">
      <c r="A11" s="1338" t="n"/>
      <c r="B11" s="1379" t="inlineStr">
        <is>
          <t>Text_707</t>
        </is>
      </c>
      <c r="C11" s="1380" t="n">
        <v>0.956203676362878</v>
      </c>
      <c r="D11" s="1380" t="n">
        <v>0.983930526730957</v>
      </c>
      <c r="E11" s="1381" t="inlineStr">
        <is>
          <t>Text_708</t>
        </is>
      </c>
      <c r="F11" s="1369" t="n"/>
      <c r="G11" s="1377" t="inlineStr">
        <is>
          <t>Text_709</t>
        </is>
      </c>
      <c r="H11" s="1378" t="inlineStr">
        <is>
          <t xml:space="preserve"> ✔</t>
        </is>
      </c>
      <c r="I11" s="1378" t="inlineStr">
        <is>
          <t xml:space="preserve"> ✔</t>
        </is>
      </c>
      <c r="J11" s="1378" t="inlineStr">
        <is>
          <t xml:space="preserve"> ✔</t>
        </is>
      </c>
    </row>
    <row r="12" ht="18.75" customHeight="1" s="1676">
      <c r="A12" s="1338" t="n"/>
      <c r="B12" s="1379" t="inlineStr">
        <is>
          <t>Text_710</t>
        </is>
      </c>
      <c r="C12" s="1380" t="n">
        <v>1.00059316543196</v>
      </c>
      <c r="D12" s="1380" t="n">
        <v>0.966192300663221</v>
      </c>
      <c r="E12" s="1381" t="inlineStr">
        <is>
          <t>Text_711</t>
        </is>
      </c>
      <c r="F12" s="1369" t="n"/>
      <c r="G12" s="1375" t="inlineStr">
        <is>
          <t>Text_710</t>
        </is>
      </c>
      <c r="H12" s="1376" t="inlineStr">
        <is>
          <t xml:space="preserve"> ✔</t>
        </is>
      </c>
      <c r="I12" s="1376" t="inlineStr">
        <is>
          <t xml:space="preserve"> ✔</t>
        </is>
      </c>
      <c r="J12" s="1376" t="inlineStr">
        <is>
          <t xml:space="preserve"> ✔</t>
        </is>
      </c>
    </row>
    <row r="13" ht="25.5" customHeight="1" s="1676">
      <c r="A13" s="1338" t="n"/>
      <c r="B13" s="1384" t="inlineStr">
        <is>
          <t>Text_712</t>
        </is>
      </c>
      <c r="C13" s="1385" t="n">
        <v>2.09486133083389</v>
      </c>
      <c r="D13" s="1385" t="n">
        <v>2.29864963340612</v>
      </c>
      <c r="E13" s="1386" t="inlineStr">
        <is>
          <t>Text_713</t>
        </is>
      </c>
      <c r="F13" s="1369" t="n"/>
      <c r="G13" s="1387" t="inlineStr">
        <is>
          <t>Text_714</t>
        </is>
      </c>
      <c r="H13" s="1388" t="n">
        <v>1.97104368558887</v>
      </c>
      <c r="I13" s="1388" t="n">
        <v>1.91283713403813</v>
      </c>
      <c r="J13" s="1388" t="n">
        <v>1.94042250010068</v>
      </c>
    </row>
    <row r="14" ht="18.75" customHeight="1" s="1676">
      <c r="A14" s="1338" t="n"/>
      <c r="B14" s="1366" t="inlineStr">
        <is>
          <t>Text_715</t>
        </is>
      </c>
      <c r="C14" s="1389" t="n"/>
      <c r="D14" s="1389" t="n"/>
      <c r="E14" s="1390" t="n"/>
      <c r="F14" s="1369" t="n"/>
      <c r="G14" s="1370" t="inlineStr">
        <is>
          <t>Text_716</t>
        </is>
      </c>
      <c r="H14" s="1371" t="n">
        <v>6.19180697462992</v>
      </c>
      <c r="I14" s="1371" t="n">
        <v>7.80487456299507</v>
      </c>
      <c r="J14" s="1371" t="n">
        <v>6.82113387659484</v>
      </c>
    </row>
    <row r="15" ht="26.25" customHeight="1" s="1676">
      <c r="A15" s="1338" t="n"/>
      <c r="B15" s="1391" t="inlineStr">
        <is>
          <t>Text_717</t>
        </is>
      </c>
      <c r="C15" s="1392" t="n">
        <v>0.988727441142484</v>
      </c>
      <c r="D15" s="1392" t="n">
        <v>2.09581416375828</v>
      </c>
      <c r="E15" s="1393" t="inlineStr">
        <is>
          <t>Text_718</t>
        </is>
      </c>
      <c r="F15" s="1369" t="n"/>
      <c r="G15" s="1394" t="inlineStr">
        <is>
          <t>Text_719</t>
        </is>
      </c>
      <c r="H15" s="1388" t="n">
        <v>0.994203342093112</v>
      </c>
      <c r="I15" s="1388" t="n">
        <v>1.01482334688079</v>
      </c>
      <c r="J15" s="1388" t="n">
        <v>0.956144629013079</v>
      </c>
    </row>
    <row r="16" ht="18.75" customHeight="1" s="1676">
      <c r="A16" s="1338" t="n"/>
      <c r="B16" s="1372" t="inlineStr">
        <is>
          <t>Text_720</t>
        </is>
      </c>
      <c r="C16" s="1373" t="n">
        <v>1.03137233437222</v>
      </c>
      <c r="D16" s="1373" t="n">
        <v>1.04405039528794</v>
      </c>
      <c r="E16" s="1374" t="inlineStr">
        <is>
          <t>Text_721</t>
        </is>
      </c>
      <c r="F16" s="1369" t="n"/>
      <c r="G16" s="1375" t="inlineStr">
        <is>
          <t>Text_720</t>
        </is>
      </c>
      <c r="H16" s="1376" t="inlineStr">
        <is>
          <t xml:space="preserve"> ✔</t>
        </is>
      </c>
      <c r="I16" s="1376" t="inlineStr">
        <is>
          <t xml:space="preserve"> ✔</t>
        </is>
      </c>
      <c r="J16" s="1376" t="inlineStr">
        <is>
          <t xml:space="preserve"> ✔</t>
        </is>
      </c>
    </row>
    <row r="17" ht="18.75" customHeight="1" s="1676">
      <c r="A17" s="1338" t="n"/>
      <c r="B17" s="1372" t="inlineStr">
        <is>
          <t>Text_722</t>
        </is>
      </c>
      <c r="C17" s="1373" t="n">
        <v>1.01487653861594</v>
      </c>
      <c r="D17" s="1373" t="n">
        <v>1.04545659288588</v>
      </c>
      <c r="E17" s="1374" t="inlineStr">
        <is>
          <t>Text_723</t>
        </is>
      </c>
      <c r="F17" s="1369" t="n"/>
      <c r="G17" s="1377" t="inlineStr">
        <is>
          <t>Text_722</t>
        </is>
      </c>
      <c r="H17" s="1378" t="inlineStr">
        <is>
          <t xml:space="preserve"> ✔</t>
        </is>
      </c>
      <c r="I17" s="1378" t="inlineStr">
        <is>
          <t xml:space="preserve"> ✔</t>
        </is>
      </c>
      <c r="J17" s="1378" t="inlineStr">
        <is>
          <t xml:space="preserve"> ✔</t>
        </is>
      </c>
    </row>
    <row r="18" ht="26.25" customHeight="1" s="1676">
      <c r="A18" s="1338" t="n"/>
      <c r="B18" s="1382" t="inlineStr">
        <is>
          <t>Text_724</t>
        </is>
      </c>
      <c r="C18" s="1380" t="n">
        <v>0.965143231436996</v>
      </c>
      <c r="D18" s="1380" t="n">
        <v>0.997741618948035</v>
      </c>
      <c r="E18" s="1374" t="inlineStr">
        <is>
          <t>Text_725</t>
        </is>
      </c>
      <c r="F18" s="1369" t="n"/>
      <c r="G18" s="1375" t="inlineStr">
        <is>
          <t>Text_724</t>
        </is>
      </c>
      <c r="H18" s="1376" t="inlineStr">
        <is>
          <t xml:space="preserve"> ✔</t>
        </is>
      </c>
      <c r="I18" s="1376" t="inlineStr">
        <is>
          <t xml:space="preserve"> ✔</t>
        </is>
      </c>
      <c r="J18" s="1376" t="inlineStr">
        <is>
          <t xml:space="preserve"> ✔</t>
        </is>
      </c>
    </row>
    <row r="19" ht="18.75" customHeight="1" s="1676">
      <c r="A19" s="1338" t="n"/>
      <c r="B19" s="1379" t="inlineStr">
        <is>
          <t>Text_726</t>
        </is>
      </c>
      <c r="C19" s="1373" t="n">
        <v>1.01018067339455</v>
      </c>
      <c r="D19" s="1373" t="n">
        <v>1.00817366474212</v>
      </c>
      <c r="E19" s="1374" t="inlineStr">
        <is>
          <t>Text_727</t>
        </is>
      </c>
      <c r="F19" s="1369" t="n"/>
      <c r="G19" s="1377" t="inlineStr">
        <is>
          <t>Text_726</t>
        </is>
      </c>
      <c r="H19" s="1378" t="inlineStr">
        <is>
          <t xml:space="preserve"> ✔</t>
        </is>
      </c>
      <c r="I19" s="1378" t="inlineStr">
        <is>
          <t xml:space="preserve"> ✔</t>
        </is>
      </c>
      <c r="J19" s="1378" t="inlineStr">
        <is>
          <t xml:space="preserve"> ✔</t>
        </is>
      </c>
    </row>
    <row r="20" ht="26.25" customHeight="1" s="1676">
      <c r="A20" s="1338" t="n"/>
      <c r="B20" s="1395" t="inlineStr">
        <is>
          <t>Text_728</t>
        </is>
      </c>
      <c r="C20" s="1396" t="n">
        <v>1.94087706745343</v>
      </c>
      <c r="D20" s="1396" t="n">
        <v>1.90285064561976</v>
      </c>
      <c r="E20" s="1397" t="inlineStr">
        <is>
          <t>Text_729</t>
        </is>
      </c>
      <c r="F20" s="1369" t="n"/>
      <c r="G20" s="1398" t="inlineStr">
        <is>
          <t>Text_730</t>
        </is>
      </c>
      <c r="H20" s="1399" t="n">
        <v>1.77609441353025</v>
      </c>
      <c r="I20" s="1399" t="n">
        <v>1.93504547033737</v>
      </c>
      <c r="J20" s="1399" t="n">
        <v>1.79759648906329</v>
      </c>
    </row>
    <row r="21" ht="18.75" customHeight="1" s="1676">
      <c r="A21" s="1338" t="n"/>
      <c r="B21" s="1366" t="inlineStr">
        <is>
          <t>Text_731</t>
        </is>
      </c>
      <c r="C21" s="1400" t="n"/>
      <c r="D21" s="1400" t="n"/>
      <c r="E21" s="746" t="n"/>
      <c r="F21" s="1369" t="n"/>
      <c r="G21" s="1370" t="inlineStr">
        <is>
          <t>Text_732</t>
        </is>
      </c>
      <c r="H21" s="1371" t="n">
        <v>3.210929108843</v>
      </c>
      <c r="I21" s="1371" t="n">
        <v>1.82529856129675</v>
      </c>
      <c r="J21" s="1371" t="n">
        <v>1.73513918317072</v>
      </c>
    </row>
    <row r="22" ht="24.75" customHeight="1" s="1676">
      <c r="A22" s="1338" t="n"/>
      <c r="B22" s="1401" t="inlineStr">
        <is>
          <t>Text_733</t>
        </is>
      </c>
      <c r="C22" s="1402" t="n">
        <v>2.03141968269034</v>
      </c>
      <c r="D22" s="1402" t="n">
        <v>2.05713783963164</v>
      </c>
      <c r="E22" s="1374" t="inlineStr">
        <is>
          <t>Text_734</t>
        </is>
      </c>
      <c r="F22" s="1369" t="n"/>
      <c r="G22" s="1394" t="inlineStr">
        <is>
          <t>Text_733</t>
        </is>
      </c>
      <c r="H22" s="1403" t="n">
        <v>2.2231478367683</v>
      </c>
      <c r="I22" s="1388" t="n">
        <v>1.00769816124177</v>
      </c>
      <c r="J22" s="1388" t="n">
        <v>0.9845480853723449</v>
      </c>
    </row>
    <row r="23" ht="25.5" customHeight="1" s="1676">
      <c r="A23" s="1338" t="n"/>
      <c r="B23" s="1404" t="inlineStr">
        <is>
          <t>Text_735</t>
        </is>
      </c>
      <c r="C23" s="1405" t="n">
        <v>1.03030118815263</v>
      </c>
      <c r="D23" s="1406" t="n">
        <v>1.00402788931874</v>
      </c>
      <c r="E23" s="1407" t="inlineStr">
        <is>
          <t>Text_736</t>
        </is>
      </c>
      <c r="F23" s="1369" t="n"/>
      <c r="G23" s="1375" t="inlineStr">
        <is>
          <t>Text_737</t>
        </is>
      </c>
      <c r="H23" s="1376" t="inlineStr">
        <is>
          <t xml:space="preserve"> ✔</t>
        </is>
      </c>
      <c r="I23" s="1376" t="inlineStr">
        <is>
          <t xml:space="preserve"> ✔</t>
        </is>
      </c>
      <c r="J23" s="1376" t="inlineStr">
        <is>
          <t xml:space="preserve"> ✔</t>
        </is>
      </c>
    </row>
    <row r="24" ht="18.75" customHeight="1" s="1676">
      <c r="A24" s="1338" t="n"/>
      <c r="B24" s="1366" t="inlineStr">
        <is>
          <t>Text_255</t>
        </is>
      </c>
      <c r="C24" s="1408" t="n"/>
      <c r="D24" s="1408" t="n"/>
      <c r="E24" s="746" t="n"/>
      <c r="F24" s="1369" t="n"/>
      <c r="G24" s="1409" t="inlineStr">
        <is>
          <t>Text_738</t>
        </is>
      </c>
      <c r="H24" s="1410" t="n">
        <v>1.74756817077871</v>
      </c>
      <c r="I24" s="1410" t="n">
        <v>2.03951033618795</v>
      </c>
      <c r="J24" s="1410" t="n">
        <v>2.244811127253</v>
      </c>
    </row>
    <row r="25" ht="18.75" customHeight="1" s="1676">
      <c r="A25" s="1338" t="n"/>
      <c r="B25" s="1372" t="inlineStr">
        <is>
          <t>Text_739</t>
        </is>
      </c>
      <c r="C25" s="1373" t="n">
        <v>0.989631262549822</v>
      </c>
      <c r="D25" s="1373" t="n">
        <v>0.97963258018998</v>
      </c>
      <c r="E25" s="1374" t="inlineStr">
        <is>
          <t>Text_740</t>
        </is>
      </c>
      <c r="F25" s="1369" t="n"/>
      <c r="G25" s="1377" t="inlineStr">
        <is>
          <t>Text_741</t>
        </is>
      </c>
      <c r="H25" s="1378" t="inlineStr">
        <is>
          <t xml:space="preserve"> ✔</t>
        </is>
      </c>
      <c r="I25" s="1378" t="inlineStr">
        <is>
          <t xml:space="preserve"> ✔</t>
        </is>
      </c>
      <c r="J25" s="1378" t="inlineStr">
        <is>
          <t xml:space="preserve"> ✔</t>
        </is>
      </c>
    </row>
    <row r="26" ht="18.75" customHeight="1" s="1676">
      <c r="A26" s="1338" t="n"/>
      <c r="B26" s="1411" t="inlineStr">
        <is>
          <t>Text_742</t>
        </is>
      </c>
      <c r="C26" s="1412" t="n">
        <v>0.964346945701802</v>
      </c>
      <c r="D26" s="1412" t="n">
        <v>0.965144552193536</v>
      </c>
      <c r="E26" s="1413" t="inlineStr">
        <is>
          <t>Text_743</t>
        </is>
      </c>
      <c r="F26" s="1369" t="n"/>
      <c r="G26" s="1414" t="inlineStr">
        <is>
          <t>Text_742</t>
        </is>
      </c>
      <c r="H26" s="1415" t="inlineStr">
        <is>
          <t xml:space="preserve"> ✔</t>
        </is>
      </c>
      <c r="I26" s="1415" t="inlineStr">
        <is>
          <t xml:space="preserve"> ✔</t>
        </is>
      </c>
      <c r="J26" s="1415" t="inlineStr">
        <is>
          <t xml:space="preserve"> ✔</t>
        </is>
      </c>
    </row>
    <row r="27" ht="18.75" customHeight="1" s="1676">
      <c r="A27" s="1338" t="n"/>
      <c r="B27" s="1366" t="inlineStr">
        <is>
          <t>Text_744</t>
        </is>
      </c>
      <c r="C27" s="1408" t="n"/>
      <c r="D27" s="1408" t="n"/>
      <c r="E27" s="746" t="n"/>
      <c r="F27" s="1369" t="n"/>
      <c r="G27" s="1409" t="inlineStr">
        <is>
          <t>Text_745</t>
        </is>
      </c>
      <c r="H27" s="1410" t="n">
        <v>4.89915722651273</v>
      </c>
      <c r="I27" s="1410" t="n">
        <v>5.1435197362423</v>
      </c>
      <c r="J27" s="1410" t="n">
        <v>4.3709231077544</v>
      </c>
    </row>
    <row r="28" ht="18.75" customHeight="1" s="1676">
      <c r="A28" s="1338" t="n"/>
      <c r="B28" s="1372" t="inlineStr">
        <is>
          <t>Text_746</t>
        </is>
      </c>
      <c r="C28" s="1373" t="n">
        <v>1.04395685890252</v>
      </c>
      <c r="D28" s="1373" t="n">
        <v>1.02551336174452</v>
      </c>
      <c r="E28" s="1374" t="inlineStr">
        <is>
          <t>Text_747</t>
        </is>
      </c>
      <c r="F28" s="1369" t="n"/>
      <c r="G28" s="1377" t="inlineStr">
        <is>
          <t>Text_748</t>
        </is>
      </c>
      <c r="H28" s="1378" t="inlineStr">
        <is>
          <t xml:space="preserve"> ✔</t>
        </is>
      </c>
      <c r="I28" s="1378" t="inlineStr">
        <is>
          <t xml:space="preserve"> ✔</t>
        </is>
      </c>
      <c r="J28" s="1378" t="inlineStr">
        <is>
          <t xml:space="preserve"> ✔</t>
        </is>
      </c>
    </row>
    <row r="29" ht="25.5" customHeight="1" s="1676">
      <c r="A29" s="1338" t="n"/>
      <c r="B29" s="1391" t="inlineStr">
        <is>
          <t>Text_749</t>
        </is>
      </c>
      <c r="C29" s="1392" t="n">
        <v>2.0519743509702</v>
      </c>
      <c r="D29" s="1392" t="n">
        <v>2.19706320256339</v>
      </c>
      <c r="E29" s="1416" t="inlineStr">
        <is>
          <t>Text_750</t>
        </is>
      </c>
      <c r="F29" s="1369" t="n"/>
      <c r="G29" s="1417" t="inlineStr">
        <is>
          <t>Text_751</t>
        </is>
      </c>
      <c r="H29" s="1418" t="n">
        <v>1.74811205408727</v>
      </c>
      <c r="I29" s="1418" t="n">
        <v>0.997683887773312</v>
      </c>
      <c r="J29" s="1418" t="n">
        <v>2.078055876117</v>
      </c>
    </row>
    <row r="30" ht="25.5" customHeight="1" s="1676">
      <c r="A30" s="1338" t="n"/>
      <c r="B30" s="1391" t="inlineStr">
        <is>
          <t>Text_752</t>
        </is>
      </c>
      <c r="C30" s="1392" t="n">
        <v>1.03286529061183</v>
      </c>
      <c r="D30" s="1392" t="n">
        <v>1.02834695600493</v>
      </c>
      <c r="E30" s="1416" t="inlineStr">
        <is>
          <t>Text_753</t>
        </is>
      </c>
      <c r="F30" s="1369" t="n"/>
      <c r="G30" s="1419" t="inlineStr">
        <is>
          <t>Text_754</t>
        </is>
      </c>
      <c r="H30" s="1420" t="n">
        <v>0.97770692497134</v>
      </c>
      <c r="I30" s="1421" t="n">
        <v>2.26452810173552</v>
      </c>
      <c r="J30" s="1421" t="n">
        <v>0.962434584143087</v>
      </c>
    </row>
    <row r="31" ht="18.75" customHeight="1" s="1676">
      <c r="A31" s="1338" t="n"/>
      <c r="B31" s="1411" t="inlineStr">
        <is>
          <t>Text_755</t>
        </is>
      </c>
      <c r="C31" s="1412" t="n">
        <v>1.03751336186212</v>
      </c>
      <c r="D31" s="1412" t="n">
        <v>1.04709402496046</v>
      </c>
      <c r="E31" s="1413" t="inlineStr">
        <is>
          <t>Text_756</t>
        </is>
      </c>
      <c r="F31" s="1369" t="n"/>
      <c r="G31" s="1414" t="inlineStr">
        <is>
          <t>Text_755</t>
        </is>
      </c>
      <c r="H31" s="1415" t="inlineStr">
        <is>
          <t xml:space="preserve"> ✔</t>
        </is>
      </c>
      <c r="I31" s="1415" t="inlineStr">
        <is>
          <t xml:space="preserve"> ✔</t>
        </is>
      </c>
      <c r="J31" s="1415" t="inlineStr">
        <is>
          <t xml:space="preserve"> ✔</t>
        </is>
      </c>
    </row>
    <row r="32" ht="24" customHeight="1" s="1676">
      <c r="A32" s="1338" t="n"/>
      <c r="B32" s="1366" t="inlineStr">
        <is>
          <t>Text_757</t>
        </is>
      </c>
      <c r="C32" s="1400" t="n"/>
      <c r="D32" s="1400" t="n"/>
      <c r="E32" s="746" t="n"/>
      <c r="F32" s="1369" t="n"/>
      <c r="G32" s="1422" t="inlineStr">
        <is>
          <t>Text_758</t>
        </is>
      </c>
      <c r="H32" s="1423" t="n">
        <v>2.70943817090036</v>
      </c>
      <c r="I32" s="1423" t="n">
        <v>3.19985945778341</v>
      </c>
      <c r="J32" s="1423" t="n">
        <v>2.5862569669002</v>
      </c>
    </row>
    <row r="33" ht="18.75" customHeight="1" s="1676">
      <c r="A33" s="1338" t="n"/>
      <c r="B33" s="1372" t="inlineStr">
        <is>
          <t>Text_759</t>
        </is>
      </c>
      <c r="C33" s="1373" t="n">
        <v>0.990542282513916</v>
      </c>
      <c r="D33" s="1373" t="n">
        <v>1.00162832991977</v>
      </c>
      <c r="E33" s="1374" t="inlineStr">
        <is>
          <t>Text_760</t>
        </is>
      </c>
      <c r="F33" s="1369" t="n"/>
      <c r="G33" s="1424" t="inlineStr">
        <is>
          <t>Text_761</t>
        </is>
      </c>
      <c r="H33" s="1425" t="inlineStr">
        <is>
          <t xml:space="preserve"> ✔</t>
        </is>
      </c>
      <c r="I33" s="1425" t="inlineStr">
        <is>
          <t xml:space="preserve"> ✔</t>
        </is>
      </c>
      <c r="J33" s="1425" t="inlineStr">
        <is>
          <t xml:space="preserve"> ✔</t>
        </is>
      </c>
    </row>
    <row r="34" ht="18.75" customHeight="1" s="1676">
      <c r="A34" s="1338" t="n"/>
      <c r="B34" s="1372" t="inlineStr">
        <is>
          <t>Text_761</t>
        </is>
      </c>
      <c r="C34" s="1373" t="n">
        <v>1.00806452259096</v>
      </c>
      <c r="D34" s="1373" t="n">
        <v>1.04359372482486</v>
      </c>
      <c r="E34" s="1374" t="inlineStr">
        <is>
          <t>Text_762</t>
        </is>
      </c>
      <c r="F34" s="1369" t="n"/>
      <c r="G34" s="1377" t="inlineStr">
        <is>
          <t>Text_763</t>
        </is>
      </c>
      <c r="H34" s="1378" t="inlineStr">
        <is>
          <t xml:space="preserve"> ✔</t>
        </is>
      </c>
      <c r="I34" s="1378" t="inlineStr">
        <is>
          <t xml:space="preserve"> ✔</t>
        </is>
      </c>
      <c r="J34" s="1378" t="inlineStr">
        <is>
          <t xml:space="preserve"> ✔</t>
        </is>
      </c>
    </row>
    <row r="35" ht="18.75" customHeight="1" s="1676">
      <c r="A35" s="1338" t="n"/>
      <c r="B35" s="1411" t="inlineStr">
        <is>
          <t>Text_764</t>
        </is>
      </c>
      <c r="C35" s="1412" t="n">
        <v>1.01722506872942</v>
      </c>
      <c r="D35" s="1412" t="n">
        <v>0.998127795121924</v>
      </c>
      <c r="E35" s="1413" t="inlineStr">
        <is>
          <t>Text_765</t>
        </is>
      </c>
      <c r="F35" s="1369" t="n"/>
      <c r="G35" s="1424" t="inlineStr">
        <is>
          <t>Text_764</t>
        </is>
      </c>
      <c r="H35" s="1425" t="inlineStr">
        <is>
          <t xml:space="preserve"> ✔</t>
        </is>
      </c>
      <c r="I35" s="1425" t="inlineStr">
        <is>
          <t xml:space="preserve"> ✔</t>
        </is>
      </c>
      <c r="J35" s="1425" t="inlineStr">
        <is>
          <t xml:space="preserve"> ✔</t>
        </is>
      </c>
    </row>
    <row r="36" ht="24" customHeight="1" s="1676">
      <c r="A36" s="1338" t="n"/>
      <c r="B36" s="1366" t="inlineStr">
        <is>
          <t>Text_766</t>
        </is>
      </c>
      <c r="C36" s="1408" t="n"/>
      <c r="D36" s="1408" t="n"/>
      <c r="E36" s="746" t="n"/>
      <c r="F36" s="1369" t="n"/>
      <c r="G36" s="1426" t="inlineStr">
        <is>
          <t>Text_767</t>
        </is>
      </c>
      <c r="H36" s="1427" t="n">
        <v>1.03096750362659</v>
      </c>
      <c r="I36" s="1427" t="n">
        <v>1.04505328209544</v>
      </c>
      <c r="J36" s="1427" t="n">
        <v>0.952206614868229</v>
      </c>
    </row>
    <row r="37" ht="15" customHeight="1" s="1676">
      <c r="A37" s="1338" t="n"/>
      <c r="B37" s="1372" t="inlineStr">
        <is>
          <t>Text_768</t>
        </is>
      </c>
      <c r="C37" s="1428" t="n">
        <v>0</v>
      </c>
      <c r="D37" s="1381" t="inlineStr">
        <is>
          <t>=</t>
        </is>
      </c>
      <c r="E37" s="1374" t="inlineStr">
        <is>
          <t>Text_769</t>
        </is>
      </c>
      <c r="F37" s="1369" t="n"/>
      <c r="G37" s="1377" t="inlineStr">
        <is>
          <t>Text_770</t>
        </is>
      </c>
      <c r="H37" s="1378" t="inlineStr">
        <is>
          <t>✘</t>
        </is>
      </c>
      <c r="I37" s="1378" t="inlineStr">
        <is>
          <t>=</t>
        </is>
      </c>
      <c r="J37" s="1378" t="inlineStr">
        <is>
          <t>=</t>
        </is>
      </c>
    </row>
    <row r="38" ht="18.75" customHeight="1" s="1676">
      <c r="A38" s="1338" t="n"/>
      <c r="B38" s="1411" t="inlineStr">
        <is>
          <t>Text_771</t>
        </is>
      </c>
      <c r="C38" s="1412" t="n">
        <v>0.958613213906368</v>
      </c>
      <c r="D38" s="1412" t="n">
        <v>1.03143867792688</v>
      </c>
      <c r="E38" s="1407" t="inlineStr">
        <is>
          <t>Text_772</t>
        </is>
      </c>
      <c r="F38" s="1369" t="n"/>
      <c r="G38" s="1429" t="inlineStr">
        <is>
          <t>Text_773</t>
        </is>
      </c>
      <c r="H38" s="1430" t="inlineStr">
        <is>
          <t xml:space="preserve"> ✔</t>
        </is>
      </c>
      <c r="I38" s="1430" t="inlineStr">
        <is>
          <t xml:space="preserve"> ✔</t>
        </is>
      </c>
      <c r="J38" s="1430" t="inlineStr">
        <is>
          <t xml:space="preserve"> ✔</t>
        </is>
      </c>
    </row>
    <row r="39" ht="8" customHeight="1" s="1676">
      <c r="A39" s="1304" t="n"/>
      <c r="B39" s="1431" t="n"/>
      <c r="C39" s="1431" t="n"/>
      <c r="D39" s="1431" t="n"/>
      <c r="E39" s="1431" t="n"/>
      <c r="F39" s="1272" t="n"/>
      <c r="G39" s="266" t="n"/>
      <c r="H39" s="1432" t="n"/>
      <c r="I39" s="1431" t="n"/>
      <c r="J39" s="1433" t="n"/>
    </row>
    <row r="40" ht="15" customHeight="1" s="1676">
      <c r="A40" s="1304" t="n"/>
      <c r="B40" s="1434" t="n"/>
      <c r="C40" s="1435">
        <f t="array" ref="C40">SUM(C3:C39)</f>
        <v/>
      </c>
      <c r="D40" s="1435">
        <f t="array" ref="D40">SUM(D3:D39)</f>
        <v/>
      </c>
      <c r="E40" s="1272" t="n"/>
      <c r="F40" s="1272" t="n"/>
      <c r="G40" s="701" t="n"/>
      <c r="H40" s="1440">
        <f t="array" ref="H40">H36+H32+H27+H24+H21+H14+H3</f>
        <v/>
      </c>
      <c r="I40" s="1437">
        <f t="array" ref="I40">I36+I32+I27+I24+I21+I14+I3</f>
        <v/>
      </c>
      <c r="J40" s="1438">
        <f t="array" ref="J40">J36+J32+J27+J24+J21+J14+J3</f>
        <v/>
      </c>
    </row>
    <row r="41" ht="15" customHeight="1" s="1676">
      <c r="A41" s="1304" t="n"/>
      <c r="B41" s="1434" t="n"/>
      <c r="C41" s="1439" t="n">
        <v>31.7594144760244</v>
      </c>
      <c r="D41" s="1439" t="n">
        <v>30.2482325090895</v>
      </c>
      <c r="E41" s="1272" t="n"/>
      <c r="F41" s="1272" t="n"/>
      <c r="G41" s="701" t="n"/>
      <c r="H41" s="1440" t="n"/>
      <c r="I41" s="1272" t="n"/>
      <c r="J41" s="1277" t="n"/>
    </row>
    <row r="42" ht="15.75" customHeight="1" s="1676">
      <c r="A42" s="1304" t="n"/>
      <c r="B42" s="1272" t="n"/>
      <c r="C42" s="1272" t="n"/>
      <c r="D42" s="1272" t="n"/>
      <c r="E42" s="1272" t="n"/>
      <c r="F42" s="1272" t="n"/>
      <c r="G42" s="867" t="n"/>
      <c r="H42" s="1441" t="n"/>
      <c r="I42" s="1272" t="n"/>
      <c r="J42" s="1277" t="n"/>
    </row>
    <row r="43" ht="21.75" customHeight="1" s="1676">
      <c r="A43" s="1304" t="n"/>
      <c r="B43" s="1272" t="n"/>
      <c r="C43" s="1272" t="n"/>
      <c r="D43" s="1272" t="n"/>
      <c r="E43" s="1272" t="n"/>
      <c r="F43" s="1442" t="n"/>
      <c r="G43" s="1443" t="n"/>
      <c r="H43" s="1444" t="n"/>
      <c r="I43" s="1362" t="n"/>
      <c r="J43" s="1277" t="n"/>
    </row>
    <row r="44" ht="21.75" customHeight="1" s="1676">
      <c r="A44" s="1304" t="n"/>
      <c r="B44" s="1272" t="n"/>
      <c r="C44" s="1272" t="n"/>
      <c r="D44" s="1272" t="n"/>
      <c r="E44" s="1272" t="n"/>
      <c r="F44" s="1272" t="n"/>
      <c r="G44" s="1445" t="n"/>
      <c r="H44" s="2354" t="n"/>
      <c r="I44" s="1272" t="n"/>
      <c r="J44" s="1277" t="n"/>
    </row>
    <row r="45" ht="21.75" customHeight="1" s="1676">
      <c r="A45" s="1304" t="n"/>
      <c r="B45" s="1272" t="n"/>
      <c r="C45" s="1272" t="n"/>
      <c r="D45" s="1272" t="n"/>
      <c r="E45" s="1272" t="n"/>
      <c r="F45" s="1442" t="n"/>
      <c r="G45" s="1447" t="n"/>
      <c r="H45" s="1448" t="n"/>
      <c r="I45" s="1362" t="n"/>
      <c r="J45" s="1277" t="n"/>
    </row>
    <row r="46" ht="14.05" customHeight="1" s="1676">
      <c r="A46" s="1304" t="n"/>
      <c r="B46" s="1272" t="n"/>
      <c r="C46" s="1272" t="n"/>
      <c r="D46" s="1272" t="n"/>
      <c r="E46" s="1272" t="n"/>
      <c r="F46" s="1272" t="n"/>
      <c r="G46" s="888" t="n"/>
      <c r="H46" s="1449" t="n"/>
      <c r="I46" s="1272" t="n"/>
      <c r="J46" s="1277" t="n"/>
    </row>
    <row r="47" ht="13.55" customHeight="1" s="1676">
      <c r="A47" s="1304" t="n"/>
      <c r="B47" s="1272" t="n"/>
      <c r="C47" s="1272" t="n"/>
      <c r="D47" s="1272" t="n"/>
      <c r="E47" s="1272" t="n"/>
      <c r="F47" s="1272" t="n"/>
      <c r="G47" s="701" t="n"/>
      <c r="H47" s="1440" t="n"/>
      <c r="I47" s="1272" t="n"/>
      <c r="J47" s="1277" t="n"/>
    </row>
    <row r="48" ht="13.55" customHeight="1" s="1676">
      <c r="A48" s="1304" t="n"/>
      <c r="B48" s="1272" t="n"/>
      <c r="C48" s="1272" t="n"/>
      <c r="D48" s="1272" t="n"/>
      <c r="E48" s="1272" t="n"/>
      <c r="F48" s="1272" t="n"/>
      <c r="G48" s="701" t="n"/>
      <c r="H48" s="1440" t="n"/>
      <c r="I48" s="1272" t="n"/>
      <c r="J48" s="1277" t="n"/>
    </row>
    <row r="49" ht="13.55" customHeight="1" s="1676">
      <c r="A49" s="1304" t="n"/>
      <c r="B49" s="1272" t="n"/>
      <c r="C49" s="1272" t="n"/>
      <c r="D49" s="1272" t="n"/>
      <c r="E49" s="1272" t="n"/>
      <c r="F49" s="1272" t="n"/>
      <c r="G49" s="701" t="n"/>
      <c r="H49" s="1440" t="n"/>
      <c r="I49" s="1272" t="n"/>
      <c r="J49" s="1277" t="n"/>
    </row>
    <row r="50" ht="13.55" customHeight="1" s="1676">
      <c r="A50" s="1304" t="n"/>
      <c r="B50" s="1272" t="n"/>
      <c r="C50" s="1272" t="n"/>
      <c r="D50" s="1272" t="n"/>
      <c r="E50" s="1272" t="n"/>
      <c r="F50" s="1272" t="n"/>
      <c r="G50" s="701" t="n"/>
      <c r="H50" s="1440" t="n"/>
      <c r="I50" s="1272" t="n"/>
      <c r="J50" s="1277" t="n"/>
    </row>
    <row r="51" ht="13.55" customHeight="1" s="1676">
      <c r="A51" s="1304" t="n"/>
      <c r="B51" s="1272" t="n"/>
      <c r="C51" s="1272" t="n"/>
      <c r="D51" s="1272" t="n"/>
      <c r="E51" s="1272" t="n"/>
      <c r="F51" s="1272" t="n"/>
      <c r="G51" s="701" t="n"/>
      <c r="H51" s="1440" t="n"/>
      <c r="I51" s="1272" t="n"/>
      <c r="J51" s="1277" t="n"/>
    </row>
    <row r="52" ht="13.55" customHeight="1" s="1676">
      <c r="A52" s="1304" t="n"/>
      <c r="B52" s="1272" t="n"/>
      <c r="C52" s="1272" t="n"/>
      <c r="D52" s="1272" t="n"/>
      <c r="E52" s="1272" t="n"/>
      <c r="F52" s="1272" t="n"/>
      <c r="G52" s="701" t="n"/>
      <c r="H52" s="1440" t="n"/>
      <c r="I52" s="1272" t="n"/>
      <c r="J52" s="1277" t="n"/>
    </row>
    <row r="53" ht="13.55" customHeight="1" s="1676">
      <c r="A53" s="1304" t="n"/>
      <c r="B53" s="1272" t="n"/>
      <c r="C53" s="1272" t="n"/>
      <c r="D53" s="1272" t="n"/>
      <c r="E53" s="1272" t="n"/>
      <c r="F53" s="1272" t="n"/>
      <c r="G53" s="701" t="n"/>
      <c r="H53" s="1440" t="n"/>
      <c r="I53" s="1272" t="n"/>
      <c r="J53" s="1277" t="n"/>
    </row>
    <row r="54" ht="13.55" customHeight="1" s="1676">
      <c r="A54" s="1304" t="n"/>
      <c r="B54" s="1272" t="n"/>
      <c r="C54" s="1272" t="n"/>
      <c r="D54" s="1272" t="n"/>
      <c r="E54" s="1272" t="n"/>
      <c r="F54" s="1272" t="n"/>
      <c r="G54" s="701" t="n"/>
      <c r="H54" s="1440" t="n"/>
      <c r="I54" s="1272" t="n"/>
      <c r="J54" s="1277" t="n"/>
    </row>
    <row r="55" ht="13.55" customHeight="1" s="1676">
      <c r="A55" s="1304" t="n"/>
      <c r="B55" s="1272" t="n"/>
      <c r="C55" s="1272" t="n"/>
      <c r="D55" s="1272" t="n"/>
      <c r="E55" s="1272" t="n"/>
      <c r="F55" s="1272" t="n"/>
      <c r="G55" s="701" t="n"/>
      <c r="H55" s="1440" t="n"/>
      <c r="I55" s="1272" t="n"/>
      <c r="J55" s="1277" t="n"/>
    </row>
    <row r="56" ht="13.55" customHeight="1" s="1676">
      <c r="A56" s="1304" t="n"/>
      <c r="B56" s="1272" t="n"/>
      <c r="C56" s="1272" t="n"/>
      <c r="D56" s="1272" t="n"/>
      <c r="E56" s="1272" t="n"/>
      <c r="F56" s="1272" t="n"/>
      <c r="G56" s="701" t="n"/>
      <c r="H56" s="1440" t="n"/>
      <c r="I56" s="1272" t="n"/>
      <c r="J56" s="1277" t="n"/>
    </row>
    <row r="57" ht="13.55" customHeight="1" s="1676">
      <c r="A57" s="1304" t="n"/>
      <c r="B57" s="1272" t="n"/>
      <c r="C57" s="1272" t="n"/>
      <c r="D57" s="1272" t="n"/>
      <c r="E57" s="1272" t="n"/>
      <c r="F57" s="1272" t="n"/>
      <c r="G57" s="701" t="n"/>
      <c r="H57" s="1440" t="n"/>
      <c r="I57" s="1272" t="n"/>
      <c r="J57" s="1277" t="n"/>
    </row>
    <row r="58" ht="13.55" customHeight="1" s="1676">
      <c r="A58" s="1304" t="n"/>
      <c r="B58" s="1272" t="n"/>
      <c r="C58" s="1272" t="n"/>
      <c r="D58" s="1272" t="n"/>
      <c r="E58" s="1272" t="n"/>
      <c r="F58" s="1272" t="n"/>
      <c r="G58" s="701" t="n"/>
      <c r="H58" s="1440" t="n"/>
      <c r="I58" s="1272" t="n"/>
      <c r="J58" s="1277" t="n"/>
    </row>
    <row r="59" ht="13.55" customHeight="1" s="1676">
      <c r="A59" s="1304" t="n"/>
      <c r="B59" s="1272" t="n"/>
      <c r="C59" s="1272" t="n"/>
      <c r="D59" s="1272" t="n"/>
      <c r="E59" s="1272" t="n"/>
      <c r="F59" s="1272" t="n"/>
      <c r="G59" s="701" t="n"/>
      <c r="H59" s="1440" t="n"/>
      <c r="I59" s="1272" t="n"/>
      <c r="J59" s="1277" t="n"/>
    </row>
    <row r="60" ht="13.55" customHeight="1" s="1676">
      <c r="A60" s="1304" t="n"/>
      <c r="B60" s="1272" t="n"/>
      <c r="C60" s="1272" t="n"/>
      <c r="D60" s="1272" t="n"/>
      <c r="E60" s="1272" t="n"/>
      <c r="F60" s="1272" t="n"/>
      <c r="G60" s="701" t="n"/>
      <c r="H60" s="1440" t="n"/>
      <c r="I60" s="1272" t="n"/>
      <c r="J60" s="1277" t="n"/>
    </row>
    <row r="61" ht="13.55" customHeight="1" s="1676">
      <c r="A61" s="1304" t="n"/>
      <c r="B61" s="1272" t="n"/>
      <c r="C61" s="1272" t="n"/>
      <c r="D61" s="1272" t="n"/>
      <c r="E61" s="1272" t="n"/>
      <c r="F61" s="1272" t="n"/>
      <c r="G61" s="701" t="n"/>
      <c r="H61" s="1440" t="n"/>
      <c r="I61" s="1272" t="n"/>
      <c r="J61" s="1277" t="n"/>
    </row>
    <row r="62" ht="13.55" customHeight="1" s="1676">
      <c r="A62" s="1304" t="n"/>
      <c r="B62" s="1272" t="n"/>
      <c r="C62" s="1272" t="n"/>
      <c r="D62" s="1272" t="n"/>
      <c r="E62" s="1272" t="n"/>
      <c r="F62" s="1272" t="n"/>
      <c r="G62" s="701" t="n"/>
      <c r="H62" s="1440" t="n"/>
      <c r="I62" s="1272" t="n"/>
      <c r="J62" s="1277" t="n"/>
    </row>
    <row r="63" ht="13.55" customHeight="1" s="1676">
      <c r="A63" s="1304" t="n"/>
      <c r="B63" s="1272" t="n"/>
      <c r="C63" s="1272" t="n"/>
      <c r="D63" s="1272" t="n"/>
      <c r="E63" s="1272" t="n"/>
      <c r="F63" s="1272" t="n"/>
      <c r="G63" s="701" t="n"/>
      <c r="H63" s="1440" t="n"/>
      <c r="I63" s="1272" t="n"/>
      <c r="J63" s="1277" t="n"/>
    </row>
    <row r="64" ht="13.55" customHeight="1" s="1676">
      <c r="A64" s="1304" t="n"/>
      <c r="B64" s="1272" t="n"/>
      <c r="C64" s="1272" t="n"/>
      <c r="D64" s="1272" t="n"/>
      <c r="E64" s="1272" t="n"/>
      <c r="F64" s="1272" t="n"/>
      <c r="G64" s="701" t="n"/>
      <c r="H64" s="1440" t="n"/>
      <c r="I64" s="1272" t="n"/>
      <c r="J64" s="1277" t="n"/>
    </row>
    <row r="65" ht="13.55" customHeight="1" s="1676">
      <c r="A65" s="1304" t="n"/>
      <c r="B65" s="1272" t="n"/>
      <c r="C65" s="1272" t="n"/>
      <c r="D65" s="1272" t="n"/>
      <c r="E65" s="1272" t="n"/>
      <c r="F65" s="1272" t="n"/>
      <c r="G65" s="701" t="n"/>
      <c r="H65" s="1440" t="n"/>
      <c r="I65" s="1272" t="n"/>
      <c r="J65" s="1277" t="n"/>
    </row>
    <row r="66" ht="13.55" customHeight="1" s="1676">
      <c r="A66" s="1304" t="n"/>
      <c r="B66" s="1272" t="n"/>
      <c r="C66" s="1272" t="n"/>
      <c r="D66" s="1272" t="n"/>
      <c r="E66" s="1272" t="n"/>
      <c r="F66" s="1272" t="n"/>
      <c r="G66" s="701" t="n"/>
      <c r="H66" s="1440" t="n"/>
      <c r="I66" s="1272" t="n"/>
      <c r="J66" s="1277" t="n"/>
    </row>
    <row r="67" ht="13.55" customHeight="1" s="1676">
      <c r="A67" s="1304" t="n"/>
      <c r="B67" s="1272" t="n"/>
      <c r="C67" s="1272" t="n"/>
      <c r="D67" s="1272" t="n"/>
      <c r="E67" s="1272" t="n"/>
      <c r="F67" s="1272" t="n"/>
      <c r="G67" s="701" t="n"/>
      <c r="H67" s="1440" t="n"/>
      <c r="I67" s="1272" t="n"/>
      <c r="J67" s="1277" t="n"/>
    </row>
    <row r="68" ht="13.55" customHeight="1" s="1676">
      <c r="A68" s="1304" t="n"/>
      <c r="B68" s="1272" t="n"/>
      <c r="C68" s="1272" t="n"/>
      <c r="D68" s="1272" t="n"/>
      <c r="E68" s="1272" t="n"/>
      <c r="F68" s="1272" t="n"/>
      <c r="G68" s="701" t="n"/>
      <c r="H68" s="1440" t="n"/>
      <c r="I68" s="1272" t="n"/>
      <c r="J68" s="1277" t="n"/>
    </row>
    <row r="69" ht="13.55" customHeight="1" s="1676">
      <c r="A69" s="1304" t="n"/>
      <c r="B69" s="1272" t="n"/>
      <c r="C69" s="1272" t="n"/>
      <c r="D69" s="1272" t="n"/>
      <c r="E69" s="1272" t="n"/>
      <c r="F69" s="1272" t="n"/>
      <c r="G69" s="701" t="n"/>
      <c r="H69" s="1440" t="n"/>
      <c r="I69" s="1272" t="n"/>
      <c r="J69" s="1277" t="n"/>
    </row>
    <row r="70" ht="13.55" customHeight="1" s="1676">
      <c r="A70" s="1304" t="n"/>
      <c r="B70" s="1272" t="n"/>
      <c r="C70" s="1272" t="n"/>
      <c r="D70" s="1272" t="n"/>
      <c r="E70" s="1272" t="n"/>
      <c r="F70" s="1272" t="n"/>
      <c r="G70" s="701" t="n"/>
      <c r="H70" s="1440" t="n"/>
      <c r="I70" s="1272" t="n"/>
      <c r="J70" s="1277" t="n"/>
    </row>
    <row r="71" ht="13.55" customHeight="1" s="1676">
      <c r="A71" s="1304" t="n"/>
      <c r="B71" s="1272" t="n"/>
      <c r="C71" s="1272" t="n"/>
      <c r="D71" s="1272" t="n"/>
      <c r="E71" s="1272" t="n"/>
      <c r="F71" s="1272" t="n"/>
      <c r="G71" s="701" t="n"/>
      <c r="H71" s="1440" t="n"/>
      <c r="I71" s="1272" t="n"/>
      <c r="J71" s="1277" t="n"/>
    </row>
    <row r="72" ht="13.55" customHeight="1" s="1676">
      <c r="A72" s="1304" t="n"/>
      <c r="B72" s="1272" t="n"/>
      <c r="C72" s="1272" t="n"/>
      <c r="D72" s="1272" t="n"/>
      <c r="E72" s="1272" t="n"/>
      <c r="F72" s="1272" t="n"/>
      <c r="G72" s="701" t="n"/>
      <c r="H72" s="1440" t="n"/>
      <c r="I72" s="1272" t="n"/>
      <c r="J72" s="1277" t="n"/>
    </row>
    <row r="73" ht="13.55" customHeight="1" s="1676">
      <c r="A73" s="1304" t="n"/>
      <c r="B73" s="1272" t="n"/>
      <c r="C73" s="1272" t="n"/>
      <c r="D73" s="1272" t="n"/>
      <c r="E73" s="1272" t="n"/>
      <c r="F73" s="1272" t="n"/>
      <c r="G73" s="701" t="n"/>
      <c r="H73" s="1440" t="n"/>
      <c r="I73" s="1272" t="n"/>
      <c r="J73" s="1277" t="n"/>
    </row>
    <row r="74" ht="13.55" customHeight="1" s="1676">
      <c r="A74" s="1304" t="n"/>
      <c r="B74" s="1272" t="n"/>
      <c r="C74" s="1272" t="n"/>
      <c r="D74" s="1272" t="n"/>
      <c r="E74" s="1272" t="n"/>
      <c r="F74" s="1272" t="n"/>
      <c r="G74" s="701" t="n"/>
      <c r="H74" s="1440" t="n"/>
      <c r="I74" s="1272" t="n"/>
      <c r="J74" s="1277" t="n"/>
    </row>
    <row r="75" ht="13.55" customHeight="1" s="1676">
      <c r="A75" s="1304" t="n"/>
      <c r="B75" s="1272" t="n"/>
      <c r="C75" s="1272" t="n"/>
      <c r="D75" s="1272" t="n"/>
      <c r="E75" s="1272" t="n"/>
      <c r="F75" s="1272" t="n"/>
      <c r="G75" s="701" t="n"/>
      <c r="H75" s="1440" t="n"/>
      <c r="I75" s="1272" t="n"/>
      <c r="J75" s="1277" t="n"/>
    </row>
    <row r="76" ht="13.55" customHeight="1" s="1676">
      <c r="A76" s="1304" t="n"/>
      <c r="B76" s="1272" t="n"/>
      <c r="C76" s="1272" t="n"/>
      <c r="D76" s="1272" t="n"/>
      <c r="E76" s="1272" t="n"/>
      <c r="F76" s="1272" t="n"/>
      <c r="G76" s="701" t="n"/>
      <c r="H76" s="1440" t="n"/>
      <c r="I76" s="1272" t="n"/>
      <c r="J76" s="1277" t="n"/>
    </row>
    <row r="77" ht="13.55" customHeight="1" s="1676">
      <c r="A77" s="1304" t="n"/>
      <c r="B77" s="1272" t="n"/>
      <c r="C77" s="1272" t="n"/>
      <c r="D77" s="1272" t="n"/>
      <c r="E77" s="1272" t="n"/>
      <c r="F77" s="1272" t="n"/>
      <c r="G77" s="701" t="n"/>
      <c r="H77" s="1440" t="n"/>
      <c r="I77" s="1272" t="n"/>
      <c r="J77" s="1277" t="n"/>
    </row>
    <row r="78" ht="13.55" customHeight="1" s="1676">
      <c r="A78" s="1304" t="n"/>
      <c r="B78" s="1272" t="n"/>
      <c r="C78" s="1272" t="n"/>
      <c r="D78" s="1272" t="n"/>
      <c r="E78" s="1272" t="n"/>
      <c r="F78" s="1272" t="n"/>
      <c r="G78" s="701" t="n"/>
      <c r="H78" s="1440" t="n"/>
      <c r="I78" s="1272" t="n"/>
      <c r="J78" s="1277" t="n"/>
    </row>
    <row r="79" ht="13.55" customHeight="1" s="1676">
      <c r="A79" s="1304" t="n"/>
      <c r="B79" s="1272" t="n"/>
      <c r="C79" s="1272" t="n"/>
      <c r="D79" s="1272" t="n"/>
      <c r="E79" s="1272" t="n"/>
      <c r="F79" s="1272" t="n"/>
      <c r="G79" s="701" t="n"/>
      <c r="H79" s="1440" t="n"/>
      <c r="I79" s="1272" t="n"/>
      <c r="J79" s="1277" t="n"/>
    </row>
    <row r="80" ht="13.55" customHeight="1" s="1676">
      <c r="A80" s="1304" t="n"/>
      <c r="B80" s="1272" t="n"/>
      <c r="C80" s="1272" t="n"/>
      <c r="D80" s="1272" t="n"/>
      <c r="E80" s="1272" t="n"/>
      <c r="F80" s="1272" t="n"/>
      <c r="G80" s="701" t="n"/>
      <c r="H80" s="1440" t="n"/>
      <c r="I80" s="1272" t="n"/>
      <c r="J80" s="1277" t="n"/>
    </row>
    <row r="81" ht="13.55" customHeight="1" s="1676">
      <c r="A81" s="1304" t="n"/>
      <c r="B81" s="1272" t="n"/>
      <c r="C81" s="1272" t="n"/>
      <c r="D81" s="1272" t="n"/>
      <c r="E81" s="1272" t="n"/>
      <c r="F81" s="1272" t="n"/>
      <c r="G81" s="701" t="n"/>
      <c r="H81" s="1440" t="n"/>
      <c r="I81" s="1272" t="n"/>
      <c r="J81" s="1277" t="n"/>
    </row>
    <row r="82" ht="13.55" customHeight="1" s="1676">
      <c r="A82" s="1304" t="n"/>
      <c r="B82" s="1272" t="n"/>
      <c r="C82" s="1272" t="n"/>
      <c r="D82" s="1272" t="n"/>
      <c r="E82" s="1272" t="n"/>
      <c r="F82" s="1272" t="n"/>
      <c r="G82" s="701" t="n"/>
      <c r="H82" s="1440" t="n"/>
      <c r="I82" s="1272" t="n"/>
      <c r="J82" s="1277" t="n"/>
    </row>
    <row r="83" ht="13.55" customHeight="1" s="1676">
      <c r="A83" s="1304" t="n"/>
      <c r="B83" s="1272" t="n"/>
      <c r="C83" s="1272" t="n"/>
      <c r="D83" s="1272" t="n"/>
      <c r="E83" s="1272" t="n"/>
      <c r="F83" s="1272" t="n"/>
      <c r="G83" s="701" t="n"/>
      <c r="H83" s="1440" t="n"/>
      <c r="I83" s="1272" t="n"/>
      <c r="J83" s="1277" t="n"/>
    </row>
    <row r="84" ht="13.55" customHeight="1" s="1676">
      <c r="A84" s="1304" t="n"/>
      <c r="B84" s="1272" t="n"/>
      <c r="C84" s="1272" t="n"/>
      <c r="D84" s="1272" t="n"/>
      <c r="E84" s="1272" t="n"/>
      <c r="F84" s="1272" t="n"/>
      <c r="G84" s="701" t="n"/>
      <c r="H84" s="1440" t="n"/>
      <c r="I84" s="1272" t="n"/>
      <c r="J84" s="1277" t="n"/>
    </row>
    <row r="85" ht="13.55" customHeight="1" s="1676">
      <c r="A85" s="1304" t="n"/>
      <c r="B85" s="1272" t="n"/>
      <c r="C85" s="1272" t="n"/>
      <c r="D85" s="1272" t="n"/>
      <c r="E85" s="1272" t="n"/>
      <c r="F85" s="1272" t="n"/>
      <c r="G85" s="701" t="n"/>
      <c r="H85" s="1440" t="n"/>
      <c r="I85" s="1272" t="n"/>
      <c r="J85" s="1277" t="n"/>
    </row>
    <row r="86" ht="13.55" customHeight="1" s="1676">
      <c r="A86" s="1304" t="n"/>
      <c r="B86" s="1272" t="n"/>
      <c r="C86" s="1272" t="n"/>
      <c r="D86" s="1272" t="n"/>
      <c r="E86" s="1272" t="n"/>
      <c r="F86" s="1272" t="n"/>
      <c r="G86" s="701" t="n"/>
      <c r="H86" s="1440" t="n"/>
      <c r="I86" s="1272" t="n"/>
      <c r="J86" s="1277" t="n"/>
    </row>
    <row r="87" ht="13.55" customHeight="1" s="1676">
      <c r="A87" s="1304" t="n"/>
      <c r="B87" s="1272" t="n"/>
      <c r="C87" s="1272" t="n"/>
      <c r="D87" s="1272" t="n"/>
      <c r="E87" s="1272" t="n"/>
      <c r="F87" s="1272" t="n"/>
      <c r="G87" s="701" t="n"/>
      <c r="H87" s="1440" t="n"/>
      <c r="I87" s="1272" t="n"/>
      <c r="J87" s="1277" t="n"/>
    </row>
    <row r="88" ht="13.55" customHeight="1" s="1676">
      <c r="A88" s="1304" t="n"/>
      <c r="B88" s="1272" t="n"/>
      <c r="C88" s="1272" t="n"/>
      <c r="D88" s="1272" t="n"/>
      <c r="E88" s="1272" t="n"/>
      <c r="F88" s="1272" t="n"/>
      <c r="G88" s="701" t="n"/>
      <c r="H88" s="1440" t="n"/>
      <c r="I88" s="1272" t="n"/>
      <c r="J88" s="1277" t="n"/>
    </row>
    <row r="89" ht="13.55" customHeight="1" s="1676">
      <c r="A89" s="1304" t="n"/>
      <c r="B89" s="1272" t="n"/>
      <c r="C89" s="1272" t="n"/>
      <c r="D89" s="1272" t="n"/>
      <c r="E89" s="1272" t="n"/>
      <c r="F89" s="1272" t="n"/>
      <c r="G89" s="701" t="n"/>
      <c r="H89" s="1440" t="n"/>
      <c r="I89" s="1272" t="n"/>
      <c r="J89" s="1277" t="n"/>
    </row>
    <row r="90" ht="13.55" customHeight="1" s="1676">
      <c r="A90" s="1304" t="n"/>
      <c r="B90" s="1272" t="n"/>
      <c r="C90" s="1272" t="n"/>
      <c r="D90" s="1272" t="n"/>
      <c r="E90" s="1272" t="n"/>
      <c r="F90" s="1272" t="n"/>
      <c r="G90" s="701" t="n"/>
      <c r="H90" s="1440" t="n"/>
      <c r="I90" s="1272" t="n"/>
      <c r="J90" s="1277" t="n"/>
    </row>
    <row r="91" ht="13.55" customHeight="1" s="1676">
      <c r="A91" s="1304" t="n"/>
      <c r="B91" s="1272" t="n"/>
      <c r="C91" s="1272" t="n"/>
      <c r="D91" s="1272" t="n"/>
      <c r="E91" s="1272" t="n"/>
      <c r="F91" s="1272" t="n"/>
      <c r="G91" s="701" t="n"/>
      <c r="H91" s="1440" t="n"/>
      <c r="I91" s="1272" t="n"/>
      <c r="J91" s="1277" t="n"/>
    </row>
    <row r="92" ht="13.55" customHeight="1" s="1676">
      <c r="A92" s="1304" t="n"/>
      <c r="B92" s="1272" t="n"/>
      <c r="C92" s="1272" t="n"/>
      <c r="D92" s="1272" t="n"/>
      <c r="E92" s="1272" t="n"/>
      <c r="F92" s="1272" t="n"/>
      <c r="G92" s="701" t="n"/>
      <c r="H92" s="1440" t="n"/>
      <c r="I92" s="1272" t="n"/>
      <c r="J92" s="1277" t="n"/>
    </row>
    <row r="93" ht="13.55" customHeight="1" s="1676">
      <c r="A93" s="1304" t="n"/>
      <c r="B93" s="1272" t="n"/>
      <c r="C93" s="1272" t="n"/>
      <c r="D93" s="1272" t="n"/>
      <c r="E93" s="1272" t="n"/>
      <c r="F93" s="1272" t="n"/>
      <c r="G93" s="701" t="n"/>
      <c r="H93" s="1440" t="n"/>
      <c r="I93" s="1272" t="n"/>
      <c r="J93" s="1277" t="n"/>
    </row>
    <row r="94" ht="13.55" customHeight="1" s="1676">
      <c r="A94" s="1304" t="n"/>
      <c r="B94" s="1272" t="n"/>
      <c r="C94" s="1272" t="n"/>
      <c r="D94" s="1272" t="n"/>
      <c r="E94" s="1272" t="n"/>
      <c r="F94" s="1272" t="n"/>
      <c r="G94" s="701" t="n"/>
      <c r="H94" s="1440" t="n"/>
      <c r="I94" s="1272" t="n"/>
      <c r="J94" s="1277" t="n"/>
    </row>
    <row r="95" ht="13.55" customHeight="1" s="1676">
      <c r="A95" s="1304" t="n"/>
      <c r="B95" s="1272" t="n"/>
      <c r="C95" s="1272" t="n"/>
      <c r="D95" s="1272" t="n"/>
      <c r="E95" s="1272" t="n"/>
      <c r="F95" s="1272" t="n"/>
      <c r="G95" s="701" t="n"/>
      <c r="H95" s="1440" t="n"/>
      <c r="I95" s="1272" t="n"/>
      <c r="J95" s="1277" t="n"/>
    </row>
    <row r="96" ht="13.55" customHeight="1" s="1676">
      <c r="A96" s="1304" t="n"/>
      <c r="B96" s="1272" t="n"/>
      <c r="C96" s="1272" t="n"/>
      <c r="D96" s="1272" t="n"/>
      <c r="E96" s="1272" t="n"/>
      <c r="F96" s="1272" t="n"/>
      <c r="G96" s="701" t="n"/>
      <c r="H96" s="1440" t="n"/>
      <c r="I96" s="1272" t="n"/>
      <c r="J96" s="1277" t="n"/>
    </row>
    <row r="97" ht="13.55" customHeight="1" s="1676">
      <c r="A97" s="1304" t="n"/>
      <c r="B97" s="1272" t="n"/>
      <c r="C97" s="1272" t="n"/>
      <c r="D97" s="1272" t="n"/>
      <c r="E97" s="1272" t="n"/>
      <c r="F97" s="1272" t="n"/>
      <c r="G97" s="701" t="n"/>
      <c r="H97" s="1440" t="n"/>
      <c r="I97" s="1272" t="n"/>
      <c r="J97" s="1277" t="n"/>
    </row>
    <row r="98" ht="13.55" customHeight="1" s="1676">
      <c r="A98" s="1304" t="n"/>
      <c r="B98" s="1272" t="n"/>
      <c r="C98" s="1272" t="n"/>
      <c r="D98" s="1272" t="n"/>
      <c r="E98" s="1272" t="n"/>
      <c r="F98" s="1272" t="n"/>
      <c r="G98" s="701" t="n"/>
      <c r="H98" s="1440" t="n"/>
      <c r="I98" s="1272" t="n"/>
      <c r="J98" s="1277" t="n"/>
    </row>
    <row r="99" ht="13.55" customHeight="1" s="1676">
      <c r="A99" s="1304" t="n"/>
      <c r="B99" s="1272" t="n"/>
      <c r="C99" s="1272" t="n"/>
      <c r="D99" s="1272" t="n"/>
      <c r="E99" s="1272" t="n"/>
      <c r="F99" s="1272" t="n"/>
      <c r="G99" s="701" t="n"/>
      <c r="H99" s="1440" t="n"/>
      <c r="I99" s="1272" t="n"/>
      <c r="J99" s="1277" t="n"/>
    </row>
    <row r="100" ht="13.55" customHeight="1" s="1676">
      <c r="A100" s="1304" t="n"/>
      <c r="B100" s="1272" t="n"/>
      <c r="C100" s="1272" t="n"/>
      <c r="D100" s="1272" t="n"/>
      <c r="E100" s="1272" t="n"/>
      <c r="F100" s="1272" t="n"/>
      <c r="G100" s="701" t="n"/>
      <c r="H100" s="1440" t="n"/>
      <c r="I100" s="1272" t="n"/>
      <c r="J100" s="1277" t="n"/>
    </row>
    <row r="101" ht="13.55" customHeight="1" s="1676">
      <c r="A101" s="1304" t="n"/>
      <c r="B101" s="1272" t="n"/>
      <c r="C101" s="1272" t="n"/>
      <c r="D101" s="1272" t="n"/>
      <c r="E101" s="1272" t="n"/>
      <c r="F101" s="1272" t="n"/>
      <c r="G101" s="701" t="n"/>
      <c r="H101" s="1440" t="n"/>
      <c r="I101" s="1272" t="n"/>
      <c r="J101" s="1277" t="n"/>
    </row>
    <row r="102" ht="13.55" customHeight="1" s="1676">
      <c r="A102" s="1304" t="n"/>
      <c r="B102" s="1272" t="n"/>
      <c r="C102" s="1272" t="n"/>
      <c r="D102" s="1272" t="n"/>
      <c r="E102" s="1272" t="n"/>
      <c r="F102" s="1272" t="n"/>
      <c r="G102" s="701" t="n"/>
      <c r="H102" s="1440" t="n"/>
      <c r="I102" s="1272" t="n"/>
      <c r="J102" s="1277" t="n"/>
    </row>
    <row r="103" ht="13.55" customHeight="1" s="1676">
      <c r="A103" s="1304" t="n"/>
      <c r="B103" s="1272" t="n"/>
      <c r="C103" s="1272" t="n"/>
      <c r="D103" s="1272" t="n"/>
      <c r="E103" s="1272" t="n"/>
      <c r="F103" s="1272" t="n"/>
      <c r="G103" s="701" t="n"/>
      <c r="H103" s="1440" t="n"/>
      <c r="I103" s="1272" t="n"/>
      <c r="J103" s="1277" t="n"/>
    </row>
    <row r="104" ht="13.55" customHeight="1" s="1676">
      <c r="A104" s="1304" t="n"/>
      <c r="B104" s="1272" t="n"/>
      <c r="C104" s="1272" t="n"/>
      <c r="D104" s="1272" t="n"/>
      <c r="E104" s="1272" t="n"/>
      <c r="F104" s="1272" t="n"/>
      <c r="G104" s="701" t="n"/>
      <c r="H104" s="1440" t="n"/>
      <c r="I104" s="1272" t="n"/>
      <c r="J104" s="1277" t="n"/>
    </row>
    <row r="105" ht="13.55" customHeight="1" s="1676">
      <c r="A105" s="1304" t="n"/>
      <c r="B105" s="1272" t="n"/>
      <c r="C105" s="1272" t="n"/>
      <c r="D105" s="1272" t="n"/>
      <c r="E105" s="1272" t="n"/>
      <c r="F105" s="1272" t="n"/>
      <c r="G105" s="701" t="n"/>
      <c r="H105" s="1440" t="n"/>
      <c r="I105" s="1272" t="n"/>
      <c r="J105" s="1277" t="n"/>
    </row>
    <row r="106" ht="13.55" customHeight="1" s="1676">
      <c r="A106" s="1304" t="n"/>
      <c r="B106" s="1272" t="n"/>
      <c r="C106" s="1272" t="n"/>
      <c r="D106" s="1272" t="n"/>
      <c r="E106" s="1272" t="n"/>
      <c r="F106" s="1272" t="n"/>
      <c r="G106" s="701" t="n"/>
      <c r="H106" s="1440" t="n"/>
      <c r="I106" s="1272" t="n"/>
      <c r="J106" s="1277" t="n"/>
    </row>
    <row r="107" ht="13.55" customHeight="1" s="1676">
      <c r="A107" s="1304" t="n"/>
      <c r="B107" s="1272" t="n"/>
      <c r="C107" s="1272" t="n"/>
      <c r="D107" s="1272" t="n"/>
      <c r="E107" s="1272" t="n"/>
      <c r="F107" s="1272" t="n"/>
      <c r="G107" s="701" t="n"/>
      <c r="H107" s="1440" t="n"/>
      <c r="I107" s="1272" t="n"/>
      <c r="J107" s="1277" t="n"/>
    </row>
    <row r="108" ht="13.55" customHeight="1" s="1676">
      <c r="A108" s="1304" t="n"/>
      <c r="B108" s="1272" t="n"/>
      <c r="C108" s="1272" t="n"/>
      <c r="D108" s="1272" t="n"/>
      <c r="E108" s="1272" t="n"/>
      <c r="F108" s="1272" t="n"/>
      <c r="G108" s="701" t="n"/>
      <c r="H108" s="1440" t="n"/>
      <c r="I108" s="1272" t="n"/>
      <c r="J108" s="1277" t="n"/>
    </row>
    <row r="109" ht="13.55" customHeight="1" s="1676">
      <c r="A109" s="1304" t="n"/>
      <c r="B109" s="1272" t="n"/>
      <c r="C109" s="1272" t="n"/>
      <c r="D109" s="1272" t="n"/>
      <c r="E109" s="1272" t="n"/>
      <c r="F109" s="1272" t="n"/>
      <c r="G109" s="701" t="n"/>
      <c r="H109" s="1440" t="n"/>
      <c r="I109" s="1272" t="n"/>
      <c r="J109" s="1277" t="n"/>
    </row>
    <row r="110" ht="13.55" customHeight="1" s="1676">
      <c r="A110" s="1304" t="n"/>
      <c r="B110" s="1272" t="n"/>
      <c r="C110" s="1272" t="n"/>
      <c r="D110" s="1272" t="n"/>
      <c r="E110" s="1272" t="n"/>
      <c r="F110" s="1272" t="n"/>
      <c r="G110" s="701" t="n"/>
      <c r="H110" s="1440" t="n"/>
      <c r="I110" s="1272" t="n"/>
      <c r="J110" s="1277" t="n"/>
    </row>
    <row r="111" ht="13.55" customHeight="1" s="1676">
      <c r="A111" s="1304" t="n"/>
      <c r="B111" s="1272" t="n"/>
      <c r="C111" s="1272" t="n"/>
      <c r="D111" s="1272" t="n"/>
      <c r="E111" s="1272" t="n"/>
      <c r="F111" s="1272" t="n"/>
      <c r="G111" s="701" t="n"/>
      <c r="H111" s="1440" t="n"/>
      <c r="I111" s="1272" t="n"/>
      <c r="J111" s="1277" t="n"/>
    </row>
    <row r="112" ht="13.55" customHeight="1" s="1676">
      <c r="A112" s="1304" t="n"/>
      <c r="B112" s="1272" t="n"/>
      <c r="C112" s="1272" t="n"/>
      <c r="D112" s="1272" t="n"/>
      <c r="E112" s="1272" t="n"/>
      <c r="F112" s="1272" t="n"/>
      <c r="G112" s="701" t="n"/>
      <c r="H112" s="1440" t="n"/>
      <c r="I112" s="1272" t="n"/>
      <c r="J112" s="1277" t="n"/>
    </row>
    <row r="113" ht="13.55" customHeight="1" s="1676">
      <c r="A113" s="1304" t="n"/>
      <c r="B113" s="1272" t="n"/>
      <c r="C113" s="1272" t="n"/>
      <c r="D113" s="1272" t="n"/>
      <c r="E113" s="1272" t="n"/>
      <c r="F113" s="1272" t="n"/>
      <c r="G113" s="701" t="n"/>
      <c r="H113" s="1440" t="n"/>
      <c r="I113" s="1272" t="n"/>
      <c r="J113" s="1277" t="n"/>
    </row>
    <row r="114" ht="13.55" customHeight="1" s="1676">
      <c r="A114" s="1304" t="n"/>
      <c r="B114" s="1272" t="n"/>
      <c r="C114" s="1272" t="n"/>
      <c r="D114" s="1272" t="n"/>
      <c r="E114" s="1272" t="n"/>
      <c r="F114" s="1272" t="n"/>
      <c r="G114" s="701" t="n"/>
      <c r="H114" s="1440" t="n"/>
      <c r="I114" s="1272" t="n"/>
      <c r="J114" s="1277" t="n"/>
    </row>
    <row r="115" ht="13.55" customHeight="1" s="1676">
      <c r="A115" s="1304" t="n"/>
      <c r="B115" s="1272" t="n"/>
      <c r="C115" s="1272" t="n"/>
      <c r="D115" s="1272" t="n"/>
      <c r="E115" s="1272" t="n"/>
      <c r="F115" s="1272" t="n"/>
      <c r="G115" s="701" t="n"/>
      <c r="H115" s="1440" t="n"/>
      <c r="I115" s="1272" t="n"/>
      <c r="J115" s="1277" t="n"/>
    </row>
    <row r="116" ht="13.55" customHeight="1" s="1676">
      <c r="A116" s="1304" t="n"/>
      <c r="B116" s="1272" t="n"/>
      <c r="C116" s="1272" t="n"/>
      <c r="D116" s="1272" t="n"/>
      <c r="E116" s="1272" t="n"/>
      <c r="F116" s="1272" t="n"/>
      <c r="G116" s="701" t="n"/>
      <c r="H116" s="1440" t="n"/>
      <c r="I116" s="1272" t="n"/>
      <c r="J116" s="1277" t="n"/>
    </row>
    <row r="117" ht="13.55" customHeight="1" s="1676">
      <c r="A117" s="1304" t="n"/>
      <c r="B117" s="1272" t="n"/>
      <c r="C117" s="1272" t="n"/>
      <c r="D117" s="1272" t="n"/>
      <c r="E117" s="1272" t="n"/>
      <c r="F117" s="1272" t="n"/>
      <c r="G117" s="701" t="n"/>
      <c r="H117" s="1440" t="n"/>
      <c r="I117" s="1272" t="n"/>
      <c r="J117" s="1277" t="n"/>
    </row>
    <row r="118" ht="13.55" customHeight="1" s="1676">
      <c r="A118" s="1304" t="n"/>
      <c r="B118" s="1272" t="n"/>
      <c r="C118" s="1272" t="n"/>
      <c r="D118" s="1272" t="n"/>
      <c r="E118" s="1272" t="n"/>
      <c r="F118" s="1272" t="n"/>
      <c r="G118" s="701" t="n"/>
      <c r="H118" s="1440" t="n"/>
      <c r="I118" s="1272" t="n"/>
      <c r="J118" s="1277" t="n"/>
    </row>
    <row r="119" ht="13.55" customHeight="1" s="1676">
      <c r="A119" s="1304" t="n"/>
      <c r="B119" s="1272" t="n"/>
      <c r="C119" s="1272" t="n"/>
      <c r="D119" s="1272" t="n"/>
      <c r="E119" s="1272" t="n"/>
      <c r="F119" s="1272" t="n"/>
      <c r="G119" s="701" t="n"/>
      <c r="H119" s="1440" t="n"/>
      <c r="I119" s="1272" t="n"/>
      <c r="J119" s="1277" t="n"/>
    </row>
    <row r="120" ht="13.55" customHeight="1" s="1676">
      <c r="A120" s="1304" t="n"/>
      <c r="B120" s="1272" t="n"/>
      <c r="C120" s="1272" t="n"/>
      <c r="D120" s="1272" t="n"/>
      <c r="E120" s="1272" t="n"/>
      <c r="F120" s="1272" t="n"/>
      <c r="G120" s="701" t="n"/>
      <c r="H120" s="1440" t="n"/>
      <c r="I120" s="1272" t="n"/>
      <c r="J120" s="1277" t="n"/>
    </row>
    <row r="121" ht="13.55" customHeight="1" s="1676">
      <c r="A121" s="1304" t="n"/>
      <c r="B121" s="1272" t="n"/>
      <c r="C121" s="1272" t="n"/>
      <c r="D121" s="1272" t="n"/>
      <c r="E121" s="1272" t="n"/>
      <c r="F121" s="1272" t="n"/>
      <c r="G121" s="701" t="n"/>
      <c r="H121" s="1440" t="n"/>
      <c r="I121" s="1272" t="n"/>
      <c r="J121" s="1277" t="n"/>
    </row>
    <row r="122" ht="13.55" customHeight="1" s="1676">
      <c r="A122" s="1304" t="n"/>
      <c r="B122" s="1272" t="n"/>
      <c r="C122" s="1272" t="n"/>
      <c r="D122" s="1272" t="n"/>
      <c r="E122" s="1272" t="n"/>
      <c r="F122" s="1272" t="n"/>
      <c r="G122" s="701" t="n"/>
      <c r="H122" s="1440" t="n"/>
      <c r="I122" s="1272" t="n"/>
      <c r="J122" s="1277" t="n"/>
    </row>
    <row r="123" ht="13.55" customHeight="1" s="1676">
      <c r="A123" s="1304" t="n"/>
      <c r="B123" s="1272" t="n"/>
      <c r="C123" s="1272" t="n"/>
      <c r="D123" s="1272" t="n"/>
      <c r="E123" s="1272" t="n"/>
      <c r="F123" s="1272" t="n"/>
      <c r="G123" s="701" t="n"/>
      <c r="H123" s="1440" t="n"/>
      <c r="I123" s="1272" t="n"/>
      <c r="J123" s="1277" t="n"/>
    </row>
    <row r="124" ht="13.55" customHeight="1" s="1676">
      <c r="A124" s="1304" t="n"/>
      <c r="B124" s="1272" t="n"/>
      <c r="C124" s="1272" t="n"/>
      <c r="D124" s="1272" t="n"/>
      <c r="E124" s="1272" t="n"/>
      <c r="F124" s="1272" t="n"/>
      <c r="G124" s="701" t="n"/>
      <c r="H124" s="1440" t="n"/>
      <c r="I124" s="1272" t="n"/>
      <c r="J124" s="1277" t="n"/>
    </row>
    <row r="125" ht="13.55" customHeight="1" s="1676">
      <c r="A125" s="1304" t="n"/>
      <c r="B125" s="1272" t="n"/>
      <c r="C125" s="1272" t="n"/>
      <c r="D125" s="1272" t="n"/>
      <c r="E125" s="1272" t="n"/>
      <c r="F125" s="1272" t="n"/>
      <c r="G125" s="701" t="n"/>
      <c r="H125" s="1440" t="n"/>
      <c r="I125" s="1272" t="n"/>
      <c r="J125" s="1277" t="n"/>
    </row>
    <row r="126" ht="13.55" customHeight="1" s="1676">
      <c r="A126" s="1304" t="n"/>
      <c r="B126" s="1272" t="n"/>
      <c r="C126" s="1272" t="n"/>
      <c r="D126" s="1272" t="n"/>
      <c r="E126" s="1272" t="n"/>
      <c r="F126" s="1272" t="n"/>
      <c r="G126" s="701" t="n"/>
      <c r="H126" s="1440" t="n"/>
      <c r="I126" s="1272" t="n"/>
      <c r="J126" s="1277" t="n"/>
    </row>
    <row r="127" ht="13.55" customHeight="1" s="1676">
      <c r="A127" s="1304" t="n"/>
      <c r="B127" s="1272" t="n"/>
      <c r="C127" s="1272" t="n"/>
      <c r="D127" s="1272" t="n"/>
      <c r="E127" s="1272" t="n"/>
      <c r="F127" s="1272" t="n"/>
      <c r="G127" s="701" t="n"/>
      <c r="H127" s="1440" t="n"/>
      <c r="I127" s="1272" t="n"/>
      <c r="J127" s="1277" t="n"/>
    </row>
    <row r="128" ht="13.55" customHeight="1" s="1676">
      <c r="A128" s="1304" t="n"/>
      <c r="B128" s="1272" t="n"/>
      <c r="C128" s="1272" t="n"/>
      <c r="D128" s="1272" t="n"/>
      <c r="E128" s="1272" t="n"/>
      <c r="F128" s="1272" t="n"/>
      <c r="G128" s="701" t="n"/>
      <c r="H128" s="1440" t="n"/>
      <c r="I128" s="1272" t="n"/>
      <c r="J128" s="1277" t="n"/>
    </row>
    <row r="129" ht="13.55" customHeight="1" s="1676">
      <c r="A129" s="1304" t="n"/>
      <c r="B129" s="1272" t="n"/>
      <c r="C129" s="1272" t="n"/>
      <c r="D129" s="1272" t="n"/>
      <c r="E129" s="1272" t="n"/>
      <c r="F129" s="1272" t="n"/>
      <c r="G129" s="701" t="n"/>
      <c r="H129" s="1440" t="n"/>
      <c r="I129" s="1272" t="n"/>
      <c r="J129" s="1277" t="n"/>
    </row>
    <row r="130" ht="13.55" customHeight="1" s="1676">
      <c r="A130" s="1304" t="n"/>
      <c r="B130" s="1272" t="n"/>
      <c r="C130" s="1272" t="n"/>
      <c r="D130" s="1272" t="n"/>
      <c r="E130" s="1272" t="n"/>
      <c r="F130" s="1272" t="n"/>
      <c r="G130" s="701" t="n"/>
      <c r="H130" s="1440" t="n"/>
      <c r="I130" s="1272" t="n"/>
      <c r="J130" s="1277" t="n"/>
    </row>
    <row r="131" ht="13.55" customHeight="1" s="1676">
      <c r="A131" s="1304" t="n"/>
      <c r="B131" s="1272" t="n"/>
      <c r="C131" s="1272" t="n"/>
      <c r="D131" s="1272" t="n"/>
      <c r="E131" s="1272" t="n"/>
      <c r="F131" s="1272" t="n"/>
      <c r="G131" s="701" t="n"/>
      <c r="H131" s="1440" t="n"/>
      <c r="I131" s="1272" t="n"/>
      <c r="J131" s="1277" t="n"/>
    </row>
    <row r="132" ht="13.55" customHeight="1" s="1676">
      <c r="A132" s="1304" t="n"/>
      <c r="B132" s="1272" t="n"/>
      <c r="C132" s="1272" t="n"/>
      <c r="D132" s="1272" t="n"/>
      <c r="E132" s="1272" t="n"/>
      <c r="F132" s="1272" t="n"/>
      <c r="G132" s="701" t="n"/>
      <c r="H132" s="1440" t="n"/>
      <c r="I132" s="1272" t="n"/>
      <c r="J132" s="1277" t="n"/>
    </row>
    <row r="133" ht="13.55" customHeight="1" s="1676">
      <c r="A133" s="1304" t="n"/>
      <c r="B133" s="1272" t="n"/>
      <c r="C133" s="1272" t="n"/>
      <c r="D133" s="1272" t="n"/>
      <c r="E133" s="1272" t="n"/>
      <c r="F133" s="1272" t="n"/>
      <c r="G133" s="701" t="n"/>
      <c r="H133" s="1440" t="n"/>
      <c r="I133" s="1272" t="n"/>
      <c r="J133" s="1277" t="n"/>
    </row>
    <row r="134" ht="13.55" customHeight="1" s="1676">
      <c r="A134" s="1304" t="n"/>
      <c r="B134" s="1272" t="n"/>
      <c r="C134" s="1272" t="n"/>
      <c r="D134" s="1272" t="n"/>
      <c r="E134" s="1272" t="n"/>
      <c r="F134" s="1272" t="n"/>
      <c r="G134" s="701" t="n"/>
      <c r="H134" s="1440" t="n"/>
      <c r="I134" s="1272" t="n"/>
      <c r="J134" s="1277" t="n"/>
    </row>
    <row r="135" ht="13.55" customHeight="1" s="1676">
      <c r="A135" s="1304" t="n"/>
      <c r="B135" s="1272" t="n"/>
      <c r="C135" s="1272" t="n"/>
      <c r="D135" s="1272" t="n"/>
      <c r="E135" s="1272" t="n"/>
      <c r="F135" s="1272" t="n"/>
      <c r="G135" s="701" t="n"/>
      <c r="H135" s="1440" t="n"/>
      <c r="I135" s="1272" t="n"/>
      <c r="J135" s="1277" t="n"/>
    </row>
    <row r="136" ht="13.55" customHeight="1" s="1676">
      <c r="A136" s="1304" t="n"/>
      <c r="B136" s="1272" t="n"/>
      <c r="C136" s="1272" t="n"/>
      <c r="D136" s="1272" t="n"/>
      <c r="E136" s="1272" t="n"/>
      <c r="F136" s="1272" t="n"/>
      <c r="G136" s="701" t="n"/>
      <c r="H136" s="1440" t="n"/>
      <c r="I136" s="1272" t="n"/>
      <c r="J136" s="1277" t="n"/>
    </row>
    <row r="137" ht="13.55" customHeight="1" s="1676">
      <c r="A137" s="1304" t="n"/>
      <c r="B137" s="1272" t="n"/>
      <c r="C137" s="1272" t="n"/>
      <c r="D137" s="1272" t="n"/>
      <c r="E137" s="1272" t="n"/>
      <c r="F137" s="1272" t="n"/>
      <c r="G137" s="701" t="n"/>
      <c r="H137" s="1440" t="n"/>
      <c r="I137" s="1272" t="n"/>
      <c r="J137" s="1277" t="n"/>
    </row>
    <row r="138" ht="13.55" customHeight="1" s="1676">
      <c r="A138" s="1304" t="n"/>
      <c r="B138" s="1272" t="n"/>
      <c r="C138" s="1272" t="n"/>
      <c r="D138" s="1272" t="n"/>
      <c r="E138" s="1272" t="n"/>
      <c r="F138" s="1272" t="n"/>
      <c r="G138" s="701" t="n"/>
      <c r="H138" s="1440" t="n"/>
      <c r="I138" s="1272" t="n"/>
      <c r="J138" s="1277" t="n"/>
    </row>
    <row r="139" ht="13.55" customHeight="1" s="1676">
      <c r="A139" s="1304" t="n"/>
      <c r="B139" s="1272" t="n"/>
      <c r="C139" s="1272" t="n"/>
      <c r="D139" s="1272" t="n"/>
      <c r="E139" s="1272" t="n"/>
      <c r="F139" s="1272" t="n"/>
      <c r="G139" s="701" t="n"/>
      <c r="H139" s="1440" t="n"/>
      <c r="I139" s="1272" t="n"/>
      <c r="J139" s="1277" t="n"/>
    </row>
    <row r="140" ht="13.55" customHeight="1" s="1676">
      <c r="A140" s="1304" t="n"/>
      <c r="B140" s="1272" t="n"/>
      <c r="C140" s="1272" t="n"/>
      <c r="D140" s="1272" t="n"/>
      <c r="E140" s="1272" t="n"/>
      <c r="F140" s="1272" t="n"/>
      <c r="G140" s="701" t="n"/>
      <c r="H140" s="1440" t="n"/>
      <c r="I140" s="1272" t="n"/>
      <c r="J140" s="1277" t="n"/>
    </row>
    <row r="141" ht="13.55" customHeight="1" s="1676">
      <c r="A141" s="1304" t="n"/>
      <c r="B141" s="1272" t="n"/>
      <c r="C141" s="1272" t="n"/>
      <c r="D141" s="1272" t="n"/>
      <c r="E141" s="1272" t="n"/>
      <c r="F141" s="1272" t="n"/>
      <c r="G141" s="701" t="n"/>
      <c r="H141" s="1440" t="n"/>
      <c r="I141" s="1272" t="n"/>
      <c r="J141" s="1277" t="n"/>
    </row>
    <row r="142" ht="13.55" customHeight="1" s="1676">
      <c r="A142" s="1304" t="n"/>
      <c r="B142" s="1272" t="n"/>
      <c r="C142" s="1272" t="n"/>
      <c r="D142" s="1272" t="n"/>
      <c r="E142" s="1272" t="n"/>
      <c r="F142" s="1272" t="n"/>
      <c r="G142" s="701" t="n"/>
      <c r="H142" s="1440" t="n"/>
      <c r="I142" s="1272" t="n"/>
      <c r="J142" s="1277" t="n"/>
    </row>
    <row r="143" ht="13.55" customHeight="1" s="1676">
      <c r="A143" s="1304" t="n"/>
      <c r="B143" s="1272" t="n"/>
      <c r="C143" s="1272" t="n"/>
      <c r="D143" s="1272" t="n"/>
      <c r="E143" s="1272" t="n"/>
      <c r="F143" s="1272" t="n"/>
      <c r="G143" s="701" t="n"/>
      <c r="H143" s="1440" t="n"/>
      <c r="I143" s="1272" t="n"/>
      <c r="J143" s="1277" t="n"/>
    </row>
    <row r="144" ht="13.55" customHeight="1" s="1676">
      <c r="A144" s="1304" t="n"/>
      <c r="B144" s="1272" t="n"/>
      <c r="C144" s="1272" t="n"/>
      <c r="D144" s="1272" t="n"/>
      <c r="E144" s="1272" t="n"/>
      <c r="F144" s="1272" t="n"/>
      <c r="G144" s="701" t="n"/>
      <c r="H144" s="1440" t="n"/>
      <c r="I144" s="1272" t="n"/>
      <c r="J144" s="1277" t="n"/>
    </row>
    <row r="145" ht="13.55" customHeight="1" s="1676">
      <c r="A145" s="1304" t="n"/>
      <c r="B145" s="1272" t="n"/>
      <c r="C145" s="1272" t="n"/>
      <c r="D145" s="1272" t="n"/>
      <c r="E145" s="1272" t="n"/>
      <c r="F145" s="1272" t="n"/>
      <c r="G145" s="701" t="n"/>
      <c r="H145" s="1440" t="n"/>
      <c r="I145" s="1272" t="n"/>
      <c r="J145" s="1277" t="n"/>
    </row>
    <row r="146" ht="13.55" customHeight="1" s="1676">
      <c r="A146" s="1304" t="n"/>
      <c r="B146" s="1272" t="n"/>
      <c r="C146" s="1272" t="n"/>
      <c r="D146" s="1272" t="n"/>
      <c r="E146" s="1272" t="n"/>
      <c r="F146" s="1272" t="n"/>
      <c r="G146" s="701" t="n"/>
      <c r="H146" s="1440" t="n"/>
      <c r="I146" s="1272" t="n"/>
      <c r="J146" s="1277" t="n"/>
    </row>
    <row r="147" ht="13.55" customHeight="1" s="1676">
      <c r="A147" s="1304" t="n"/>
      <c r="B147" s="1272" t="n"/>
      <c r="C147" s="1272" t="n"/>
      <c r="D147" s="1272" t="n"/>
      <c r="E147" s="1272" t="n"/>
      <c r="F147" s="1272" t="n"/>
      <c r="G147" s="701" t="n"/>
      <c r="H147" s="1440" t="n"/>
      <c r="I147" s="1272" t="n"/>
      <c r="J147" s="1277" t="n"/>
    </row>
    <row r="148" ht="13.55" customHeight="1" s="1676">
      <c r="A148" s="1304" t="n"/>
      <c r="B148" s="1272" t="n"/>
      <c r="C148" s="1272" t="n"/>
      <c r="D148" s="1272" t="n"/>
      <c r="E148" s="1272" t="n"/>
      <c r="F148" s="1272" t="n"/>
      <c r="G148" s="701" t="n"/>
      <c r="H148" s="1440" t="n"/>
      <c r="I148" s="1272" t="n"/>
      <c r="J148" s="1277" t="n"/>
    </row>
    <row r="149" ht="13.55" customHeight="1" s="1676">
      <c r="A149" s="1304" t="n"/>
      <c r="B149" s="1272" t="n"/>
      <c r="C149" s="1272" t="n"/>
      <c r="D149" s="1272" t="n"/>
      <c r="E149" s="1272" t="n"/>
      <c r="F149" s="1272" t="n"/>
      <c r="G149" s="701" t="n"/>
      <c r="H149" s="1440" t="n"/>
      <c r="I149" s="1272" t="n"/>
      <c r="J149" s="1277" t="n"/>
    </row>
    <row r="150" ht="13.55" customHeight="1" s="1676">
      <c r="A150" s="1304" t="n"/>
      <c r="B150" s="1272" t="n"/>
      <c r="C150" s="1272" t="n"/>
      <c r="D150" s="1272" t="n"/>
      <c r="E150" s="1272" t="n"/>
      <c r="F150" s="1272" t="n"/>
      <c r="G150" s="701" t="n"/>
      <c r="H150" s="1440" t="n"/>
      <c r="I150" s="1272" t="n"/>
      <c r="J150" s="1277" t="n"/>
    </row>
    <row r="151" ht="13.55" customHeight="1" s="1676">
      <c r="A151" s="1304" t="n"/>
      <c r="B151" s="1272" t="n"/>
      <c r="C151" s="1272" t="n"/>
      <c r="D151" s="1272" t="n"/>
      <c r="E151" s="1272" t="n"/>
      <c r="F151" s="1272" t="n"/>
      <c r="G151" s="701" t="n"/>
      <c r="H151" s="1440" t="n"/>
      <c r="I151" s="1272" t="n"/>
      <c r="J151" s="1277" t="n"/>
    </row>
    <row r="152" ht="13.55" customHeight="1" s="1676">
      <c r="A152" s="1304" t="n"/>
      <c r="B152" s="1272" t="n"/>
      <c r="C152" s="1272" t="n"/>
      <c r="D152" s="1272" t="n"/>
      <c r="E152" s="1272" t="n"/>
      <c r="F152" s="1272" t="n"/>
      <c r="G152" s="701" t="n"/>
      <c r="H152" s="1440" t="n"/>
      <c r="I152" s="1272" t="n"/>
      <c r="J152" s="1277" t="n"/>
    </row>
    <row r="153" ht="13.55" customHeight="1" s="1676">
      <c r="A153" s="1304" t="n"/>
      <c r="B153" s="1272" t="n"/>
      <c r="C153" s="1272" t="n"/>
      <c r="D153" s="1272" t="n"/>
      <c r="E153" s="1272" t="n"/>
      <c r="F153" s="1272" t="n"/>
      <c r="G153" s="701" t="n"/>
      <c r="H153" s="1440" t="n"/>
      <c r="I153" s="1272" t="n"/>
      <c r="J153" s="1277" t="n"/>
    </row>
    <row r="154" ht="13.55" customHeight="1" s="1676">
      <c r="A154" s="1304" t="n"/>
      <c r="B154" s="1272" t="n"/>
      <c r="C154" s="1272" t="n"/>
      <c r="D154" s="1272" t="n"/>
      <c r="E154" s="1272" t="n"/>
      <c r="F154" s="1272" t="n"/>
      <c r="G154" s="701" t="n"/>
      <c r="H154" s="1440" t="n"/>
      <c r="I154" s="1272" t="n"/>
      <c r="J154" s="1277" t="n"/>
    </row>
    <row r="155" ht="13.55" customHeight="1" s="1676">
      <c r="A155" s="1304" t="n"/>
      <c r="B155" s="1272" t="n"/>
      <c r="C155" s="1272" t="n"/>
      <c r="D155" s="1272" t="n"/>
      <c r="E155" s="1272" t="n"/>
      <c r="F155" s="1272" t="n"/>
      <c r="G155" s="701" t="n"/>
      <c r="H155" s="1440" t="n"/>
      <c r="I155" s="1272" t="n"/>
      <c r="J155" s="1277" t="n"/>
    </row>
    <row r="156" ht="13.55" customHeight="1" s="1676">
      <c r="A156" s="1304" t="n"/>
      <c r="B156" s="1272" t="n"/>
      <c r="C156" s="1272" t="n"/>
      <c r="D156" s="1272" t="n"/>
      <c r="E156" s="1272" t="n"/>
      <c r="F156" s="1272" t="n"/>
      <c r="G156" s="701" t="n"/>
      <c r="H156" s="1440" t="n"/>
      <c r="I156" s="1272" t="n"/>
      <c r="J156" s="1277" t="n"/>
    </row>
    <row r="157" ht="13.55" customHeight="1" s="1676">
      <c r="A157" s="1304" t="n"/>
      <c r="B157" s="1272" t="n"/>
      <c r="C157" s="1272" t="n"/>
      <c r="D157" s="1272" t="n"/>
      <c r="E157" s="1272" t="n"/>
      <c r="F157" s="1272" t="n"/>
      <c r="G157" s="701" t="n"/>
      <c r="H157" s="1440" t="n"/>
      <c r="I157" s="1272" t="n"/>
      <c r="J157" s="1277" t="n"/>
    </row>
    <row r="158" ht="13.55" customHeight="1" s="1676">
      <c r="A158" s="1304" t="n"/>
      <c r="B158" s="1272" t="n"/>
      <c r="C158" s="1272" t="n"/>
      <c r="D158" s="1272" t="n"/>
      <c r="E158" s="1272" t="n"/>
      <c r="F158" s="1272" t="n"/>
      <c r="G158" s="701" t="n"/>
      <c r="H158" s="1440" t="n"/>
      <c r="I158" s="1272" t="n"/>
      <c r="J158" s="1277" t="n"/>
    </row>
    <row r="159" ht="13.55" customHeight="1" s="1676">
      <c r="A159" s="1304" t="n"/>
      <c r="B159" s="1272" t="n"/>
      <c r="C159" s="1272" t="n"/>
      <c r="D159" s="1272" t="n"/>
      <c r="E159" s="1272" t="n"/>
      <c r="F159" s="1272" t="n"/>
      <c r="G159" s="701" t="n"/>
      <c r="H159" s="1440" t="n"/>
      <c r="I159" s="1272" t="n"/>
      <c r="J159" s="1277" t="n"/>
    </row>
    <row r="160" ht="13.55" customHeight="1" s="1676">
      <c r="A160" s="1304" t="n"/>
      <c r="B160" s="1272" t="n"/>
      <c r="C160" s="1272" t="n"/>
      <c r="D160" s="1272" t="n"/>
      <c r="E160" s="1272" t="n"/>
      <c r="F160" s="1272" t="n"/>
      <c r="G160" s="701" t="n"/>
      <c r="H160" s="1440" t="n"/>
      <c r="I160" s="1272" t="n"/>
      <c r="J160" s="1277" t="n"/>
    </row>
    <row r="161" ht="13.55" customHeight="1" s="1676">
      <c r="A161" s="1304" t="n"/>
      <c r="B161" s="1272" t="n"/>
      <c r="C161" s="1272" t="n"/>
      <c r="D161" s="1272" t="n"/>
      <c r="E161" s="1272" t="n"/>
      <c r="F161" s="1272" t="n"/>
      <c r="G161" s="701" t="n"/>
      <c r="H161" s="1440" t="n"/>
      <c r="I161" s="1272" t="n"/>
      <c r="J161" s="1277" t="n"/>
    </row>
    <row r="162" ht="13.55" customHeight="1" s="1676">
      <c r="A162" s="1304" t="n"/>
      <c r="B162" s="1272" t="n"/>
      <c r="C162" s="1272" t="n"/>
      <c r="D162" s="1272" t="n"/>
      <c r="E162" s="1272" t="n"/>
      <c r="F162" s="1272" t="n"/>
      <c r="G162" s="701" t="n"/>
      <c r="H162" s="1440" t="n"/>
      <c r="I162" s="1272" t="n"/>
      <c r="J162" s="1277" t="n"/>
    </row>
    <row r="163" ht="13.55" customHeight="1" s="1676">
      <c r="A163" s="1304" t="n"/>
      <c r="B163" s="1272" t="n"/>
      <c r="C163" s="1272" t="n"/>
      <c r="D163" s="1272" t="n"/>
      <c r="E163" s="1272" t="n"/>
      <c r="F163" s="1272" t="n"/>
      <c r="G163" s="701" t="n"/>
      <c r="H163" s="1440" t="n"/>
      <c r="I163" s="1272" t="n"/>
      <c r="J163" s="1277" t="n"/>
    </row>
    <row r="164" ht="13.55" customHeight="1" s="1676">
      <c r="A164" s="1304" t="n"/>
      <c r="B164" s="1272" t="n"/>
      <c r="C164" s="1272" t="n"/>
      <c r="D164" s="1272" t="n"/>
      <c r="E164" s="1272" t="n"/>
      <c r="F164" s="1272" t="n"/>
      <c r="G164" s="701" t="n"/>
      <c r="H164" s="1440" t="n"/>
      <c r="I164" s="1272" t="n"/>
      <c r="J164" s="1277" t="n"/>
    </row>
    <row r="165" ht="13.55" customHeight="1" s="1676">
      <c r="A165" s="1304" t="n"/>
      <c r="B165" s="1272" t="n"/>
      <c r="C165" s="1272" t="n"/>
      <c r="D165" s="1272" t="n"/>
      <c r="E165" s="1272" t="n"/>
      <c r="F165" s="1272" t="n"/>
      <c r="G165" s="701" t="n"/>
      <c r="H165" s="1440" t="n"/>
      <c r="I165" s="1272" t="n"/>
      <c r="J165" s="1277" t="n"/>
    </row>
    <row r="166" ht="13.55" customHeight="1" s="1676">
      <c r="A166" s="1304" t="n"/>
      <c r="B166" s="1272" t="n"/>
      <c r="C166" s="1272" t="n"/>
      <c r="D166" s="1272" t="n"/>
      <c r="E166" s="1272" t="n"/>
      <c r="F166" s="1272" t="n"/>
      <c r="G166" s="701" t="n"/>
      <c r="H166" s="1440" t="n"/>
      <c r="I166" s="1272" t="n"/>
      <c r="J166" s="1277" t="n"/>
    </row>
    <row r="167" ht="13.55" customHeight="1" s="1676">
      <c r="A167" s="1304" t="n"/>
      <c r="B167" s="1272" t="n"/>
      <c r="C167" s="1272" t="n"/>
      <c r="D167" s="1272" t="n"/>
      <c r="E167" s="1272" t="n"/>
      <c r="F167" s="1272" t="n"/>
      <c r="G167" s="701" t="n"/>
      <c r="H167" s="1440" t="n"/>
      <c r="I167" s="1272" t="n"/>
      <c r="J167" s="1277" t="n"/>
    </row>
    <row r="168" ht="13.55" customHeight="1" s="1676">
      <c r="A168" s="1304" t="n"/>
      <c r="B168" s="1272" t="n"/>
      <c r="C168" s="1272" t="n"/>
      <c r="D168" s="1272" t="n"/>
      <c r="E168" s="1272" t="n"/>
      <c r="F168" s="1272" t="n"/>
      <c r="G168" s="701" t="n"/>
      <c r="H168" s="1440" t="n"/>
      <c r="I168" s="1272" t="n"/>
      <c r="J168" s="1277" t="n"/>
    </row>
    <row r="169" ht="13.55" customHeight="1" s="1676">
      <c r="A169" s="1304" t="n"/>
      <c r="B169" s="1272" t="n"/>
      <c r="C169" s="1272" t="n"/>
      <c r="D169" s="1272" t="n"/>
      <c r="E169" s="1272" t="n"/>
      <c r="F169" s="1272" t="n"/>
      <c r="G169" s="701" t="n"/>
      <c r="H169" s="1440" t="n"/>
      <c r="I169" s="1272" t="n"/>
      <c r="J169" s="1277" t="n"/>
    </row>
    <row r="170" ht="13.55" customHeight="1" s="1676">
      <c r="A170" s="1304" t="n"/>
      <c r="B170" s="1272" t="n"/>
      <c r="C170" s="1272" t="n"/>
      <c r="D170" s="1272" t="n"/>
      <c r="E170" s="1272" t="n"/>
      <c r="F170" s="1272" t="n"/>
      <c r="G170" s="701" t="n"/>
      <c r="H170" s="1440" t="n"/>
      <c r="I170" s="1272" t="n"/>
      <c r="J170" s="1277" t="n"/>
    </row>
    <row r="171" ht="13.55" customHeight="1" s="1676">
      <c r="A171" s="1304" t="n"/>
      <c r="B171" s="1272" t="n"/>
      <c r="C171" s="1272" t="n"/>
      <c r="D171" s="1272" t="n"/>
      <c r="E171" s="1272" t="n"/>
      <c r="F171" s="1272" t="n"/>
      <c r="G171" s="701" t="n"/>
      <c r="H171" s="1440" t="n"/>
      <c r="I171" s="1272" t="n"/>
      <c r="J171" s="1277" t="n"/>
    </row>
    <row r="172" ht="13.55" customHeight="1" s="1676">
      <c r="A172" s="1304" t="n"/>
      <c r="B172" s="1272" t="n"/>
      <c r="C172" s="1272" t="n"/>
      <c r="D172" s="1272" t="n"/>
      <c r="E172" s="1272" t="n"/>
      <c r="F172" s="1272" t="n"/>
      <c r="G172" s="701" t="n"/>
      <c r="H172" s="1440" t="n"/>
      <c r="I172" s="1272" t="n"/>
      <c r="J172" s="1277" t="n"/>
    </row>
    <row r="173" ht="13.55" customHeight="1" s="1676">
      <c r="A173" s="1304" t="n"/>
      <c r="B173" s="1272" t="n"/>
      <c r="C173" s="1272" t="n"/>
      <c r="D173" s="1272" t="n"/>
      <c r="E173" s="1272" t="n"/>
      <c r="F173" s="1272" t="n"/>
      <c r="G173" s="701" t="n"/>
      <c r="H173" s="1440" t="n"/>
      <c r="I173" s="1272" t="n"/>
      <c r="J173" s="1277" t="n"/>
    </row>
    <row r="174" ht="13.55" customHeight="1" s="1676">
      <c r="A174" s="1304" t="n"/>
      <c r="B174" s="1272" t="n"/>
      <c r="C174" s="1272" t="n"/>
      <c r="D174" s="1272" t="n"/>
      <c r="E174" s="1272" t="n"/>
      <c r="F174" s="1272" t="n"/>
      <c r="G174" s="701" t="n"/>
      <c r="H174" s="1440" t="n"/>
      <c r="I174" s="1272" t="n"/>
      <c r="J174" s="1277" t="n"/>
    </row>
    <row r="175" ht="13.55" customHeight="1" s="1676">
      <c r="A175" s="1304" t="n"/>
      <c r="B175" s="1272" t="n"/>
      <c r="C175" s="1272" t="n"/>
      <c r="D175" s="1272" t="n"/>
      <c r="E175" s="1272" t="n"/>
      <c r="F175" s="1272" t="n"/>
      <c r="G175" s="701" t="n"/>
      <c r="H175" s="1440" t="n"/>
      <c r="I175" s="1272" t="n"/>
      <c r="J175" s="1277" t="n"/>
    </row>
    <row r="176" ht="13.55" customHeight="1" s="1676">
      <c r="A176" s="1304" t="n"/>
      <c r="B176" s="1272" t="n"/>
      <c r="C176" s="1272" t="n"/>
      <c r="D176" s="1272" t="n"/>
      <c r="E176" s="1272" t="n"/>
      <c r="F176" s="1272" t="n"/>
      <c r="G176" s="701" t="n"/>
      <c r="H176" s="1440" t="n"/>
      <c r="I176" s="1272" t="n"/>
      <c r="J176" s="1277" t="n"/>
    </row>
    <row r="177" ht="13.55" customHeight="1" s="1676">
      <c r="A177" s="1304" t="n"/>
      <c r="B177" s="1272" t="n"/>
      <c r="C177" s="1272" t="n"/>
      <c r="D177" s="1272" t="n"/>
      <c r="E177" s="1272" t="n"/>
      <c r="F177" s="1272" t="n"/>
      <c r="G177" s="701" t="n"/>
      <c r="H177" s="1440" t="n"/>
      <c r="I177" s="1272" t="n"/>
      <c r="J177" s="1277" t="n"/>
    </row>
    <row r="178" ht="13.55" customHeight="1" s="1676">
      <c r="A178" s="1304" t="n"/>
      <c r="B178" s="1272" t="n"/>
      <c r="C178" s="1272" t="n"/>
      <c r="D178" s="1272" t="n"/>
      <c r="E178" s="1272" t="n"/>
      <c r="F178" s="1272" t="n"/>
      <c r="G178" s="701" t="n"/>
      <c r="H178" s="1440" t="n"/>
      <c r="I178" s="1272" t="n"/>
      <c r="J178" s="1277" t="n"/>
    </row>
    <row r="179" ht="13.55" customHeight="1" s="1676">
      <c r="A179" s="1304" t="n"/>
      <c r="B179" s="1272" t="n"/>
      <c r="C179" s="1272" t="n"/>
      <c r="D179" s="1272" t="n"/>
      <c r="E179" s="1272" t="n"/>
      <c r="F179" s="1272" t="n"/>
      <c r="G179" s="701" t="n"/>
      <c r="H179" s="1440" t="n"/>
      <c r="I179" s="1272" t="n"/>
      <c r="J179" s="1277" t="n"/>
    </row>
    <row r="180" ht="13.55" customHeight="1" s="1676">
      <c r="A180" s="1304" t="n"/>
      <c r="B180" s="1272" t="n"/>
      <c r="C180" s="1272" t="n"/>
      <c r="D180" s="1272" t="n"/>
      <c r="E180" s="1272" t="n"/>
      <c r="F180" s="1272" t="n"/>
      <c r="G180" s="701" t="n"/>
      <c r="H180" s="1440" t="n"/>
      <c r="I180" s="1272" t="n"/>
      <c r="J180" s="1277" t="n"/>
    </row>
    <row r="181" ht="13.55" customHeight="1" s="1676">
      <c r="A181" s="1304" t="n"/>
      <c r="B181" s="1272" t="n"/>
      <c r="C181" s="1272" t="n"/>
      <c r="D181" s="1272" t="n"/>
      <c r="E181" s="1272" t="n"/>
      <c r="F181" s="1272" t="n"/>
      <c r="G181" s="701" t="n"/>
      <c r="H181" s="1440" t="n"/>
      <c r="I181" s="1272" t="n"/>
      <c r="J181" s="1277" t="n"/>
    </row>
    <row r="182" ht="13.55" customHeight="1" s="1676">
      <c r="A182" s="1304" t="n"/>
      <c r="B182" s="1272" t="n"/>
      <c r="C182" s="1272" t="n"/>
      <c r="D182" s="1272" t="n"/>
      <c r="E182" s="1272" t="n"/>
      <c r="F182" s="1272" t="n"/>
      <c r="G182" s="701" t="n"/>
      <c r="H182" s="1440" t="n"/>
      <c r="I182" s="1272" t="n"/>
      <c r="J182" s="1277" t="n"/>
    </row>
    <row r="183" ht="13.55" customHeight="1" s="1676">
      <c r="A183" s="1304" t="n"/>
      <c r="B183" s="1272" t="n"/>
      <c r="C183" s="1272" t="n"/>
      <c r="D183" s="1272" t="n"/>
      <c r="E183" s="1272" t="n"/>
      <c r="F183" s="1272" t="n"/>
      <c r="G183" s="701" t="n"/>
      <c r="H183" s="1440" t="n"/>
      <c r="I183" s="1272" t="n"/>
      <c r="J183" s="1277" t="n"/>
    </row>
    <row r="184" ht="13.55" customHeight="1" s="1676">
      <c r="A184" s="1304" t="n"/>
      <c r="B184" s="1272" t="n"/>
      <c r="C184" s="1272" t="n"/>
      <c r="D184" s="1272" t="n"/>
      <c r="E184" s="1272" t="n"/>
      <c r="F184" s="1272" t="n"/>
      <c r="G184" s="701" t="n"/>
      <c r="H184" s="1440" t="n"/>
      <c r="I184" s="1272" t="n"/>
      <c r="J184" s="1277" t="n"/>
    </row>
    <row r="185" ht="13.55" customHeight="1" s="1676">
      <c r="A185" s="1304" t="n"/>
      <c r="B185" s="1272" t="n"/>
      <c r="C185" s="1272" t="n"/>
      <c r="D185" s="1272" t="n"/>
      <c r="E185" s="1272" t="n"/>
      <c r="F185" s="1272" t="n"/>
      <c r="G185" s="701" t="n"/>
      <c r="H185" s="1440" t="n"/>
      <c r="I185" s="1272" t="n"/>
      <c r="J185" s="1277" t="n"/>
    </row>
    <row r="186" ht="13.55" customHeight="1" s="1676">
      <c r="A186" s="1304" t="n"/>
      <c r="B186" s="1272" t="n"/>
      <c r="C186" s="1272" t="n"/>
      <c r="D186" s="1272" t="n"/>
      <c r="E186" s="1272" t="n"/>
      <c r="F186" s="1272" t="n"/>
      <c r="G186" s="701" t="n"/>
      <c r="H186" s="1440" t="n"/>
      <c r="I186" s="1272" t="n"/>
      <c r="J186" s="1277" t="n"/>
    </row>
    <row r="187" ht="13.55" customHeight="1" s="1676">
      <c r="A187" s="1304" t="n"/>
      <c r="B187" s="1272" t="n"/>
      <c r="C187" s="1272" t="n"/>
      <c r="D187" s="1272" t="n"/>
      <c r="E187" s="1272" t="n"/>
      <c r="F187" s="1272" t="n"/>
      <c r="G187" s="701" t="n"/>
      <c r="H187" s="1440" t="n"/>
      <c r="I187" s="1272" t="n"/>
      <c r="J187" s="1277" t="n"/>
    </row>
    <row r="188" ht="13.55" customHeight="1" s="1676">
      <c r="A188" s="1304" t="n"/>
      <c r="B188" s="1272" t="n"/>
      <c r="C188" s="1272" t="n"/>
      <c r="D188" s="1272" t="n"/>
      <c r="E188" s="1272" t="n"/>
      <c r="F188" s="1272" t="n"/>
      <c r="G188" s="701" t="n"/>
      <c r="H188" s="1440" t="n"/>
      <c r="I188" s="1272" t="n"/>
      <c r="J188" s="1277" t="n"/>
    </row>
    <row r="189" ht="13.55" customHeight="1" s="1676">
      <c r="A189" s="1304" t="n"/>
      <c r="B189" s="1272" t="n"/>
      <c r="C189" s="1272" t="n"/>
      <c r="D189" s="1272" t="n"/>
      <c r="E189" s="1272" t="n"/>
      <c r="F189" s="1272" t="n"/>
      <c r="G189" s="701" t="n"/>
      <c r="H189" s="1440" t="n"/>
      <c r="I189" s="1272" t="n"/>
      <c r="J189" s="1277" t="n"/>
    </row>
    <row r="190" ht="13.55" customHeight="1" s="1676">
      <c r="A190" s="1304" t="n"/>
      <c r="B190" s="1272" t="n"/>
      <c r="C190" s="1272" t="n"/>
      <c r="D190" s="1272" t="n"/>
      <c r="E190" s="1272" t="n"/>
      <c r="F190" s="1272" t="n"/>
      <c r="G190" s="701" t="n"/>
      <c r="H190" s="1440" t="n"/>
      <c r="I190" s="1272" t="n"/>
      <c r="J190" s="1277" t="n"/>
    </row>
    <row r="191" ht="13.55" customHeight="1" s="1676">
      <c r="A191" s="1304" t="n"/>
      <c r="B191" s="1272" t="n"/>
      <c r="C191" s="1272" t="n"/>
      <c r="D191" s="1272" t="n"/>
      <c r="E191" s="1272" t="n"/>
      <c r="F191" s="1272" t="n"/>
      <c r="G191" s="701" t="n"/>
      <c r="H191" s="1440" t="n"/>
      <c r="I191" s="1272" t="n"/>
      <c r="J191" s="1277" t="n"/>
    </row>
    <row r="192" ht="13.55" customHeight="1" s="1676">
      <c r="A192" s="1304" t="n"/>
      <c r="B192" s="1272" t="n"/>
      <c r="C192" s="1272" t="n"/>
      <c r="D192" s="1272" t="n"/>
      <c r="E192" s="1272" t="n"/>
      <c r="F192" s="1272" t="n"/>
      <c r="G192" s="701" t="n"/>
      <c r="H192" s="1440" t="n"/>
      <c r="I192" s="1272" t="n"/>
      <c r="J192" s="1277" t="n"/>
    </row>
    <row r="193" ht="13.55" customHeight="1" s="1676">
      <c r="A193" s="1304" t="n"/>
      <c r="B193" s="1272" t="n"/>
      <c r="C193" s="1272" t="n"/>
      <c r="D193" s="1272" t="n"/>
      <c r="E193" s="1272" t="n"/>
      <c r="F193" s="1272" t="n"/>
      <c r="G193" s="701" t="n"/>
      <c r="H193" s="1440" t="n"/>
      <c r="I193" s="1272" t="n"/>
      <c r="J193" s="1277" t="n"/>
    </row>
    <row r="194" ht="13.55" customHeight="1" s="1676">
      <c r="A194" s="1304" t="n"/>
      <c r="B194" s="1272" t="n"/>
      <c r="C194" s="1272" t="n"/>
      <c r="D194" s="1272" t="n"/>
      <c r="E194" s="1272" t="n"/>
      <c r="F194" s="1272" t="n"/>
      <c r="G194" s="701" t="n"/>
      <c r="H194" s="1440" t="n"/>
      <c r="I194" s="1272" t="n"/>
      <c r="J194" s="1277" t="n"/>
    </row>
    <row r="195" ht="13.55" customHeight="1" s="1676">
      <c r="A195" s="1304" t="n"/>
      <c r="B195" s="1272" t="n"/>
      <c r="C195" s="1272" t="n"/>
      <c r="D195" s="1272" t="n"/>
      <c r="E195" s="1272" t="n"/>
      <c r="F195" s="1272" t="n"/>
      <c r="G195" s="701" t="n"/>
      <c r="H195" s="1440" t="n"/>
      <c r="I195" s="1272" t="n"/>
      <c r="J195" s="1277" t="n"/>
    </row>
    <row r="196" ht="13.55" customHeight="1" s="1676">
      <c r="A196" s="1304" t="n"/>
      <c r="B196" s="1272" t="n"/>
      <c r="C196" s="1272" t="n"/>
      <c r="D196" s="1272" t="n"/>
      <c r="E196" s="1272" t="n"/>
      <c r="F196" s="1272" t="n"/>
      <c r="G196" s="701" t="n"/>
      <c r="H196" s="1440" t="n"/>
      <c r="I196" s="1272" t="n"/>
      <c r="J196" s="1277" t="n"/>
    </row>
    <row r="197" ht="13.55" customHeight="1" s="1676">
      <c r="A197" s="1304" t="n"/>
      <c r="B197" s="1272" t="n"/>
      <c r="C197" s="1272" t="n"/>
      <c r="D197" s="1272" t="n"/>
      <c r="E197" s="1272" t="n"/>
      <c r="F197" s="1272" t="n"/>
      <c r="G197" s="701" t="n"/>
      <c r="H197" s="1440" t="n"/>
      <c r="I197" s="1272" t="n"/>
      <c r="J197" s="1277" t="n"/>
    </row>
    <row r="198" ht="13.55" customHeight="1" s="1676">
      <c r="A198" s="1304" t="n"/>
      <c r="B198" s="1272" t="n"/>
      <c r="C198" s="1272" t="n"/>
      <c r="D198" s="1272" t="n"/>
      <c r="E198" s="1272" t="n"/>
      <c r="F198" s="1272" t="n"/>
      <c r="G198" s="701" t="n"/>
      <c r="H198" s="1440" t="n"/>
      <c r="I198" s="1272" t="n"/>
      <c r="J198" s="1277" t="n"/>
    </row>
    <row r="199" ht="13.55" customHeight="1" s="1676">
      <c r="A199" s="1304" t="n"/>
      <c r="B199" s="1272" t="n"/>
      <c r="C199" s="1272" t="n"/>
      <c r="D199" s="1272" t="n"/>
      <c r="E199" s="1272" t="n"/>
      <c r="F199" s="1272" t="n"/>
      <c r="G199" s="701" t="n"/>
      <c r="H199" s="1440" t="n"/>
      <c r="I199" s="1272" t="n"/>
      <c r="J199" s="1277" t="n"/>
    </row>
    <row r="200" ht="13.55" customHeight="1" s="1676">
      <c r="A200" s="1304" t="n"/>
      <c r="B200" s="1272" t="n"/>
      <c r="C200" s="1272" t="n"/>
      <c r="D200" s="1272" t="n"/>
      <c r="E200" s="1272" t="n"/>
      <c r="F200" s="1272" t="n"/>
      <c r="G200" s="701" t="n"/>
      <c r="H200" s="1440" t="n"/>
      <c r="I200" s="1272" t="n"/>
      <c r="J200" s="1277" t="n"/>
    </row>
    <row r="201" ht="13.55" customHeight="1" s="1676">
      <c r="A201" s="1304" t="n"/>
      <c r="B201" s="1272" t="n"/>
      <c r="C201" s="1272" t="n"/>
      <c r="D201" s="1272" t="n"/>
      <c r="E201" s="1272" t="n"/>
      <c r="F201" s="1272" t="n"/>
      <c r="G201" s="701" t="n"/>
      <c r="H201" s="1440" t="n"/>
      <c r="I201" s="1272" t="n"/>
      <c r="J201" s="1277" t="n"/>
    </row>
    <row r="202" ht="13.55" customHeight="1" s="1676">
      <c r="A202" s="1304" t="n"/>
      <c r="B202" s="1272" t="n"/>
      <c r="C202" s="1272" t="n"/>
      <c r="D202" s="1272" t="n"/>
      <c r="E202" s="1272" t="n"/>
      <c r="F202" s="1272" t="n"/>
      <c r="G202" s="701" t="n"/>
      <c r="H202" s="1440" t="n"/>
      <c r="I202" s="1272" t="n"/>
      <c r="J202" s="1277" t="n"/>
    </row>
    <row r="203" ht="13.55" customHeight="1" s="1676">
      <c r="A203" s="1304" t="n"/>
      <c r="B203" s="1272" t="n"/>
      <c r="C203" s="1272" t="n"/>
      <c r="D203" s="1272" t="n"/>
      <c r="E203" s="1272" t="n"/>
      <c r="F203" s="1272" t="n"/>
      <c r="G203" s="701" t="n"/>
      <c r="H203" s="1440" t="n"/>
      <c r="I203" s="1272" t="n"/>
      <c r="J203" s="1277" t="n"/>
    </row>
    <row r="204" ht="13.55" customHeight="1" s="1676">
      <c r="A204" s="1304" t="n"/>
      <c r="B204" s="1272" t="n"/>
      <c r="C204" s="1272" t="n"/>
      <c r="D204" s="1272" t="n"/>
      <c r="E204" s="1272" t="n"/>
      <c r="F204" s="1272" t="n"/>
      <c r="G204" s="701" t="n"/>
      <c r="H204" s="1440" t="n"/>
      <c r="I204" s="1272" t="n"/>
      <c r="J204" s="1277" t="n"/>
    </row>
    <row r="205" ht="13.55" customHeight="1" s="1676">
      <c r="A205" s="1304" t="n"/>
      <c r="B205" s="1272" t="n"/>
      <c r="C205" s="1272" t="n"/>
      <c r="D205" s="1272" t="n"/>
      <c r="E205" s="1272" t="n"/>
      <c r="F205" s="1272" t="n"/>
      <c r="G205" s="701" t="n"/>
      <c r="H205" s="1440" t="n"/>
      <c r="I205" s="1272" t="n"/>
      <c r="J205" s="1277" t="n"/>
    </row>
    <row r="206" ht="13.55" customHeight="1" s="1676">
      <c r="A206" s="1304" t="n"/>
      <c r="B206" s="1272" t="n"/>
      <c r="C206" s="1272" t="n"/>
      <c r="D206" s="1272" t="n"/>
      <c r="E206" s="1272" t="n"/>
      <c r="F206" s="1272" t="n"/>
      <c r="G206" s="701" t="n"/>
      <c r="H206" s="1440" t="n"/>
      <c r="I206" s="1272" t="n"/>
      <c r="J206" s="1277" t="n"/>
    </row>
    <row r="207" ht="13.55" customHeight="1" s="1676">
      <c r="A207" s="1304" t="n"/>
      <c r="B207" s="1272" t="n"/>
      <c r="C207" s="1272" t="n"/>
      <c r="D207" s="1272" t="n"/>
      <c r="E207" s="1272" t="n"/>
      <c r="F207" s="1272" t="n"/>
      <c r="G207" s="701" t="n"/>
      <c r="H207" s="1440" t="n"/>
      <c r="I207" s="1272" t="n"/>
      <c r="J207" s="1277" t="n"/>
    </row>
    <row r="208" ht="13.55" customHeight="1" s="1676">
      <c r="A208" s="1304" t="n"/>
      <c r="B208" s="1272" t="n"/>
      <c r="C208" s="1272" t="n"/>
      <c r="D208" s="1272" t="n"/>
      <c r="E208" s="1272" t="n"/>
      <c r="F208" s="1272" t="n"/>
      <c r="G208" s="701" t="n"/>
      <c r="H208" s="1440" t="n"/>
      <c r="I208" s="1272" t="n"/>
      <c r="J208" s="1277" t="n"/>
    </row>
    <row r="209" ht="13.55" customHeight="1" s="1676">
      <c r="A209" s="1304" t="n"/>
      <c r="B209" s="1272" t="n"/>
      <c r="C209" s="1272" t="n"/>
      <c r="D209" s="1272" t="n"/>
      <c r="E209" s="1272" t="n"/>
      <c r="F209" s="1272" t="n"/>
      <c r="G209" s="701" t="n"/>
      <c r="H209" s="1440" t="n"/>
      <c r="I209" s="1272" t="n"/>
      <c r="J209" s="1277" t="n"/>
    </row>
    <row r="210" ht="13.55" customHeight="1" s="1676">
      <c r="A210" s="1304" t="n"/>
      <c r="B210" s="1272" t="n"/>
      <c r="C210" s="1272" t="n"/>
      <c r="D210" s="1272" t="n"/>
      <c r="E210" s="1272" t="n"/>
      <c r="F210" s="1272" t="n"/>
      <c r="G210" s="701" t="n"/>
      <c r="H210" s="1440" t="n"/>
      <c r="I210" s="1272" t="n"/>
      <c r="J210" s="1277" t="n"/>
    </row>
    <row r="211" ht="13.55" customHeight="1" s="1676">
      <c r="A211" s="1304" t="n"/>
      <c r="B211" s="1272" t="n"/>
      <c r="C211" s="1272" t="n"/>
      <c r="D211" s="1272" t="n"/>
      <c r="E211" s="1272" t="n"/>
      <c r="F211" s="1272" t="n"/>
      <c r="G211" s="701" t="n"/>
      <c r="H211" s="1440" t="n"/>
      <c r="I211" s="1272" t="n"/>
      <c r="J211" s="1277" t="n"/>
    </row>
    <row r="212" ht="13.55" customHeight="1" s="1676">
      <c r="A212" s="1304" t="n"/>
      <c r="B212" s="1272" t="n"/>
      <c r="C212" s="1272" t="n"/>
      <c r="D212" s="1272" t="n"/>
      <c r="E212" s="1272" t="n"/>
      <c r="F212" s="1272" t="n"/>
      <c r="G212" s="701" t="n"/>
      <c r="H212" s="1440" t="n"/>
      <c r="I212" s="1272" t="n"/>
      <c r="J212" s="1277" t="n"/>
    </row>
    <row r="213" ht="13.55" customHeight="1" s="1676">
      <c r="A213" s="1304" t="n"/>
      <c r="B213" s="1272" t="n"/>
      <c r="C213" s="1272" t="n"/>
      <c r="D213" s="1272" t="n"/>
      <c r="E213" s="1272" t="n"/>
      <c r="F213" s="1272" t="n"/>
      <c r="G213" s="701" t="n"/>
      <c r="H213" s="1440" t="n"/>
      <c r="I213" s="1272" t="n"/>
      <c r="J213" s="1277" t="n"/>
    </row>
    <row r="214" ht="13.55" customHeight="1" s="1676">
      <c r="A214" s="1304" t="n"/>
      <c r="B214" s="1272" t="n"/>
      <c r="C214" s="1272" t="n"/>
      <c r="D214" s="1272" t="n"/>
      <c r="E214" s="1272" t="n"/>
      <c r="F214" s="1272" t="n"/>
      <c r="G214" s="701" t="n"/>
      <c r="H214" s="1440" t="n"/>
      <c r="I214" s="1272" t="n"/>
      <c r="J214" s="1277" t="n"/>
    </row>
    <row r="215" ht="13.55" customHeight="1" s="1676">
      <c r="A215" s="1304" t="n"/>
      <c r="B215" s="1272" t="n"/>
      <c r="C215" s="1272" t="n"/>
      <c r="D215" s="1272" t="n"/>
      <c r="E215" s="1272" t="n"/>
      <c r="F215" s="1272" t="n"/>
      <c r="G215" s="701" t="n"/>
      <c r="H215" s="1440" t="n"/>
      <c r="I215" s="1272" t="n"/>
      <c r="J215" s="1277" t="n"/>
    </row>
    <row r="216" ht="13.55" customHeight="1" s="1676">
      <c r="A216" s="1304" t="n"/>
      <c r="B216" s="1272" t="n"/>
      <c r="C216" s="1272" t="n"/>
      <c r="D216" s="1272" t="n"/>
      <c r="E216" s="1272" t="n"/>
      <c r="F216" s="1272" t="n"/>
      <c r="G216" s="701" t="n"/>
      <c r="H216" s="1440" t="n"/>
      <c r="I216" s="1272" t="n"/>
      <c r="J216" s="1277" t="n"/>
    </row>
    <row r="217" ht="13.55" customHeight="1" s="1676">
      <c r="A217" s="1304" t="n"/>
      <c r="B217" s="1272" t="n"/>
      <c r="C217" s="1272" t="n"/>
      <c r="D217" s="1272" t="n"/>
      <c r="E217" s="1272" t="n"/>
      <c r="F217" s="1272" t="n"/>
      <c r="G217" s="701" t="n"/>
      <c r="H217" s="1440" t="n"/>
      <c r="I217" s="1272" t="n"/>
      <c r="J217" s="1277" t="n"/>
    </row>
    <row r="218" ht="13.55" customHeight="1" s="1676">
      <c r="A218" s="1304" t="n"/>
      <c r="B218" s="1272" t="n"/>
      <c r="C218" s="1272" t="n"/>
      <c r="D218" s="1272" t="n"/>
      <c r="E218" s="1272" t="n"/>
      <c r="F218" s="1272" t="n"/>
      <c r="G218" s="701" t="n"/>
      <c r="H218" s="1440" t="n"/>
      <c r="I218" s="1272" t="n"/>
      <c r="J218" s="1277" t="n"/>
    </row>
    <row r="219" ht="13.55" customHeight="1" s="1676">
      <c r="A219" s="1304" t="n"/>
      <c r="B219" s="1272" t="n"/>
      <c r="C219" s="1272" t="n"/>
      <c r="D219" s="1272" t="n"/>
      <c r="E219" s="1272" t="n"/>
      <c r="F219" s="1272" t="n"/>
      <c r="G219" s="701" t="n"/>
      <c r="H219" s="1440" t="n"/>
      <c r="I219" s="1272" t="n"/>
      <c r="J219" s="1277" t="n"/>
    </row>
    <row r="220" ht="13.55" customHeight="1" s="1676">
      <c r="A220" s="1304" t="n"/>
      <c r="B220" s="1272" t="n"/>
      <c r="C220" s="1272" t="n"/>
      <c r="D220" s="1272" t="n"/>
      <c r="E220" s="1272" t="n"/>
      <c r="F220" s="1272" t="n"/>
      <c r="G220" s="701" t="n"/>
      <c r="H220" s="1440" t="n"/>
      <c r="I220" s="1272" t="n"/>
      <c r="J220" s="1277" t="n"/>
    </row>
    <row r="221" ht="13.55" customHeight="1" s="1676">
      <c r="A221" s="1304" t="n"/>
      <c r="B221" s="1272" t="n"/>
      <c r="C221" s="1272" t="n"/>
      <c r="D221" s="1272" t="n"/>
      <c r="E221" s="1272" t="n"/>
      <c r="F221" s="1272" t="n"/>
      <c r="G221" s="701" t="n"/>
      <c r="H221" s="1440" t="n"/>
      <c r="I221" s="1272" t="n"/>
      <c r="J221" s="1277" t="n"/>
    </row>
    <row r="222" ht="13.55" customHeight="1" s="1676">
      <c r="A222" s="1304" t="n"/>
      <c r="B222" s="1272" t="n"/>
      <c r="C222" s="1272" t="n"/>
      <c r="D222" s="1272" t="n"/>
      <c r="E222" s="1272" t="n"/>
      <c r="F222" s="1272" t="n"/>
      <c r="G222" s="701" t="n"/>
      <c r="H222" s="1440" t="n"/>
      <c r="I222" s="1272" t="n"/>
      <c r="J222" s="1277" t="n"/>
    </row>
    <row r="223" ht="13.55" customHeight="1" s="1676">
      <c r="A223" s="1304" t="n"/>
      <c r="B223" s="1272" t="n"/>
      <c r="C223" s="1272" t="n"/>
      <c r="D223" s="1272" t="n"/>
      <c r="E223" s="1272" t="n"/>
      <c r="F223" s="1272" t="n"/>
      <c r="G223" s="701" t="n"/>
      <c r="H223" s="1440" t="n"/>
      <c r="I223" s="1272" t="n"/>
      <c r="J223" s="1277" t="n"/>
    </row>
    <row r="224" ht="13.55" customHeight="1" s="1676">
      <c r="A224" s="1304" t="n"/>
      <c r="B224" s="1272" t="n"/>
      <c r="C224" s="1272" t="n"/>
      <c r="D224" s="1272" t="n"/>
      <c r="E224" s="1272" t="n"/>
      <c r="F224" s="1272" t="n"/>
      <c r="G224" s="701" t="n"/>
      <c r="H224" s="1440" t="n"/>
      <c r="I224" s="1272" t="n"/>
      <c r="J224" s="1277" t="n"/>
    </row>
    <row r="225" ht="13.55" customHeight="1" s="1676">
      <c r="A225" s="1304" t="n"/>
      <c r="B225" s="1272" t="n"/>
      <c r="C225" s="1272" t="n"/>
      <c r="D225" s="1272" t="n"/>
      <c r="E225" s="1272" t="n"/>
      <c r="F225" s="1272" t="n"/>
      <c r="G225" s="701" t="n"/>
      <c r="H225" s="1440" t="n"/>
      <c r="I225" s="1272" t="n"/>
      <c r="J225" s="1277" t="n"/>
    </row>
    <row r="226" ht="13.55" customHeight="1" s="1676">
      <c r="A226" s="1304" t="n"/>
      <c r="B226" s="1272" t="n"/>
      <c r="C226" s="1272" t="n"/>
      <c r="D226" s="1272" t="n"/>
      <c r="E226" s="1272" t="n"/>
      <c r="F226" s="1272" t="n"/>
      <c r="G226" s="701" t="n"/>
      <c r="H226" s="1440" t="n"/>
      <c r="I226" s="1272" t="n"/>
      <c r="J226" s="1277" t="n"/>
    </row>
    <row r="227" ht="13.55" customHeight="1" s="1676">
      <c r="A227" s="1304" t="n"/>
      <c r="B227" s="1272" t="n"/>
      <c r="C227" s="1272" t="n"/>
      <c r="D227" s="1272" t="n"/>
      <c r="E227" s="1272" t="n"/>
      <c r="F227" s="1272" t="n"/>
      <c r="G227" s="701" t="n"/>
      <c r="H227" s="1440" t="n"/>
      <c r="I227" s="1272" t="n"/>
      <c r="J227" s="1277" t="n"/>
    </row>
    <row r="228" ht="13.55" customHeight="1" s="1676">
      <c r="A228" s="1349" t="n"/>
      <c r="B228" s="1351" t="n"/>
      <c r="C228" s="1351" t="n"/>
      <c r="D228" s="1351" t="n"/>
      <c r="E228" s="1351" t="n"/>
      <c r="F228" s="1351" t="n"/>
      <c r="G228" s="857" t="n"/>
      <c r="H228" s="1450" t="n"/>
      <c r="I228" s="1351" t="n"/>
      <c r="J228" s="1354" t="n"/>
    </row>
  </sheetData>
  <mergeCells count="1">
    <mergeCell ref="G1:G2"/>
  </mergeCells>
  <conditionalFormatting sqref="H4:J13 H15:J20 H22:J23 H25:J26 H28:J31 H33:J35 H37:J38">
    <cfRule type="cellIs" priority="1" operator="equal" dxfId="0" stopIfTrue="1">
      <formula>"✘"</formula>
    </cfRule>
    <cfRule type="cellIs" priority="2" operator="equal" dxfId="2" stopIfTrue="1">
      <formula>" ✔"</formula>
    </cfRule>
  </conditionalFormatting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2"/>
  <sheetViews>
    <sheetView showGridLines="0" defaultGridColor="1" workbookViewId="0">
      <selection activeCell="A1" sqref="A1"/>
    </sheetView>
  </sheetViews>
  <sheetFormatPr baseColWidth="8" defaultColWidth="11.5" defaultRowHeight="15" customHeight="1" outlineLevelRow="0"/>
  <cols>
    <col width="15.3516" customWidth="1" style="1623" min="1" max="1"/>
    <col width="10.8516" customWidth="1" style="1623" min="2" max="2"/>
    <col width="11" customWidth="1" style="1623" min="3" max="3"/>
    <col width="12.3516" customWidth="1" style="1623" min="4" max="13"/>
    <col width="11.5" customWidth="1" style="1623" min="14" max="15"/>
    <col width="11.5" customWidth="1" style="1623" min="16" max="16384"/>
  </cols>
  <sheetData>
    <row r="1" ht="23.25" customHeight="1" s="1676">
      <c r="A1" s="1452" t="inlineStr">
        <is>
          <t>Text_775</t>
        </is>
      </c>
      <c r="B1" s="1453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2" t="n"/>
    </row>
    <row r="2" ht="23.25" customHeight="1" s="1676">
      <c r="A2" s="1454" t="inlineStr">
        <is>
          <t>Text_776</t>
        </is>
      </c>
      <c r="B2" s="1455" t="n"/>
      <c r="C2" s="701" t="n"/>
      <c r="D2" s="701" t="n"/>
      <c r="E2" s="701" t="n"/>
      <c r="F2" s="701" t="n"/>
      <c r="G2" s="701" t="n"/>
      <c r="H2" s="701" t="n"/>
      <c r="I2" s="701" t="n"/>
      <c r="J2" s="701" t="n"/>
      <c r="K2" s="701" t="n"/>
      <c r="L2" s="701" t="n"/>
      <c r="M2" s="701" t="n"/>
      <c r="N2" s="701" t="n"/>
      <c r="O2" s="30" t="n"/>
    </row>
    <row r="3" ht="11.85" customHeight="1" s="1676">
      <c r="A3" s="74" t="n"/>
      <c r="B3" s="701" t="n"/>
      <c r="C3" s="701" t="n"/>
      <c r="D3" s="701" t="n"/>
      <c r="E3" s="701" t="n"/>
      <c r="F3" s="701" t="n"/>
      <c r="G3" s="701" t="n"/>
      <c r="H3" s="701" t="n"/>
      <c r="I3" s="701" t="n"/>
      <c r="J3" s="701" t="n"/>
      <c r="K3" s="701" t="n"/>
      <c r="L3" s="701" t="n"/>
      <c r="M3" s="701" t="n"/>
      <c r="N3" s="701" t="n"/>
      <c r="O3" s="30" t="n"/>
    </row>
    <row r="4" ht="11.85" customHeight="1" s="1676">
      <c r="A4" s="1456" t="n"/>
      <c r="B4" s="1457" t="inlineStr">
        <is>
          <t>Text_777</t>
        </is>
      </c>
      <c r="C4" s="701" t="n"/>
      <c r="D4" s="701" t="n"/>
      <c r="E4" s="701" t="n"/>
      <c r="F4" s="701" t="n"/>
      <c r="G4" s="701" t="n"/>
      <c r="H4" s="701" t="n"/>
      <c r="I4" s="701" t="n"/>
      <c r="J4" s="701" t="n"/>
      <c r="K4" s="701" t="n"/>
      <c r="L4" s="701" t="n"/>
      <c r="M4" s="701" t="n"/>
      <c r="N4" s="701" t="n"/>
      <c r="O4" s="30" t="n"/>
    </row>
    <row r="5" ht="11.85" customHeight="1" s="1676">
      <c r="A5" s="1458" t="inlineStr">
        <is>
          <t>3-1</t>
        </is>
      </c>
      <c r="B5" s="2355" t="inlineStr">
        <is>
          <t>Text_778</t>
        </is>
      </c>
      <c r="O5" s="2346" t="n"/>
    </row>
    <row r="6" ht="11.85" customHeight="1" s="1676">
      <c r="A6" s="1458" t="inlineStr">
        <is>
          <t>3-2</t>
        </is>
      </c>
      <c r="B6" s="1459" t="inlineStr">
        <is>
          <t>Text_779</t>
        </is>
      </c>
      <c r="K6" s="1460" t="n"/>
      <c r="L6" s="1460" t="n"/>
      <c r="M6" s="1460" t="n"/>
      <c r="N6" s="1460" t="n"/>
      <c r="O6" s="1461" t="n"/>
    </row>
    <row r="7" ht="11.85" customHeight="1" s="1676">
      <c r="A7" s="1458" t="inlineStr">
        <is>
          <t>3-3</t>
        </is>
      </c>
      <c r="B7" s="1459" t="inlineStr">
        <is>
          <t>Text_780</t>
        </is>
      </c>
      <c r="I7" s="1460" t="n"/>
      <c r="J7" s="1460" t="n"/>
      <c r="K7" s="1460" t="n"/>
      <c r="L7" s="1460" t="n"/>
      <c r="M7" s="1460" t="n"/>
      <c r="N7" s="1460" t="n"/>
      <c r="O7" s="1461" t="n"/>
    </row>
    <row r="8" ht="11.85" customHeight="1" s="1676">
      <c r="A8" s="1458" t="inlineStr">
        <is>
          <t>3-4</t>
        </is>
      </c>
      <c r="B8" s="1459" t="inlineStr">
        <is>
          <t>Text_781</t>
        </is>
      </c>
      <c r="I8" s="1460" t="n"/>
      <c r="J8" s="1460" t="n"/>
      <c r="K8" s="1460" t="n"/>
      <c r="L8" s="1460" t="n"/>
      <c r="M8" s="1460" t="n"/>
      <c r="N8" s="1460" t="n"/>
      <c r="O8" s="1461" t="n"/>
    </row>
    <row r="9" ht="11.85" customHeight="1" s="1676">
      <c r="A9" s="1458" t="inlineStr">
        <is>
          <t>3-5</t>
        </is>
      </c>
      <c r="B9" s="1459" t="inlineStr">
        <is>
          <t>Text_782</t>
        </is>
      </c>
      <c r="M9" s="1460" t="n"/>
      <c r="N9" s="1460" t="n"/>
      <c r="O9" s="1461" t="n"/>
    </row>
    <row r="10" ht="11.85" customHeight="1" s="1676">
      <c r="A10" s="1462" t="n"/>
      <c r="B10" s="1460" t="n"/>
      <c r="C10" s="1460" t="n"/>
      <c r="D10" s="1460" t="n"/>
      <c r="E10" s="1460" t="n"/>
      <c r="F10" s="1460" t="n"/>
      <c r="G10" s="1460" t="n"/>
      <c r="H10" s="1460" t="n"/>
      <c r="I10" s="1460" t="n"/>
      <c r="J10" s="1460" t="n"/>
      <c r="K10" s="1460" t="n"/>
      <c r="L10" s="1460" t="n"/>
      <c r="M10" s="1460" t="n"/>
      <c r="N10" s="1460" t="n"/>
      <c r="O10" s="1461" t="n"/>
    </row>
    <row r="11" ht="11.85" customHeight="1" s="1676">
      <c r="A11" s="1456" t="n"/>
      <c r="B11" s="1463" t="n"/>
      <c r="C11" s="1464" t="n"/>
      <c r="D11" s="1464" t="n"/>
      <c r="E11" s="1464" t="n"/>
      <c r="F11" s="1464" t="n"/>
      <c r="G11" s="1464" t="n"/>
      <c r="H11" s="1464" t="n"/>
      <c r="I11" s="1464" t="n"/>
      <c r="J11" s="1464" t="n"/>
      <c r="K11" s="1464" t="n"/>
      <c r="L11" s="1464" t="n"/>
      <c r="M11" s="1464" t="n"/>
      <c r="N11" s="1464" t="n"/>
      <c r="O11" s="1465" t="n"/>
    </row>
    <row r="12" ht="12" customHeight="1" s="1676">
      <c r="A12" s="1466" t="inlineStr">
        <is>
          <t>Text_783</t>
        </is>
      </c>
      <c r="B12" s="1467" t="inlineStr">
        <is>
          <t>Text_784</t>
        </is>
      </c>
      <c r="C12" s="1467" t="inlineStr">
        <is>
          <t>Text_785</t>
        </is>
      </c>
      <c r="D12" s="1468" t="n"/>
      <c r="E12" s="701" t="n"/>
      <c r="F12" s="701" t="n"/>
      <c r="G12" s="701" t="n"/>
      <c r="H12" s="701" t="n"/>
      <c r="I12" s="701" t="n"/>
      <c r="J12" s="701" t="n"/>
      <c r="K12" s="701" t="n"/>
      <c r="L12" s="701" t="n"/>
      <c r="M12" s="701" t="n"/>
      <c r="N12" s="701" t="n"/>
      <c r="O12" s="30" t="n"/>
    </row>
    <row r="13" ht="12" customHeight="1" s="1676">
      <c r="A13" s="1469" t="inlineStr">
        <is>
          <t>Text_778</t>
        </is>
      </c>
      <c r="B13" s="179" t="n"/>
      <c r="C13" s="179" t="n"/>
      <c r="D13" s="179" t="n"/>
      <c r="E13" s="179" t="n"/>
      <c r="F13" s="179" t="n"/>
      <c r="G13" s="179" t="n"/>
      <c r="H13" s="179" t="n"/>
      <c r="I13" s="179" t="n"/>
      <c r="J13" s="179" t="n"/>
      <c r="K13" s="179" t="n"/>
      <c r="L13" s="701" t="n"/>
      <c r="M13" s="701" t="n"/>
      <c r="N13" s="701" t="n"/>
      <c r="O13" s="30" t="n"/>
    </row>
    <row r="14" ht="27" customHeight="1" s="1676">
      <c r="A14" s="1470" t="inlineStr">
        <is>
          <t>Text_786</t>
        </is>
      </c>
      <c r="B14" s="1471" t="inlineStr">
        <is>
          <t>Text_787</t>
        </is>
      </c>
      <c r="C14" s="1471" t="inlineStr">
        <is>
          <t>Text_788</t>
        </is>
      </c>
      <c r="D14" s="1472" t="inlineStr">
        <is>
          <t>Text_789</t>
        </is>
      </c>
      <c r="E14" s="1473" t="n"/>
      <c r="F14" s="1473" t="n"/>
      <c r="G14" s="1474" t="inlineStr">
        <is>
          <t>2021</t>
        </is>
      </c>
      <c r="H14" s="1474" t="inlineStr">
        <is>
          <t>2022</t>
        </is>
      </c>
      <c r="I14" s="1474" t="inlineStr">
        <is>
          <t>2023</t>
        </is>
      </c>
      <c r="J14" s="1474" t="inlineStr">
        <is>
          <t>Text_790</t>
        </is>
      </c>
      <c r="K14" s="1475" t="inlineStr">
        <is>
          <t>Text_791</t>
        </is>
      </c>
      <c r="L14" s="456" t="n"/>
      <c r="M14" s="701" t="n"/>
      <c r="N14" s="701" t="n"/>
      <c r="O14" s="30" t="n"/>
    </row>
    <row r="15" ht="12" customHeight="1" s="1676">
      <c r="A15" s="1476" t="n">
        <v>1.9639133838283</v>
      </c>
      <c r="B15" s="1477" t="n">
        <v>1.01439565794476</v>
      </c>
      <c r="C15" s="1477" t="n">
        <v>0.988095184502347</v>
      </c>
      <c r="D15" s="1478" t="inlineStr">
        <is>
          <t>Text_792</t>
        </is>
      </c>
      <c r="E15" s="2356" t="n"/>
      <c r="F15" s="2356" t="n"/>
      <c r="G15" s="1480" t="n">
        <v>25959.8993681348</v>
      </c>
      <c r="H15" s="1480" t="n">
        <v>38181.2565258541</v>
      </c>
      <c r="I15" s="1480" t="n">
        <v>35863.0714506625</v>
      </c>
      <c r="J15" s="2357">
        <f t="array" ref="J15">I15/H15-1</f>
        <v/>
      </c>
      <c r="K15" s="2358">
        <f t="array" ref="K15">I15/I$36</f>
        <v/>
      </c>
      <c r="L15" s="2359" t="n"/>
      <c r="M15" s="701" t="n"/>
      <c r="N15" s="701" t="n"/>
      <c r="O15" s="30" t="n"/>
    </row>
    <row r="16" ht="12" customHeight="1" s="1676">
      <c r="A16" s="1484" t="n">
        <v>0.988321536594725</v>
      </c>
      <c r="B16" s="1485" t="n">
        <v>1.8297996665785</v>
      </c>
      <c r="C16" s="1485" t="n">
        <v>1.96554640755969</v>
      </c>
      <c r="D16" s="1486" t="inlineStr">
        <is>
          <t>Text_793</t>
        </is>
      </c>
      <c r="E16" s="2360" t="n"/>
      <c r="F16" s="2360" t="n"/>
      <c r="G16" s="1488" t="n">
        <v>32946.4308754207</v>
      </c>
      <c r="H16" s="1488" t="n">
        <v>40638.5270121065</v>
      </c>
      <c r="I16" s="1488" t="n">
        <v>35132.8717851218</v>
      </c>
      <c r="J16" s="2361">
        <f t="array" ref="J16">I16/H16-1</f>
        <v/>
      </c>
      <c r="K16" s="2362">
        <f t="array" ref="K16">I16/I$36</f>
        <v/>
      </c>
      <c r="L16" s="1491" t="n"/>
      <c r="M16" s="701" t="n"/>
      <c r="N16" s="701" t="n"/>
      <c r="O16" s="30" t="n"/>
    </row>
    <row r="17" ht="12" customHeight="1" s="1676">
      <c r="A17" s="1484" t="n">
        <v>3.07920041708667</v>
      </c>
      <c r="B17" s="1485" t="n">
        <v>2.86779260004455</v>
      </c>
      <c r="C17" s="1485" t="n">
        <v>3.26980502800121</v>
      </c>
      <c r="D17" s="1486" t="inlineStr">
        <is>
          <t>Text_794</t>
        </is>
      </c>
      <c r="E17" s="2360" t="n"/>
      <c r="F17" s="2360" t="n"/>
      <c r="G17" s="1488" t="n">
        <v>20662.5197580768</v>
      </c>
      <c r="H17" s="1488" t="n">
        <v>27499.3812987534</v>
      </c>
      <c r="I17" s="1488" t="n">
        <v>24946.5033065978</v>
      </c>
      <c r="J17" s="2361">
        <f t="array" ref="J17">I17/H17-1</f>
        <v/>
      </c>
      <c r="K17" s="2362">
        <f t="array" ref="K17">I17/I$36</f>
        <v/>
      </c>
      <c r="L17" s="1491" t="n"/>
      <c r="M17" s="701" t="n"/>
      <c r="N17" s="701" t="n"/>
      <c r="O17" s="30" t="n"/>
    </row>
    <row r="18" ht="12" customHeight="1" s="1676">
      <c r="A18" s="1484" t="n">
        <v>4.34128656785536</v>
      </c>
      <c r="B18" s="1485" t="n">
        <v>4.11827559186131</v>
      </c>
      <c r="C18" s="1485" t="n">
        <v>3.8969692818588</v>
      </c>
      <c r="D18" s="1486" t="inlineStr">
        <is>
          <t>Text_795</t>
        </is>
      </c>
      <c r="E18" s="2360" t="n"/>
      <c r="F18" s="2360" t="n"/>
      <c r="G18" s="1488" t="n">
        <v>12308.7670288362</v>
      </c>
      <c r="H18" s="1488" t="n">
        <v>14856.0036140291</v>
      </c>
      <c r="I18" s="1488" t="n">
        <v>7220.68798893513</v>
      </c>
      <c r="J18" s="2361">
        <f t="array" ref="J18">I18/H18-1</f>
        <v/>
      </c>
      <c r="K18" s="2362">
        <f t="array" ref="K18">I18/I$36</f>
        <v/>
      </c>
      <c r="L18" s="1491" t="n"/>
      <c r="M18" s="701" t="n"/>
      <c r="N18" s="701" t="n"/>
      <c r="O18" s="30" t="n"/>
    </row>
    <row r="19" ht="12" customHeight="1" s="1676">
      <c r="A19" s="1484" t="n">
        <v>4.58073145912212</v>
      </c>
      <c r="B19" s="1485" t="n">
        <v>5.18847618414091</v>
      </c>
      <c r="C19" s="1485" t="n">
        <v>5.10741147422442</v>
      </c>
      <c r="D19" s="1486" t="inlineStr">
        <is>
          <t>Text_796</t>
        </is>
      </c>
      <c r="E19" s="2360" t="n"/>
      <c r="F19" s="2360" t="n"/>
      <c r="G19" s="1488" t="n">
        <v>9558.851690138021</v>
      </c>
      <c r="H19" s="1488" t="n">
        <v>9763.606453566859</v>
      </c>
      <c r="I19" s="1488" t="n">
        <v>6187.84677548659</v>
      </c>
      <c r="J19" s="2361">
        <f t="array" ref="J19">I19/H19-1</f>
        <v/>
      </c>
      <c r="K19" s="2362">
        <f t="array" ref="K19">I19/I$36</f>
        <v/>
      </c>
      <c r="L19" s="1491" t="n"/>
      <c r="M19" s="701" t="n"/>
      <c r="N19" s="701" t="n"/>
      <c r="O19" s="30" t="n"/>
    </row>
    <row r="20" ht="12" customHeight="1" s="1676">
      <c r="A20" s="1484" t="n">
        <v>6.47464608483058</v>
      </c>
      <c r="B20" s="1485" t="n">
        <v>6.04212246765961</v>
      </c>
      <c r="C20" s="1485" t="n">
        <v>5.50819072557536</v>
      </c>
      <c r="D20" s="1486" t="inlineStr">
        <is>
          <t>Text_797</t>
        </is>
      </c>
      <c r="E20" s="2360" t="n"/>
      <c r="F20" s="2360" t="n"/>
      <c r="G20" s="1488" t="n">
        <v>4325.82116319259</v>
      </c>
      <c r="H20" s="1488" t="n">
        <v>5550.10140919129</v>
      </c>
      <c r="I20" s="1488" t="n">
        <v>5404.02561292322</v>
      </c>
      <c r="J20" s="2361">
        <f t="array" ref="J20">I20/H20-1</f>
        <v/>
      </c>
      <c r="K20" s="2362">
        <f t="array" ref="K20">I20/I$36</f>
        <v/>
      </c>
      <c r="L20" s="1491" t="n"/>
      <c r="M20" s="701" t="n"/>
      <c r="N20" s="701" t="n"/>
      <c r="O20" s="30" t="n"/>
    </row>
    <row r="21" ht="12" customHeight="1" s="1676">
      <c r="A21" s="1484" t="n">
        <v>8.99010027519526</v>
      </c>
      <c r="B21" s="1485" t="n">
        <v>8.148039437861691</v>
      </c>
      <c r="C21" s="1485" t="n">
        <v>6.37481729323223</v>
      </c>
      <c r="D21" s="1486" t="inlineStr">
        <is>
          <t>Text_798</t>
        </is>
      </c>
      <c r="E21" s="2360" t="n"/>
      <c r="F21" s="2360" t="n"/>
      <c r="G21" s="1488" t="n">
        <v>2378.32183233268</v>
      </c>
      <c r="H21" s="1488" t="n">
        <v>2420.37013753608</v>
      </c>
      <c r="I21" s="1488" t="n">
        <v>3877.35212911492</v>
      </c>
      <c r="J21" s="2361">
        <f t="array" ref="J21">I21/H21-1</f>
        <v/>
      </c>
      <c r="K21" s="2362">
        <f t="array" ref="K21">I21/I$36</f>
        <v/>
      </c>
      <c r="L21" s="1491" t="n"/>
      <c r="M21" s="701" t="n"/>
      <c r="N21" s="701" t="n"/>
      <c r="O21" s="30" t="n"/>
    </row>
    <row r="22" ht="12" customHeight="1" s="1676">
      <c r="A22" s="1484" t="n">
        <v>11.0386345754785</v>
      </c>
      <c r="B22" s="1485" t="n">
        <v>6.96491799842928</v>
      </c>
      <c r="C22" s="1485" t="n">
        <v>7.7186818409673</v>
      </c>
      <c r="D22" s="1486" t="inlineStr">
        <is>
          <t>Text_799</t>
        </is>
      </c>
      <c r="E22" s="2360" t="n"/>
      <c r="F22" s="2360" t="n"/>
      <c r="G22" s="1488" t="n">
        <v>2016.19148783084</v>
      </c>
      <c r="H22" s="1488" t="n">
        <v>3152.61377125786</v>
      </c>
      <c r="I22" s="1488" t="n">
        <v>3005.12706940324</v>
      </c>
      <c r="J22" s="2361">
        <f t="array" ref="J22">I22/H22-1</f>
        <v/>
      </c>
      <c r="K22" s="2362">
        <f t="array" ref="K22">I22/I$36</f>
        <v/>
      </c>
      <c r="L22" s="1491" t="n"/>
      <c r="M22" s="701" t="n"/>
      <c r="N22" s="701" t="n"/>
      <c r="O22" s="30" t="n"/>
    </row>
    <row r="23" ht="12" customHeight="1" s="1676">
      <c r="A23" s="1484" t="n">
        <v>12.1605739512175</v>
      </c>
      <c r="B23" s="1485" t="n">
        <v>8.71346703663373</v>
      </c>
      <c r="C23" s="1485" t="n">
        <v>9.19943779412816</v>
      </c>
      <c r="D23" s="1486" t="inlineStr">
        <is>
          <t>Text_800</t>
        </is>
      </c>
      <c r="E23" s="2360" t="n"/>
      <c r="F23" s="2360" t="n"/>
      <c r="G23" s="1488" t="n">
        <v>1755.08531276958</v>
      </c>
      <c r="H23" s="1488" t="n">
        <v>3006.20714540401</v>
      </c>
      <c r="I23" s="1488" t="n">
        <v>3052.08630809407</v>
      </c>
      <c r="J23" s="2361">
        <f t="array" ref="J23">I23/H23-1</f>
        <v/>
      </c>
      <c r="K23" s="2362">
        <f t="array" ref="K23">I23/I$36</f>
        <v/>
      </c>
      <c r="L23" s="1491" t="n"/>
      <c r="M23" s="701" t="n"/>
      <c r="N23" s="701" t="n"/>
      <c r="O23" s="30" t="n"/>
    </row>
    <row r="24" ht="12" customHeight="1" s="1676">
      <c r="A24" s="1484" t="n">
        <v>13.6552476734575</v>
      </c>
      <c r="B24" s="1485" t="n">
        <v>6.91686763615983</v>
      </c>
      <c r="C24" s="1485" t="n">
        <v>8.794023054342221</v>
      </c>
      <c r="D24" s="1486" t="inlineStr">
        <is>
          <t>Text_801</t>
        </is>
      </c>
      <c r="E24" s="2360" t="n"/>
      <c r="F24" s="2360" t="n"/>
      <c r="G24" s="1488" t="n">
        <v>1553.79556524801</v>
      </c>
      <c r="H24" s="1488" t="n">
        <v>2807.30747081019</v>
      </c>
      <c r="I24" s="1488" t="n">
        <v>2024.76206656501</v>
      </c>
      <c r="J24" s="2361">
        <f t="array" ref="J24">I24/H24-1</f>
        <v/>
      </c>
      <c r="K24" s="2362">
        <f t="array" ref="K24">I24/I$36</f>
        <v/>
      </c>
      <c r="L24" s="1491" t="n"/>
      <c r="M24" s="701" t="n"/>
      <c r="N24" s="701" t="n"/>
      <c r="O24" s="30" t="n"/>
    </row>
    <row r="25" ht="12" customHeight="1" s="1676">
      <c r="A25" s="1484" t="n">
        <v>25.0481197062775</v>
      </c>
      <c r="B25" s="1485" t="n">
        <v>25.0465908741534</v>
      </c>
      <c r="C25" s="1485" t="n">
        <v>12.4717039364905</v>
      </c>
      <c r="D25" s="1486" t="inlineStr">
        <is>
          <t>Text_802</t>
        </is>
      </c>
      <c r="E25" s="2360" t="n"/>
      <c r="F25" s="2360" t="n"/>
      <c r="G25" s="1488" t="n">
        <v>551.324806497557</v>
      </c>
      <c r="H25" s="1488" t="n">
        <v>610.339434020633</v>
      </c>
      <c r="I25" s="1488" t="n">
        <v>1685.19158000112</v>
      </c>
      <c r="J25" s="2361">
        <f t="array" ref="J25">I25/H25-1</f>
        <v/>
      </c>
      <c r="K25" s="2362">
        <f t="array" ref="K25">I25/I$36</f>
        <v/>
      </c>
      <c r="L25" s="1491" t="n"/>
      <c r="M25" s="701" t="n"/>
      <c r="N25" s="701" t="n"/>
      <c r="O25" s="30" t="n"/>
    </row>
    <row r="26" ht="12" customHeight="1" s="1676">
      <c r="A26" s="1484" t="n">
        <v>8.108695097691459</v>
      </c>
      <c r="B26" s="1485" t="n">
        <v>10.6569998895179</v>
      </c>
      <c r="C26" s="1485" t="n">
        <v>10.6438216054762</v>
      </c>
      <c r="D26" s="1486" t="inlineStr">
        <is>
          <t>Text_803</t>
        </is>
      </c>
      <c r="E26" s="2360" t="n"/>
      <c r="F26" s="2360" t="n"/>
      <c r="G26" s="1488" t="n">
        <v>2550.12173273689</v>
      </c>
      <c r="H26" s="1488" t="n">
        <v>2221.62892975899</v>
      </c>
      <c r="I26" s="1488" t="n">
        <v>1531.90706393399</v>
      </c>
      <c r="J26" s="2361">
        <f t="array" ref="J26">I26/H26-1</f>
        <v/>
      </c>
      <c r="K26" s="2362">
        <f t="array" ref="K26">I26/I$36</f>
        <v/>
      </c>
      <c r="L26" s="1491" t="n"/>
      <c r="M26" s="701" t="n"/>
      <c r="N26" s="701" t="n"/>
      <c r="O26" s="30" t="n"/>
    </row>
    <row r="27" ht="12" customHeight="1" s="1676">
      <c r="A27" s="1484" t="n">
        <v>17.2027740002295</v>
      </c>
      <c r="B27" s="1485" t="n">
        <v>14.7741198454864</v>
      </c>
      <c r="C27" s="1485" t="n">
        <v>14.7510246014833</v>
      </c>
      <c r="D27" s="1486" t="inlineStr">
        <is>
          <t>Text_804</t>
        </is>
      </c>
      <c r="E27" s="2360" t="n"/>
      <c r="F27" s="2360" t="n"/>
      <c r="G27" s="1488" t="n">
        <v>1440.03311698052</v>
      </c>
      <c r="H27" s="1488" t="n">
        <v>2257.26191133246</v>
      </c>
      <c r="I27" s="1488" t="n">
        <v>1524.62931147706</v>
      </c>
      <c r="J27" s="2361">
        <f t="array" ref="J27">I27/H27-1</f>
        <v/>
      </c>
      <c r="K27" s="2362">
        <f t="array" ref="K27">I27/I$36</f>
        <v/>
      </c>
      <c r="L27" s="1491" t="n"/>
      <c r="M27" s="701" t="n"/>
      <c r="N27" s="701" t="n"/>
      <c r="O27" s="30" t="n"/>
    </row>
    <row r="28" ht="12" customHeight="1" s="1676">
      <c r="A28" s="1484" t="n">
        <v>29.6829322312651</v>
      </c>
      <c r="B28" s="1485" t="n">
        <v>13.6200997294142</v>
      </c>
      <c r="C28" s="1485" t="n">
        <v>14.7158242019471</v>
      </c>
      <c r="D28" s="1486" t="inlineStr">
        <is>
          <t>Text_805</t>
        </is>
      </c>
      <c r="E28" s="2360" t="n"/>
      <c r="F28" s="2360" t="n"/>
      <c r="G28" s="1488" t="n">
        <v>365.933595119191</v>
      </c>
      <c r="H28" s="1488" t="n">
        <v>1362.53130019984</v>
      </c>
      <c r="I28" s="1488" t="n">
        <v>996.8932228096101</v>
      </c>
      <c r="J28" s="2361">
        <f t="array" ref="J28">I28/H28-1</f>
        <v/>
      </c>
      <c r="K28" s="2362">
        <f t="array" ref="K28">I28/I$36</f>
        <v/>
      </c>
      <c r="L28" s="1491" t="n"/>
      <c r="M28" s="701" t="n"/>
      <c r="N28" s="701" t="n"/>
      <c r="O28" s="30" t="n"/>
    </row>
    <row r="29" ht="12" customHeight="1" s="1676">
      <c r="A29" s="1484" t="n">
        <v>15.594126402842</v>
      </c>
      <c r="B29" s="1485" t="n">
        <v>14.5724257287089</v>
      </c>
      <c r="C29" s="1485" t="n">
        <v>14.2591722279786</v>
      </c>
      <c r="D29" s="1486" t="inlineStr">
        <is>
          <t>Text_806</t>
        </is>
      </c>
      <c r="E29" s="2360" t="n"/>
      <c r="F29" s="2360" t="n"/>
      <c r="G29" s="1488" t="n">
        <v>1300.49953433163</v>
      </c>
      <c r="H29" s="1488" t="n">
        <v>1187.36179658605</v>
      </c>
      <c r="I29" s="1488" t="n">
        <v>1023.31451715012</v>
      </c>
      <c r="J29" s="2361">
        <f t="array" ref="J29">I29/H29-1</f>
        <v/>
      </c>
      <c r="K29" s="2362">
        <f t="array" ref="K29">I29/I$36</f>
        <v/>
      </c>
      <c r="L29" s="1491" t="n"/>
      <c r="M29" s="701" t="n"/>
      <c r="N29" s="701" t="n"/>
      <c r="O29" s="30" t="n"/>
    </row>
    <row r="30" ht="12" customHeight="1" s="1676">
      <c r="A30" s="1484" t="n">
        <v>21.6259662677656</v>
      </c>
      <c r="B30" s="1485" t="n">
        <v>23.5091314759616</v>
      </c>
      <c r="C30" s="1485" t="n">
        <v>15.1137459676774</v>
      </c>
      <c r="D30" s="1486" t="inlineStr">
        <is>
          <t>Text_807</t>
        </is>
      </c>
      <c r="E30" s="2360" t="n"/>
      <c r="F30" s="2360" t="n"/>
      <c r="G30" s="1488" t="n">
        <v>754.9964283016</v>
      </c>
      <c r="H30" s="1488" t="n">
        <v>836.338095937467</v>
      </c>
      <c r="I30" s="1488" t="n">
        <v>747.226246096183</v>
      </c>
      <c r="J30" s="2361">
        <f t="array" ref="J30">I30/H30-1</f>
        <v/>
      </c>
      <c r="K30" s="2362">
        <f t="array" ref="K30">I30/I$36</f>
        <v/>
      </c>
      <c r="L30" s="1491" t="n"/>
      <c r="M30" s="701" t="n"/>
      <c r="N30" s="701" t="n"/>
      <c r="O30" s="30" t="n"/>
    </row>
    <row r="31" ht="12" customHeight="1" s="1676">
      <c r="A31" s="1484" t="n">
        <v>11.7482233860222</v>
      </c>
      <c r="B31" s="1485" t="n">
        <v>16.3388132038342</v>
      </c>
      <c r="C31" s="1485" t="n">
        <v>17.9054836064373</v>
      </c>
      <c r="D31" s="1486" t="inlineStr">
        <is>
          <t>Text_808</t>
        </is>
      </c>
      <c r="E31" s="2360" t="n"/>
      <c r="F31" s="2360" t="n"/>
      <c r="G31" s="1488" t="n">
        <v>1825.34159303216</v>
      </c>
      <c r="H31" s="1488" t="n">
        <v>1488.79044279005</v>
      </c>
      <c r="I31" s="1488" t="n">
        <v>901.38422807747</v>
      </c>
      <c r="J31" s="2361">
        <f t="array" ref="J31">I31/H31-1</f>
        <v/>
      </c>
      <c r="K31" s="2362">
        <f t="array" ref="K31">I31/I$36</f>
        <v/>
      </c>
      <c r="L31" s="1491" t="n"/>
      <c r="M31" s="701" t="n"/>
      <c r="N31" s="701" t="n"/>
      <c r="O31" s="30" t="n"/>
    </row>
    <row r="32" ht="12" customHeight="1" s="1676">
      <c r="A32" s="1484" t="n">
        <v>15.6927687180048</v>
      </c>
      <c r="B32" s="1485" t="n">
        <v>16.8152443914848</v>
      </c>
      <c r="C32" s="1485" t="n">
        <v>17.1896644092819</v>
      </c>
      <c r="D32" s="1486" t="inlineStr">
        <is>
          <t>Text_809</t>
        </is>
      </c>
      <c r="E32" s="2360" t="n"/>
      <c r="F32" s="2360" t="n"/>
      <c r="G32" s="1488" t="n">
        <v>1018.55935130034</v>
      </c>
      <c r="H32" s="1488" t="n">
        <v>1492.08070186317</v>
      </c>
      <c r="I32" s="1488" t="n">
        <v>737.760923541717</v>
      </c>
      <c r="J32" s="2361">
        <f t="array" ref="J32">I32/H32-1</f>
        <v/>
      </c>
      <c r="K32" s="2362">
        <f t="array" ref="K32">I32/I$36</f>
        <v/>
      </c>
      <c r="L32" s="1491" t="n"/>
      <c r="M32" s="701" t="n"/>
      <c r="N32" s="701" t="n"/>
      <c r="O32" s="30" t="n"/>
    </row>
    <row r="33" ht="12" customHeight="1" s="1676">
      <c r="A33" s="1484" t="n">
        <v>30.0318894065103</v>
      </c>
      <c r="B33" s="1485" t="n">
        <v>23.0829233907203</v>
      </c>
      <c r="C33" s="1485" t="n">
        <v>17.4305471665581</v>
      </c>
      <c r="D33" s="1486" t="inlineStr">
        <is>
          <t>Text_810</t>
        </is>
      </c>
      <c r="E33" s="2360" t="n"/>
      <c r="F33" s="2360" t="n"/>
      <c r="G33" s="1488" t="n">
        <v>477.141488837405</v>
      </c>
      <c r="H33" s="1488" t="n">
        <v>1007.92632777612</v>
      </c>
      <c r="I33" s="1488" t="n">
        <v>914.772960446374</v>
      </c>
      <c r="J33" s="2361">
        <f t="array" ref="J33">I33/H33-1</f>
        <v/>
      </c>
      <c r="K33" s="2362">
        <f t="array" ref="K33">I33/I$36</f>
        <v/>
      </c>
      <c r="L33" s="1491" t="n"/>
      <c r="M33" s="701" t="n"/>
      <c r="N33" s="701" t="n"/>
      <c r="O33" s="30" t="n"/>
    </row>
    <row r="34" ht="12" customHeight="1" s="1676">
      <c r="A34" s="1484" t="n">
        <v>28.9365622532374</v>
      </c>
      <c r="B34" s="1485" t="n">
        <v>25.064190000623</v>
      </c>
      <c r="C34" s="1485" t="n">
        <v>19.0051562850387</v>
      </c>
      <c r="D34" s="1486" t="inlineStr">
        <is>
          <t>Text_811</t>
        </is>
      </c>
      <c r="E34" s="2360" t="n"/>
      <c r="F34" s="2360" t="n"/>
      <c r="G34" s="1488" t="n">
        <v>390.28030286249</v>
      </c>
      <c r="H34" s="1488" t="n">
        <v>745.666522184566</v>
      </c>
      <c r="I34" s="1488" t="n">
        <v>818.80634314797</v>
      </c>
      <c r="J34" s="2361">
        <f t="array" ref="J34">I34/H34-1</f>
        <v/>
      </c>
      <c r="K34" s="2362">
        <f t="array" ref="K34">I34/I$36</f>
        <v/>
      </c>
      <c r="L34" s="1491" t="n"/>
      <c r="M34" s="701" t="n"/>
      <c r="N34" s="701" t="n"/>
      <c r="O34" s="30" t="n"/>
    </row>
    <row r="35" ht="12" customHeight="1" s="1676">
      <c r="A35" s="1492" t="n"/>
      <c r="B35" s="1493" t="n"/>
      <c r="C35" s="1493" t="n"/>
      <c r="D35" s="1494" t="inlineStr">
        <is>
          <t>Text_812</t>
        </is>
      </c>
      <c r="E35" s="2363" t="n"/>
      <c r="F35" s="2363" t="n"/>
      <c r="G35" s="1496">
        <f t="array" ref="G35">((((SUM(G15:G34))/1000000)*1000000)/1000000)*1000000</f>
        <v/>
      </c>
      <c r="H35" s="1496">
        <f t="array" ref="H35">((((SUM(H15:H34))/1000000)*1000000)/1000000)*1000000</f>
        <v/>
      </c>
      <c r="I35" s="1496">
        <f t="array" ref="I35">((((SUM(I15:I34))/1000000)*1000000)/1000000)*1000000</f>
        <v/>
      </c>
      <c r="J35" s="2364">
        <f t="array" ref="J35">I35/H35-1</f>
        <v/>
      </c>
      <c r="K35" s="2365">
        <f t="array" ref="K35">I35/I$36</f>
        <v/>
      </c>
      <c r="L35" s="1491" t="n"/>
      <c r="M35" s="701" t="n"/>
      <c r="N35" s="701" t="n"/>
      <c r="O35" s="30" t="n"/>
    </row>
    <row r="36" ht="12" customHeight="1" s="1676">
      <c r="A36" s="1492" t="n"/>
      <c r="B36" s="1493" t="n"/>
      <c r="C36" s="1493" t="n"/>
      <c r="D36" s="1494" t="inlineStr">
        <is>
          <t>Text_813</t>
        </is>
      </c>
      <c r="E36" s="2363" t="n"/>
      <c r="F36" s="2363" t="n"/>
      <c r="G36" s="1496" t="n">
        <v>167573.15474552</v>
      </c>
      <c r="H36" s="1496" t="n">
        <v>191593.795543269</v>
      </c>
      <c r="I36" s="1496" t="n">
        <v>157881.646447487</v>
      </c>
      <c r="J36" s="2364">
        <f t="array" ref="J36">I36/H36-1</f>
        <v/>
      </c>
      <c r="K36" s="2365">
        <f t="array" ref="K36">I36/I$36</f>
        <v/>
      </c>
      <c r="L36" s="1491" t="n"/>
      <c r="M36" s="701" t="n"/>
      <c r="N36" s="701" t="n"/>
      <c r="O36" s="30" t="n"/>
    </row>
    <row r="37" ht="12" customHeight="1" s="1676">
      <c r="A37" s="1499" t="n"/>
      <c r="B37" s="1500" t="n"/>
      <c r="C37" s="1500" t="n"/>
      <c r="D37" s="1501" t="inlineStr">
        <is>
          <t>Text_814</t>
        </is>
      </c>
      <c r="E37" s="2366" t="n"/>
      <c r="F37" s="2366" t="n"/>
      <c r="G37" s="1503" t="n">
        <v>0.8314971195973651</v>
      </c>
      <c r="H37" s="1503" t="n">
        <v>0.91285212516329</v>
      </c>
      <c r="I37" s="1503" t="n">
        <v>0.846003390738965</v>
      </c>
      <c r="J37" s="2367" t="n"/>
      <c r="K37" s="2368" t="n"/>
      <c r="L37" s="456" t="n"/>
      <c r="M37" s="701" t="n"/>
      <c r="N37" s="701" t="n"/>
      <c r="O37" s="30" t="n"/>
    </row>
    <row r="38" ht="12" customHeight="1" s="1676">
      <c r="A38" s="1506" t="inlineStr">
        <is>
          <t>Text_815</t>
        </is>
      </c>
      <c r="B38" s="1507" t="n"/>
      <c r="C38" s="1507" t="n"/>
      <c r="D38" s="1507" t="n"/>
      <c r="E38" s="1507" t="n"/>
      <c r="F38" s="1507" t="n"/>
      <c r="G38" s="1507" t="n"/>
      <c r="H38" s="1507" t="n"/>
      <c r="I38" s="266" t="n"/>
      <c r="J38" s="266" t="n"/>
      <c r="K38" s="266" t="n"/>
      <c r="L38" s="701" t="n"/>
      <c r="M38" s="701" t="n"/>
      <c r="N38" s="701" t="n"/>
      <c r="O38" s="30" t="n"/>
    </row>
    <row r="39" ht="12" customHeight="1" s="1676">
      <c r="A39" s="1508" t="inlineStr">
        <is>
          <t>Text_816</t>
        </is>
      </c>
      <c r="B39" s="1209" t="n"/>
      <c r="C39" s="1209" t="n"/>
      <c r="D39" s="2369" t="n"/>
      <c r="E39" s="2369" t="n"/>
      <c r="F39" s="1209" t="n"/>
      <c r="G39" s="1209" t="n"/>
      <c r="H39" s="1209" t="n"/>
      <c r="I39" s="701" t="n"/>
      <c r="J39" s="701" t="n"/>
      <c r="K39" s="701" t="n"/>
      <c r="L39" s="701" t="n"/>
      <c r="M39" s="701" t="n"/>
      <c r="N39" s="701" t="n"/>
      <c r="O39" s="30" t="n"/>
    </row>
    <row r="40" ht="12" customHeight="1" s="1676">
      <c r="A40" s="1510" t="n">
        <v>0</v>
      </c>
      <c r="B40" s="1463" t="n"/>
      <c r="C40" s="1463" t="n"/>
      <c r="D40" s="2370" t="n"/>
      <c r="E40" s="2370" t="n"/>
      <c r="F40" s="1463" t="n"/>
      <c r="G40" s="1463" t="n"/>
      <c r="H40" s="1463" t="n"/>
      <c r="I40" s="1463" t="n"/>
      <c r="J40" s="1463" t="n"/>
      <c r="K40" s="701" t="n"/>
      <c r="L40" s="701" t="n"/>
      <c r="M40" s="701" t="n"/>
      <c r="N40" s="701" t="n"/>
      <c r="O40" s="30" t="n"/>
    </row>
    <row r="41" ht="12" customHeight="1" s="1676">
      <c r="A41" s="74" t="n"/>
      <c r="B41" s="701" t="n"/>
      <c r="C41" s="701" t="n"/>
      <c r="D41" s="701" t="n"/>
      <c r="E41" s="701" t="n"/>
      <c r="F41" s="701" t="n"/>
      <c r="G41" s="701" t="n"/>
      <c r="H41" s="701" t="n"/>
      <c r="I41" s="701" t="n"/>
      <c r="J41" s="701" t="n"/>
      <c r="K41" s="701" t="n"/>
      <c r="L41" s="701" t="n"/>
      <c r="M41" s="701" t="n"/>
      <c r="N41" s="701" t="n"/>
      <c r="O41" s="30" t="n"/>
    </row>
    <row r="42" ht="12" customHeight="1" s="1676">
      <c r="A42" s="1466" t="inlineStr">
        <is>
          <t>Text_817</t>
        </is>
      </c>
      <c r="B42" s="1467" t="inlineStr">
        <is>
          <t>Text_784</t>
        </is>
      </c>
      <c r="C42" s="1467" t="inlineStr">
        <is>
          <t>Text_785</t>
        </is>
      </c>
      <c r="D42" s="1512" t="n"/>
      <c r="E42" s="701" t="n"/>
      <c r="F42" s="701" t="n"/>
      <c r="G42" s="701" t="n"/>
      <c r="H42" s="701" t="n"/>
      <c r="I42" s="2369" t="n"/>
      <c r="J42" s="701" t="n"/>
      <c r="K42" s="701" t="n"/>
      <c r="L42" s="701" t="n"/>
      <c r="M42" s="701" t="n"/>
      <c r="N42" s="701" t="n"/>
      <c r="O42" s="30" t="n"/>
    </row>
    <row r="43" ht="12" customHeight="1" s="1676">
      <c r="A43" s="1469" t="inlineStr">
        <is>
          <t>Text_779</t>
        </is>
      </c>
      <c r="B43" s="179" t="n"/>
      <c r="C43" s="179" t="n"/>
      <c r="D43" s="179" t="n"/>
      <c r="E43" s="179" t="n"/>
      <c r="F43" s="179" t="n"/>
      <c r="G43" s="179" t="n"/>
      <c r="H43" s="179" t="n"/>
      <c r="I43" s="2371" t="n"/>
      <c r="J43" s="179" t="n"/>
      <c r="K43" s="701" t="n"/>
      <c r="L43" s="701" t="n"/>
      <c r="M43" s="701" t="n"/>
      <c r="N43" s="701" t="n"/>
      <c r="O43" s="30" t="n"/>
    </row>
    <row r="44" ht="27" customHeight="1" s="1676">
      <c r="A44" s="1514" t="n"/>
      <c r="B44" s="1473" t="n"/>
      <c r="C44" s="1515" t="n">
        <v>1969.96079778956</v>
      </c>
      <c r="D44" s="1515" t="n">
        <v>2051.47373257217</v>
      </c>
      <c r="E44" s="1515" t="n">
        <v>1963.97259329285</v>
      </c>
      <c r="F44" s="1515" t="n">
        <v>2035.90820954759</v>
      </c>
      <c r="G44" s="1515" t="n">
        <v>2326.63973259516</v>
      </c>
      <c r="H44" s="1515" t="n">
        <v>1804.28508327467</v>
      </c>
      <c r="I44" s="1516" t="n">
        <v>2133.69482116908</v>
      </c>
      <c r="J44" s="1517" t="inlineStr">
        <is>
          <t>Text_818</t>
        </is>
      </c>
      <c r="K44" s="456" t="n"/>
      <c r="L44" s="701" t="n"/>
      <c r="M44" s="701" t="n"/>
      <c r="N44" s="701" t="n"/>
      <c r="O44" s="30" t="n"/>
    </row>
    <row r="45" ht="12" customHeight="1" s="1676">
      <c r="A45" s="1518" t="inlineStr">
        <is>
          <t>Text_819</t>
        </is>
      </c>
      <c r="B45" s="1519" t="n"/>
      <c r="C45" s="1520" t="n">
        <v>20925.8935863755</v>
      </c>
      <c r="D45" s="1520" t="n">
        <v>20120.015191313</v>
      </c>
      <c r="E45" s="1520" t="n">
        <v>20884.1439215548</v>
      </c>
      <c r="F45" s="1520" t="n">
        <v>27757.6383729671</v>
      </c>
      <c r="G45" s="1520" t="n">
        <v>29953.0579005692</v>
      </c>
      <c r="H45" s="1520" t="n">
        <v>32670.2199061487</v>
      </c>
      <c r="I45" s="1521" t="n">
        <v>34068.1783412629</v>
      </c>
      <c r="J45" s="2372" t="n">
        <v>0.0543694774411036</v>
      </c>
      <c r="K45" s="456" t="n"/>
      <c r="L45" s="701" t="n"/>
      <c r="M45" s="701" t="n"/>
      <c r="N45" s="701" t="n"/>
      <c r="O45" s="30" t="n"/>
    </row>
    <row r="46" ht="12" customHeight="1" s="1676">
      <c r="A46" s="1523" t="inlineStr">
        <is>
          <t>Text_820</t>
        </is>
      </c>
      <c r="B46" s="1493" t="n"/>
      <c r="C46" s="2361" t="n">
        <v>0.5922823212694029</v>
      </c>
      <c r="D46" s="2361" t="n">
        <v>0.047523797216047</v>
      </c>
      <c r="E46" s="2361" t="n">
        <v>0.0290065400570811</v>
      </c>
      <c r="F46" s="2361" t="n">
        <v>0.0509288248598637</v>
      </c>
      <c r="G46" s="2361" t="n">
        <v>0.0979286282212623</v>
      </c>
      <c r="H46" s="2361" t="n">
        <v>0.0834879006594435</v>
      </c>
      <c r="I46" s="2362" t="n">
        <v>0.0199042247004429</v>
      </c>
      <c r="J46" s="2373" t="n"/>
      <c r="K46" s="456" t="n"/>
      <c r="L46" s="701" t="n"/>
      <c r="M46" s="701" t="n"/>
      <c r="N46" s="701" t="n"/>
      <c r="O46" s="30" t="n"/>
    </row>
    <row r="47" ht="12" customHeight="1" s="1676">
      <c r="A47" s="1523" t="inlineStr">
        <is>
          <t>Text_30</t>
        </is>
      </c>
      <c r="B47" s="1493" t="n"/>
      <c r="C47" s="1525" t="n">
        <v>9070.663767147191</v>
      </c>
      <c r="D47" s="1525" t="n">
        <v>12952.882707616</v>
      </c>
      <c r="E47" s="1525" t="n">
        <v>9507.759020564021</v>
      </c>
      <c r="F47" s="1525" t="n">
        <v>9135.83097737141</v>
      </c>
      <c r="G47" s="1525" t="n">
        <v>10378.7355335923</v>
      </c>
      <c r="H47" s="1525" t="n">
        <v>14365.5417326495</v>
      </c>
      <c r="I47" s="1526" t="n">
        <v>11639.4214209852</v>
      </c>
      <c r="J47" s="2373" t="n">
        <v>0.00756380985144866</v>
      </c>
      <c r="K47" s="456" t="n"/>
      <c r="L47" s="701" t="n"/>
      <c r="M47" s="701" t="n"/>
      <c r="N47" s="701" t="n"/>
      <c r="O47" s="30" t="n"/>
    </row>
    <row r="48" ht="12" customHeight="1" s="1676">
      <c r="A48" s="1523" t="inlineStr">
        <is>
          <t>Text_820</t>
        </is>
      </c>
      <c r="B48" s="1493" t="n"/>
      <c r="C48" s="2361" t="n">
        <v>0.209805271614432</v>
      </c>
      <c r="D48" s="2361" t="n">
        <v>0.295814141757385</v>
      </c>
      <c r="E48" s="2361" t="n">
        <v>-0.276911855262667</v>
      </c>
      <c r="F48" s="2361" t="n">
        <v>-0.044720658337587</v>
      </c>
      <c r="G48" s="2361" t="n">
        <v>0.272317041964144</v>
      </c>
      <c r="H48" s="2361" t="n">
        <v>0.183406049688693</v>
      </c>
      <c r="I48" s="2362" t="n">
        <v>0.0137982017257842</v>
      </c>
      <c r="J48" s="2373" t="n"/>
      <c r="K48" s="456" t="n"/>
      <c r="L48" s="701" t="n"/>
      <c r="M48" s="701" t="n"/>
      <c r="N48" s="701" t="n"/>
      <c r="O48" s="30" t="n"/>
    </row>
    <row r="49" ht="12" customHeight="1" s="1676">
      <c r="A49" s="1523" t="inlineStr">
        <is>
          <t>Text_821</t>
        </is>
      </c>
      <c r="B49" s="1493" t="n"/>
      <c r="C49" s="1525" t="n">
        <v>7875.32650406708</v>
      </c>
      <c r="D49" s="1525" t="n">
        <v>16378.1449982905</v>
      </c>
      <c r="E49" s="1525" t="n">
        <v>16502.9256892991</v>
      </c>
      <c r="F49" s="1525" t="n">
        <v>18919.2491003244</v>
      </c>
      <c r="G49" s="1525" t="n">
        <v>20920.9692087736</v>
      </c>
      <c r="H49" s="1525" t="n">
        <v>23000.1775613977</v>
      </c>
      <c r="I49" s="1526" t="n">
        <v>22972.4841704772</v>
      </c>
      <c r="J49" s="2373" t="n">
        <v>0.0669263764258083</v>
      </c>
      <c r="K49" s="456" t="n"/>
      <c r="L49" s="701" t="n"/>
      <c r="M49" s="701" t="n"/>
      <c r="N49" s="701" t="n"/>
      <c r="O49" s="30" t="n"/>
    </row>
    <row r="50" ht="12" customHeight="1" s="1676">
      <c r="A50" s="1523" t="inlineStr">
        <is>
          <t>Text_820</t>
        </is>
      </c>
      <c r="B50" s="1493" t="n"/>
      <c r="C50" s="2361" t="n">
        <v>0.457777438419715</v>
      </c>
      <c r="D50" s="2361" t="n">
        <v>1.15558693562528</v>
      </c>
      <c r="E50" s="2361" t="n">
        <v>0.125449735636588</v>
      </c>
      <c r="F50" s="2361" t="n">
        <v>0.101265754184933</v>
      </c>
      <c r="G50" s="2361" t="n">
        <v>0.0496806358869939</v>
      </c>
      <c r="H50" s="2361" t="n">
        <v>0.0420240568841627</v>
      </c>
      <c r="I50" s="2362" t="n">
        <v>0.0254118604061437</v>
      </c>
      <c r="J50" s="2373" t="n"/>
      <c r="K50" s="456" t="n"/>
      <c r="L50" s="701" t="n"/>
      <c r="M50" s="701" t="n"/>
      <c r="N50" s="701" t="n"/>
      <c r="O50" s="30" t="n"/>
    </row>
    <row r="51" ht="12" customHeight="1" s="1676">
      <c r="A51" s="1523" t="inlineStr">
        <is>
          <t>Text_822</t>
        </is>
      </c>
      <c r="B51" s="1493" t="n"/>
      <c r="C51" s="1525" t="n">
        <v>102007.469552073</v>
      </c>
      <c r="D51" s="1525" t="n">
        <v>122413.455139132</v>
      </c>
      <c r="E51" s="1525" t="n">
        <v>79914.0562460677</v>
      </c>
      <c r="F51" s="1525" t="n">
        <v>91590.9961179271</v>
      </c>
      <c r="G51" s="1525" t="n">
        <v>98066.5790331602</v>
      </c>
      <c r="H51" s="1525" t="n">
        <v>102021.761584712</v>
      </c>
      <c r="I51" s="1526" t="n">
        <v>107618.450041917</v>
      </c>
      <c r="J51" s="2373" t="n">
        <v>-0.0294638315702934</v>
      </c>
      <c r="K51" s="456" t="n"/>
      <c r="L51" s="701" t="n"/>
      <c r="M51" s="701" t="n"/>
      <c r="N51" s="701" t="n"/>
      <c r="O51" s="30" t="n"/>
    </row>
    <row r="52" ht="12" customHeight="1" s="1676">
      <c r="A52" s="1523" t="inlineStr">
        <is>
          <t>Text_820</t>
        </is>
      </c>
      <c r="B52" s="1493" t="n"/>
      <c r="C52" s="2361" t="n">
        <v>0.347659618782408</v>
      </c>
      <c r="D52" s="2361" t="n">
        <v>0.0877177492698048</v>
      </c>
      <c r="E52" s="2361" t="n">
        <v>-0.27179720296526</v>
      </c>
      <c r="F52" s="2361" t="n">
        <v>-0.0311426137385709</v>
      </c>
      <c r="G52" s="2361" t="n">
        <v>0.0981705727105396</v>
      </c>
      <c r="H52" s="2361" t="n">
        <v>0.0871274625240908</v>
      </c>
      <c r="I52" s="2362" t="n">
        <v>0.0195974768708505</v>
      </c>
      <c r="J52" s="2373" t="n"/>
      <c r="K52" s="456" t="n"/>
      <c r="L52" s="701" t="n"/>
      <c r="M52" s="701" t="n"/>
      <c r="N52" s="701" t="n"/>
      <c r="O52" s="30" t="n"/>
    </row>
    <row r="53" ht="12" customHeight="1" s="1676">
      <c r="A53" s="1523" t="inlineStr">
        <is>
          <t>Text_823</t>
        </is>
      </c>
      <c r="B53" s="1493" t="n"/>
      <c r="C53" s="1525" t="n">
        <v>36398.5797596194</v>
      </c>
      <c r="D53" s="1525" t="n">
        <v>37656.1818532166</v>
      </c>
      <c r="E53" s="1525" t="n">
        <v>26500.7560177046</v>
      </c>
      <c r="F53" s="1525" t="n">
        <v>26632.680999069</v>
      </c>
      <c r="G53" s="1525" t="n">
        <v>28122.2470572057</v>
      </c>
      <c r="H53" s="1525" t="n">
        <v>30449.6426629283</v>
      </c>
      <c r="I53" s="1526" t="n">
        <v>30500.8340911445</v>
      </c>
      <c r="J53" s="2373" t="n">
        <v>-0.008482389675167739</v>
      </c>
      <c r="K53" s="456" t="n"/>
      <c r="L53" s="701" t="n"/>
      <c r="M53" s="701" t="n"/>
      <c r="N53" s="701" t="n"/>
      <c r="O53" s="30" t="n"/>
    </row>
    <row r="54" ht="12" customHeight="1" s="1676">
      <c r="A54" s="1523" t="inlineStr">
        <is>
          <t>Text_824</t>
        </is>
      </c>
      <c r="B54" s="1493" t="n"/>
      <c r="C54" s="2361" t="n">
        <v>0.326885534266182</v>
      </c>
      <c r="D54" s="2361" t="n">
        <v>-0.058213613050507</v>
      </c>
      <c r="E54" s="2361" t="n">
        <v>-0.329774257305481</v>
      </c>
      <c r="F54" s="2361" t="n">
        <v>0.104809953238025</v>
      </c>
      <c r="G54" s="2361" t="n">
        <v>0.195254517244907</v>
      </c>
      <c r="H54" s="2361" t="n">
        <v>0.0498627998974922</v>
      </c>
      <c r="I54" s="2362" t="n">
        <v>0.0238331284884486</v>
      </c>
      <c r="J54" s="2373" t="n"/>
      <c r="K54" s="456" t="n"/>
      <c r="L54" s="701" t="n"/>
      <c r="M54" s="701" t="n"/>
      <c r="N54" s="701" t="n"/>
      <c r="O54" s="30" t="n"/>
    </row>
    <row r="55" ht="12" customHeight="1" s="1676">
      <c r="A55" s="1523" t="inlineStr">
        <is>
          <t>Text_825</t>
        </is>
      </c>
      <c r="B55" s="1493" t="n"/>
      <c r="C55" s="1525" t="n">
        <v>29811.2268253262</v>
      </c>
      <c r="D55" s="1525" t="n">
        <v>37120.6206464664</v>
      </c>
      <c r="E55" s="1525" t="n">
        <v>27824.3909844435</v>
      </c>
      <c r="F55" s="1525" t="n">
        <v>30369.7296143839</v>
      </c>
      <c r="G55" s="1525" t="n">
        <v>32349.6811554532</v>
      </c>
      <c r="H55" s="1525" t="n">
        <v>41276.237664723</v>
      </c>
      <c r="I55" s="1526" t="n">
        <v>32388.5164405932</v>
      </c>
      <c r="J55" s="2373" t="n">
        <v>0.00542982386903296</v>
      </c>
      <c r="K55" s="456" t="n"/>
      <c r="L55" s="701" t="n"/>
      <c r="M55" s="701" t="n"/>
      <c r="N55" s="701" t="n"/>
      <c r="O55" s="30" t="n"/>
    </row>
    <row r="56" ht="12" customHeight="1" s="1676">
      <c r="A56" s="1523" t="inlineStr">
        <is>
          <t>Text_824</t>
        </is>
      </c>
      <c r="B56" s="1493" t="n"/>
      <c r="C56" s="2361" t="n">
        <v>0.28805032088125</v>
      </c>
      <c r="D56" s="2361" t="n">
        <v>0.12002431544731</v>
      </c>
      <c r="E56" s="2361" t="n">
        <v>-0.18323692598365</v>
      </c>
      <c r="F56" s="2361" t="n">
        <v>0.0639872745971693</v>
      </c>
      <c r="G56" s="2361" t="n">
        <v>0.0257221044142656</v>
      </c>
      <c r="H56" s="2361" t="n">
        <v>0.136975300611087</v>
      </c>
      <c r="I56" s="2362" t="n">
        <v>0.00458504280773162</v>
      </c>
      <c r="J56" s="2373" t="n"/>
      <c r="K56" s="456" t="n"/>
      <c r="L56" s="701" t="n"/>
      <c r="M56" s="701" t="n"/>
      <c r="N56" s="701" t="n"/>
      <c r="O56" s="30" t="n"/>
    </row>
    <row r="57" ht="12" customHeight="1" s="1676">
      <c r="A57" s="1523" t="inlineStr">
        <is>
          <t>Text_826</t>
        </is>
      </c>
      <c r="B57" s="1493" t="n"/>
      <c r="C57" s="1525" t="n">
        <v>35320.3206685077</v>
      </c>
      <c r="D57" s="1525" t="n">
        <v>44755.1759640422</v>
      </c>
      <c r="E57" s="1525" t="n">
        <v>32699.472224496</v>
      </c>
      <c r="F57" s="1525" t="n">
        <v>26058.7231756176</v>
      </c>
      <c r="G57" s="1525" t="n">
        <v>27810.5133690625</v>
      </c>
      <c r="H57" s="1525" t="n">
        <v>26776.9016584079</v>
      </c>
      <c r="I57" s="1526" t="n">
        <v>23984.1923855774</v>
      </c>
      <c r="J57" s="2373" t="n">
        <v>-0.100671723597207</v>
      </c>
      <c r="K57" s="456" t="n"/>
      <c r="L57" s="701" t="n"/>
      <c r="M57" s="701" t="n"/>
      <c r="N57" s="701" t="n"/>
      <c r="O57" s="30" t="n"/>
    </row>
    <row r="58" ht="12" customHeight="1" s="1676">
      <c r="A58" s="1523" t="inlineStr">
        <is>
          <t>Text_824</t>
        </is>
      </c>
      <c r="B58" s="1493" t="n"/>
      <c r="C58" s="2361" t="n">
        <v>0.394173611252628</v>
      </c>
      <c r="D58" s="2361" t="n">
        <v>0.225223923055211</v>
      </c>
      <c r="E58" s="2361" t="n">
        <v>-0.283543437351727</v>
      </c>
      <c r="F58" s="2361" t="n">
        <v>-0.250309960191621</v>
      </c>
      <c r="G58" s="2361" t="n">
        <v>0.0476852800925432</v>
      </c>
      <c r="H58" s="2361" t="n">
        <v>0.036462726189177</v>
      </c>
      <c r="I58" s="2362" t="n">
        <v>0.0206890785137759</v>
      </c>
      <c r="J58" s="2373" t="n"/>
      <c r="K58" s="456" t="n"/>
      <c r="L58" s="701" t="n"/>
      <c r="M58" s="701" t="n"/>
      <c r="N58" s="701" t="n"/>
      <c r="O58" s="30" t="n"/>
    </row>
    <row r="59" ht="12" customHeight="1" s="1676">
      <c r="A59" s="1523" t="inlineStr">
        <is>
          <t>Text_827</t>
        </is>
      </c>
      <c r="B59" s="1493" t="n"/>
      <c r="C59" s="1525" t="n">
        <v>8151.33911590525</v>
      </c>
      <c r="D59" s="1525" t="n">
        <v>9308.466438538861</v>
      </c>
      <c r="E59" s="1525" t="n">
        <v>5558.43241627001</v>
      </c>
      <c r="F59" s="1525" t="n">
        <v>7156.5592000732</v>
      </c>
      <c r="G59" s="1525" t="n">
        <v>8572.577467479019</v>
      </c>
      <c r="H59" s="1525" t="n">
        <v>8830.185757825369</v>
      </c>
      <c r="I59" s="1526" t="n">
        <v>9597.835710770711</v>
      </c>
      <c r="J59" s="2373" t="n">
        <v>0.0213820392894167</v>
      </c>
      <c r="K59" s="456" t="n"/>
      <c r="L59" s="701" t="n"/>
      <c r="M59" s="701" t="n"/>
      <c r="N59" s="701" t="n"/>
      <c r="O59" s="30" t="n"/>
    </row>
    <row r="60" ht="12" customHeight="1" s="1676">
      <c r="A60" s="1523" t="inlineStr">
        <is>
          <t>Text_824</t>
        </is>
      </c>
      <c r="B60" s="1493" t="n"/>
      <c r="C60" s="2361" t="n">
        <v>0.648881547452086</v>
      </c>
      <c r="D60" s="2361" t="n">
        <v>0.0862836128136201</v>
      </c>
      <c r="E60" s="2361" t="n">
        <v>-0.331982778433008</v>
      </c>
      <c r="F60" s="2361" t="n">
        <v>0.09946594643511519</v>
      </c>
      <c r="G60" s="2361" t="n">
        <v>0.202767024150727</v>
      </c>
      <c r="H60" s="2361" t="n">
        <v>0.181235299537272</v>
      </c>
      <c r="I60" s="2362" t="n">
        <v>0.0551069704751481</v>
      </c>
      <c r="J60" s="2373" t="n"/>
      <c r="K60" s="456" t="n"/>
      <c r="L60" s="701" t="n"/>
      <c r="M60" s="701" t="n"/>
      <c r="N60" s="701" t="n"/>
      <c r="O60" s="30" t="n"/>
    </row>
    <row r="61" ht="12" customHeight="1" s="1676">
      <c r="A61" s="1527" t="inlineStr">
        <is>
          <t>Text_828</t>
        </is>
      </c>
      <c r="B61" s="1528" t="n"/>
      <c r="C61" s="1529" t="n">
        <v>173653.929892881</v>
      </c>
      <c r="D61" s="1529" t="n">
        <v>169966.195250128</v>
      </c>
      <c r="E61" s="1529" t="n">
        <v>126486.485187488</v>
      </c>
      <c r="F61" s="1529" t="n">
        <v>149366.693375298</v>
      </c>
      <c r="G61" s="1529" t="n">
        <v>167053.992957969</v>
      </c>
      <c r="H61" s="1529" t="n">
        <v>173603.087953309</v>
      </c>
      <c r="I61" s="1530" t="n">
        <v>157851.236858183</v>
      </c>
      <c r="J61" s="2374" t="n">
        <v>-0.00286424202236201</v>
      </c>
      <c r="K61" s="456" t="n"/>
      <c r="L61" s="701" t="n"/>
      <c r="M61" s="701" t="n"/>
      <c r="N61" s="701" t="n"/>
      <c r="O61" s="30" t="n"/>
    </row>
    <row r="62" ht="12" customHeight="1" s="1676">
      <c r="A62" s="1532" t="inlineStr">
        <is>
          <t>Text_820</t>
        </is>
      </c>
      <c r="B62" s="1500" t="n"/>
      <c r="C62" s="2375" t="n">
        <v>0.375032791670981</v>
      </c>
      <c r="D62" s="2375" t="n">
        <v>0.151180882205799</v>
      </c>
      <c r="E62" s="2375" t="n">
        <v>-0.192579540153556</v>
      </c>
      <c r="F62" s="2375" t="n">
        <v>-0.00140970750508338</v>
      </c>
      <c r="G62" s="2375" t="n">
        <v>0.0976460447413391</v>
      </c>
      <c r="H62" s="2375" t="n">
        <v>0.0854169242841136</v>
      </c>
      <c r="I62" s="2376" t="n">
        <v>0.0189533360498838</v>
      </c>
      <c r="J62" s="2377" t="n"/>
      <c r="K62" s="456" t="n"/>
      <c r="L62" s="701" t="n"/>
      <c r="M62" s="701" t="n"/>
      <c r="N62" s="701" t="n"/>
      <c r="O62" s="30" t="n"/>
    </row>
    <row r="63" ht="12" customHeight="1" s="1676">
      <c r="A63" s="1506" t="inlineStr">
        <is>
          <t>Text_829</t>
        </is>
      </c>
      <c r="B63" s="1536" t="n"/>
      <c r="C63" s="1536" t="n"/>
      <c r="D63" s="1536" t="n"/>
      <c r="E63" s="1536" t="n"/>
      <c r="F63" s="1741" t="n"/>
      <c r="G63" s="266" t="n"/>
      <c r="H63" s="266" t="n"/>
      <c r="I63" s="2378" t="n"/>
      <c r="J63" s="2378" t="n"/>
      <c r="K63" s="701" t="n"/>
      <c r="L63" s="701" t="n"/>
      <c r="M63" s="701" t="n"/>
      <c r="N63" s="701" t="n"/>
      <c r="O63" s="30" t="n"/>
    </row>
    <row r="64" ht="12" customHeight="1" s="1676">
      <c r="A64" s="1510">
        <f t="array" ref="A64">A40</f>
        <v/>
      </c>
      <c r="B64" s="1463" t="n"/>
      <c r="C64" s="1463" t="n"/>
      <c r="D64" s="2370" t="n"/>
      <c r="E64" s="2370" t="n"/>
      <c r="F64" s="1463" t="n"/>
      <c r="G64" s="1463" t="n"/>
      <c r="H64" s="1463" t="n"/>
      <c r="I64" s="1463" t="n"/>
      <c r="J64" s="1463" t="n"/>
      <c r="K64" s="1463" t="n"/>
      <c r="L64" s="701" t="n"/>
      <c r="M64" s="701" t="n"/>
      <c r="N64" s="701" t="n"/>
      <c r="O64" s="30" t="n"/>
    </row>
    <row r="65" ht="12" customHeight="1" s="1676">
      <c r="A65" s="74" t="n"/>
      <c r="B65" s="701" t="n"/>
      <c r="C65" s="701" t="n"/>
      <c r="D65" s="701" t="n"/>
      <c r="E65" s="701" t="n"/>
      <c r="F65" s="701" t="n"/>
      <c r="G65" s="701" t="n"/>
      <c r="H65" s="701" t="n"/>
      <c r="I65" s="701" t="n"/>
      <c r="J65" s="701" t="n"/>
      <c r="K65" s="701" t="n"/>
      <c r="L65" s="701" t="n"/>
      <c r="M65" s="701" t="n"/>
      <c r="N65" s="701" t="n"/>
      <c r="O65" s="30" t="n"/>
    </row>
    <row r="66" ht="12" customHeight="1" s="1676">
      <c r="A66" s="1466" t="inlineStr">
        <is>
          <t>Text_830</t>
        </is>
      </c>
      <c r="B66" s="1467" t="inlineStr">
        <is>
          <t>Text_784</t>
        </is>
      </c>
      <c r="C66" s="1467" t="inlineStr">
        <is>
          <t>Text_785</t>
        </is>
      </c>
      <c r="D66" s="1538" t="n"/>
      <c r="E66" s="1538" t="n"/>
      <c r="F66" s="1209" t="n"/>
      <c r="G66" s="1209" t="n"/>
      <c r="H66" s="1209" t="n"/>
      <c r="I66" s="1209" t="n"/>
      <c r="J66" s="1209" t="n"/>
      <c r="K66" s="701" t="n"/>
      <c r="L66" s="701" t="n"/>
      <c r="M66" s="701" t="n"/>
      <c r="N66" s="701" t="n"/>
      <c r="O66" s="30" t="n"/>
    </row>
    <row r="67" ht="12" customHeight="1" s="1676">
      <c r="A67" s="1469" t="inlineStr">
        <is>
          <t>Text_780</t>
        </is>
      </c>
      <c r="B67" s="179" t="n"/>
      <c r="C67" s="179" t="n"/>
      <c r="D67" s="179" t="n"/>
      <c r="E67" s="179" t="n"/>
      <c r="F67" s="179" t="n"/>
      <c r="G67" s="179" t="n"/>
      <c r="H67" s="179" t="n"/>
      <c r="I67" s="179" t="n"/>
      <c r="J67" s="179" t="n"/>
      <c r="K67" s="701" t="n"/>
      <c r="L67" s="701" t="n"/>
      <c r="M67" s="701" t="n"/>
      <c r="N67" s="701" t="n"/>
      <c r="O67" s="30" t="n"/>
    </row>
    <row r="68" ht="27" customHeight="1" s="1676">
      <c r="A68" s="1539" t="n"/>
      <c r="B68" s="1540" t="n"/>
      <c r="C68" s="1515" t="n">
        <v>1838.28034748445</v>
      </c>
      <c r="D68" s="1515" t="n">
        <v>2193.90268764948</v>
      </c>
      <c r="E68" s="1515" t="n">
        <v>2271.37546025381</v>
      </c>
      <c r="F68" s="1515" t="n">
        <v>1945.20498314767</v>
      </c>
      <c r="G68" s="1515" t="n">
        <v>2177.65194655706</v>
      </c>
      <c r="H68" s="1515" t="n">
        <v>2267.29373687569</v>
      </c>
      <c r="I68" s="1515" t="n">
        <v>2237.47813242343</v>
      </c>
      <c r="J68" s="1475" t="inlineStr">
        <is>
          <t>Text_818</t>
        </is>
      </c>
      <c r="K68" s="456" t="n"/>
      <c r="L68" s="701" t="n"/>
      <c r="M68" s="701" t="n"/>
      <c r="N68" s="701" t="n"/>
      <c r="O68" s="30" t="n"/>
    </row>
    <row r="69" ht="12" customHeight="1" s="1676">
      <c r="A69" s="1518" t="inlineStr">
        <is>
          <t>Text_831</t>
        </is>
      </c>
      <c r="B69" s="1541" t="n"/>
      <c r="C69" s="1520" t="n">
        <v>85785.01841817411</v>
      </c>
      <c r="D69" s="1520" t="n">
        <v>119679.622524855</v>
      </c>
      <c r="E69" s="1520" t="n">
        <v>76641.3377002491</v>
      </c>
      <c r="F69" s="1520" t="n">
        <v>74157.45802431559</v>
      </c>
      <c r="G69" s="1520" t="n">
        <v>80855.91571472411</v>
      </c>
      <c r="H69" s="1520" t="n">
        <v>109309.104838841</v>
      </c>
      <c r="I69" s="1520" t="n">
        <v>94980.2255656551</v>
      </c>
      <c r="J69" s="2358" t="n">
        <v>0.00428117147592025</v>
      </c>
      <c r="K69" s="456" t="n"/>
      <c r="L69" s="701" t="n"/>
      <c r="M69" s="701" t="n"/>
      <c r="N69" s="701" t="n"/>
      <c r="O69" s="30" t="n"/>
    </row>
    <row r="70" ht="12" customHeight="1" s="1676">
      <c r="A70" s="1523" t="inlineStr">
        <is>
          <t>Text_832</t>
        </is>
      </c>
      <c r="B70" s="1542" t="n"/>
      <c r="C70" s="1525" t="n">
        <v>48153.858139286</v>
      </c>
      <c r="D70" s="1525" t="n">
        <v>69860.0822695778</v>
      </c>
      <c r="E70" s="1525" t="n">
        <v>64117.9290136117</v>
      </c>
      <c r="F70" s="1525" t="n">
        <v>54888.8802975297</v>
      </c>
      <c r="G70" s="1525" t="n">
        <v>63185.2417120736</v>
      </c>
      <c r="H70" s="1525" t="n">
        <v>59008.2475960587</v>
      </c>
      <c r="I70" s="1525" t="n">
        <v>62924.9672387335</v>
      </c>
      <c r="J70" s="2362" t="n">
        <v>-0.0176535968855199</v>
      </c>
      <c r="K70" s="456" t="n"/>
      <c r="L70" s="701" t="n"/>
      <c r="M70" s="701" t="n"/>
      <c r="N70" s="701" t="n"/>
      <c r="O70" s="30" t="n"/>
    </row>
    <row r="71" ht="12" customHeight="1" s="1676">
      <c r="A71" s="1523" t="inlineStr">
        <is>
          <t>Text_833</t>
        </is>
      </c>
      <c r="B71" s="1542" t="n"/>
      <c r="C71" s="1525" t="n">
        <v>6988.2558828874</v>
      </c>
      <c r="D71" s="1525" t="n">
        <v>7216.81376431147</v>
      </c>
      <c r="E71" s="1525" t="n">
        <v>5308.4069164618</v>
      </c>
      <c r="F71" s="1525" t="n">
        <v>5495.35364097552</v>
      </c>
      <c r="G71" s="1525" t="n">
        <v>6182.35923783668</v>
      </c>
      <c r="H71" s="1525" t="n">
        <v>7012.79720243803</v>
      </c>
      <c r="I71" s="1525" t="n">
        <v>7198.70843625656</v>
      </c>
      <c r="J71" s="2362" t="n">
        <v>0.023295938736885</v>
      </c>
      <c r="K71" s="456" t="n"/>
      <c r="L71" s="701" t="n"/>
      <c r="M71" s="701" t="n"/>
      <c r="N71" s="701" t="n"/>
      <c r="O71" s="30" t="n"/>
    </row>
    <row r="72" ht="12" customHeight="1" s="1676">
      <c r="A72" s="1543" t="inlineStr">
        <is>
          <t>Text_834</t>
        </is>
      </c>
      <c r="B72" s="1544" t="n"/>
      <c r="C72" s="1545" t="n">
        <v>143778.519923772</v>
      </c>
      <c r="D72" s="1545" t="n">
        <v>191500.59089158</v>
      </c>
      <c r="E72" s="1545" t="n">
        <v>157668.05959744</v>
      </c>
      <c r="F72" s="1545" t="n">
        <v>126592.964859797</v>
      </c>
      <c r="G72" s="1545" t="n">
        <v>177514.174950861</v>
      </c>
      <c r="H72" s="1545" t="n">
        <v>161061.207339083</v>
      </c>
      <c r="I72" s="1545" t="n">
        <v>181501.567797432</v>
      </c>
      <c r="J72" s="2379" t="n">
        <v>-0.00293506299194663</v>
      </c>
      <c r="K72" s="456" t="n"/>
      <c r="L72" s="701" t="n"/>
      <c r="M72" s="701" t="n"/>
      <c r="N72" s="701" t="n"/>
      <c r="O72" s="30" t="n"/>
    </row>
    <row r="73" ht="12" customHeight="1" s="1676">
      <c r="A73" s="1506" t="inlineStr">
        <is>
          <t>Text_816</t>
        </is>
      </c>
      <c r="B73" s="1536" t="n"/>
      <c r="C73" s="1536" t="n"/>
      <c r="D73" s="1536" t="n"/>
      <c r="E73" s="1536" t="n"/>
      <c r="F73" s="1536" t="n"/>
      <c r="G73" s="1536" t="n"/>
      <c r="H73" s="1536" t="n"/>
      <c r="I73" s="1536" t="n"/>
      <c r="J73" s="1536" t="n"/>
      <c r="K73" s="701" t="n"/>
      <c r="L73" s="701" t="n"/>
      <c r="M73" s="701" t="n"/>
      <c r="N73" s="701" t="n"/>
      <c r="O73" s="30" t="n"/>
    </row>
    <row r="74" ht="12" customHeight="1" s="1676">
      <c r="A74" s="1510">
        <f t="array" ref="A74">A64</f>
        <v/>
      </c>
      <c r="B74" s="1463" t="n"/>
      <c r="C74" s="1463" t="n"/>
      <c r="D74" s="2370" t="n"/>
      <c r="E74" s="2370" t="n"/>
      <c r="F74" s="1463" t="n"/>
      <c r="G74" s="1463" t="n"/>
      <c r="H74" s="1463" t="n"/>
      <c r="I74" s="1463" t="n"/>
      <c r="J74" s="1463" t="n"/>
      <c r="K74" s="1463" t="n"/>
      <c r="L74" s="701" t="n"/>
      <c r="M74" s="701" t="n"/>
      <c r="N74" s="701" t="n"/>
      <c r="O74" s="30" t="n"/>
    </row>
    <row r="75" ht="12" customHeight="1" s="1676">
      <c r="A75" s="74" t="n"/>
      <c r="B75" s="701" t="n"/>
      <c r="C75" s="701" t="n"/>
      <c r="D75" s="701" t="n"/>
      <c r="E75" s="1547" t="n"/>
      <c r="F75" s="1547" t="n"/>
      <c r="G75" s="1547" t="n"/>
      <c r="H75" s="1547" t="n"/>
      <c r="I75" s="1547" t="n"/>
      <c r="J75" s="1547" t="n"/>
      <c r="K75" s="701" t="n"/>
      <c r="L75" s="701" t="n"/>
      <c r="M75" s="701" t="n"/>
      <c r="N75" s="701" t="n"/>
      <c r="O75" s="30" t="n"/>
    </row>
    <row r="76" ht="12" customHeight="1" s="1676">
      <c r="A76" s="1466" t="inlineStr">
        <is>
          <t>Text_835</t>
        </is>
      </c>
      <c r="B76" s="1467" t="inlineStr">
        <is>
          <t>Text_784</t>
        </is>
      </c>
      <c r="C76" s="1467" t="inlineStr">
        <is>
          <t>Text_785</t>
        </is>
      </c>
      <c r="D76" s="1538" t="n"/>
      <c r="E76" s="1209" t="n"/>
      <c r="F76" s="1209" t="n"/>
      <c r="G76" s="1209" t="n"/>
      <c r="H76" s="1209" t="n"/>
      <c r="I76" s="1209" t="n"/>
      <c r="J76" s="1209" t="n"/>
      <c r="K76" s="701" t="n"/>
      <c r="L76" s="701" t="n"/>
      <c r="M76" s="701" t="n"/>
      <c r="N76" s="701" t="n"/>
      <c r="O76" s="30" t="n"/>
    </row>
    <row r="77" ht="12" customHeight="1" s="1676">
      <c r="A77" s="1469" t="inlineStr">
        <is>
          <t>Text_781</t>
        </is>
      </c>
      <c r="B77" s="179" t="n"/>
      <c r="C77" s="179" t="n"/>
      <c r="D77" s="179" t="n"/>
      <c r="E77" s="179" t="n"/>
      <c r="F77" s="179" t="n"/>
      <c r="G77" s="179" t="n"/>
      <c r="H77" s="179" t="n"/>
      <c r="I77" s="179" t="n"/>
      <c r="J77" s="179" t="n"/>
      <c r="K77" s="701" t="n"/>
      <c r="L77" s="701" t="n"/>
      <c r="M77" s="701" t="n"/>
      <c r="N77" s="701" t="n"/>
      <c r="O77" s="30" t="n"/>
    </row>
    <row r="78" ht="27" customHeight="1" s="1676">
      <c r="A78" s="1539" t="n"/>
      <c r="B78" s="1540" t="n"/>
      <c r="C78" s="1515" t="n">
        <v>2210.13300206095</v>
      </c>
      <c r="D78" s="1515" t="n">
        <v>2292.39176937025</v>
      </c>
      <c r="E78" s="1515" t="n">
        <v>1909.46087369869</v>
      </c>
      <c r="F78" s="1515" t="n">
        <v>2241.6851192037</v>
      </c>
      <c r="G78" s="1515" t="n">
        <v>1801.2497938375</v>
      </c>
      <c r="H78" s="1515" t="n">
        <v>2150.62386288171</v>
      </c>
      <c r="I78" s="1515" t="n">
        <v>2174.14665731745</v>
      </c>
      <c r="J78" s="1475" t="inlineStr">
        <is>
          <t>Text_818</t>
        </is>
      </c>
      <c r="K78" s="456" t="n"/>
      <c r="L78" s="701" t="n"/>
      <c r="M78" s="701" t="n"/>
      <c r="N78" s="701" t="n"/>
      <c r="O78" s="30" t="n"/>
    </row>
    <row r="79" ht="12" customHeight="1" s="1676">
      <c r="A79" s="1518" t="inlineStr">
        <is>
          <t>Text_836</t>
        </is>
      </c>
      <c r="B79" s="1519" t="n"/>
      <c r="C79" s="1520" t="n">
        <v>99150.53718787991</v>
      </c>
      <c r="D79" s="1520" t="n">
        <v>109968.561202976</v>
      </c>
      <c r="E79" s="1520" t="n">
        <v>123100.675440337</v>
      </c>
      <c r="F79" s="1520" t="n">
        <v>96301.72035792661</v>
      </c>
      <c r="G79" s="1520" t="n">
        <v>94625.0130657909</v>
      </c>
      <c r="H79" s="1520" t="n">
        <v>119543.392943197</v>
      </c>
      <c r="I79" s="1520" t="n">
        <v>113559.224170014</v>
      </c>
      <c r="J79" s="2358" t="n">
        <v>-0.00777318372007494</v>
      </c>
      <c r="K79" s="456" t="n"/>
      <c r="L79" s="701" t="n"/>
      <c r="M79" s="701" t="n"/>
      <c r="N79" s="701" t="n"/>
      <c r="O79" s="30" t="n"/>
    </row>
    <row r="80" ht="12" customHeight="1" s="1676">
      <c r="A80" s="1523" t="inlineStr">
        <is>
          <t>Text_108</t>
        </is>
      </c>
      <c r="B80" s="1493" t="n"/>
      <c r="C80" s="1525" t="n">
        <v>50491.4034894135</v>
      </c>
      <c r="D80" s="1525" t="n">
        <v>44968.740581303</v>
      </c>
      <c r="E80" s="1525" t="n">
        <v>28060.4418473182</v>
      </c>
      <c r="F80" s="1525" t="n">
        <v>29064.8383574337</v>
      </c>
      <c r="G80" s="1525" t="n">
        <v>36319.6145886617</v>
      </c>
      <c r="H80" s="1525" t="n">
        <v>53200.1048328979</v>
      </c>
      <c r="I80" s="1525" t="n">
        <v>50469.3214107711</v>
      </c>
      <c r="J80" s="2362" t="n">
        <v>0.00146541133191939</v>
      </c>
      <c r="K80" s="456" t="n"/>
      <c r="L80" s="701" t="n"/>
      <c r="M80" s="701" t="n"/>
      <c r="N80" s="701" t="n"/>
      <c r="O80" s="30" t="n"/>
    </row>
    <row r="81" ht="12" customHeight="1" s="1676">
      <c r="A81" s="1523" t="inlineStr">
        <is>
          <t>Text_837</t>
        </is>
      </c>
      <c r="B81" s="1493" t="n"/>
      <c r="C81" s="1525" t="n">
        <v>23080.2040602632</v>
      </c>
      <c r="D81" s="1525" t="n">
        <v>23950.3412161236</v>
      </c>
      <c r="E81" s="1525" t="n">
        <v>14556.6053015145</v>
      </c>
      <c r="F81" s="1525" t="n">
        <v>15520.1892656161</v>
      </c>
      <c r="G81" s="1525" t="n">
        <v>18829.0913193104</v>
      </c>
      <c r="H81" s="1525" t="n">
        <v>27163.1649513035</v>
      </c>
      <c r="I81" s="1525" t="n">
        <v>24178.2747968147</v>
      </c>
      <c r="J81" s="2362" t="n">
        <v>0.0109671142098054</v>
      </c>
      <c r="K81" s="456" t="n"/>
      <c r="L81" s="701" t="n"/>
      <c r="M81" s="701" t="n"/>
      <c r="N81" s="701" t="n"/>
      <c r="O81" s="30" t="n"/>
    </row>
    <row r="82" ht="12" customHeight="1" s="1676">
      <c r="A82" s="1523" t="inlineStr">
        <is>
          <t>Text_838</t>
        </is>
      </c>
      <c r="B82" s="1493" t="n"/>
      <c r="C82" s="1525" t="n">
        <v>27282.1024103255</v>
      </c>
      <c r="D82" s="1525" t="n">
        <v>30830.7081082251</v>
      </c>
      <c r="E82" s="1525" t="n">
        <v>12720.3736548811</v>
      </c>
      <c r="F82" s="1525" t="n">
        <v>12139.8966975986</v>
      </c>
      <c r="G82" s="1525" t="n">
        <v>17872.8833099067</v>
      </c>
      <c r="H82" s="1525" t="n">
        <v>27803.5300265674</v>
      </c>
      <c r="I82" s="1525" t="n">
        <v>23289.024324419</v>
      </c>
      <c r="J82" s="2362" t="n">
        <v>-0.0055855392598983</v>
      </c>
      <c r="K82" s="456" t="n"/>
      <c r="L82" s="701" t="n"/>
      <c r="M82" s="701" t="n"/>
      <c r="N82" s="701" t="n"/>
      <c r="O82" s="30" t="n"/>
    </row>
    <row r="83" ht="12" customHeight="1" s="1676">
      <c r="A83" s="1523" t="inlineStr">
        <is>
          <t>Text_839</t>
        </is>
      </c>
      <c r="B83" s="1493" t="n"/>
      <c r="C83" s="1525" t="n">
        <v>329.400745282224</v>
      </c>
      <c r="D83" s="1525" t="n">
        <v>308.550955795639</v>
      </c>
      <c r="E83" s="1525" t="n">
        <v>210.616001172722</v>
      </c>
      <c r="F83" s="1525" t="n">
        <v>219.394781264821</v>
      </c>
      <c r="G83" s="1525" t="n">
        <v>276.503020946426</v>
      </c>
      <c r="H83" s="1525" t="n">
        <v>236.416676179184</v>
      </c>
      <c r="I83" s="1525" t="n">
        <v>280.410978853193</v>
      </c>
      <c r="J83" s="2362" t="n">
        <v>-0.0266213223402586</v>
      </c>
      <c r="K83" s="456" t="n"/>
      <c r="L83" s="701" t="n"/>
      <c r="M83" s="701" t="n"/>
      <c r="N83" s="701" t="n"/>
      <c r="O83" s="30" t="n"/>
    </row>
    <row r="84" ht="12" customHeight="1" s="1676">
      <c r="A84" s="1523" t="inlineStr">
        <is>
          <t>Text_840</t>
        </is>
      </c>
      <c r="B84" s="1493" t="n"/>
      <c r="C84" s="1525" t="n">
        <v>181.290121872401</v>
      </c>
      <c r="D84" s="1525" t="n">
        <v>136.514956852091</v>
      </c>
      <c r="E84" s="1525" t="n">
        <v>101.328465857731</v>
      </c>
      <c r="F84" s="1525" t="n">
        <v>77.7068550760617</v>
      </c>
      <c r="G84" s="1525" t="n">
        <v>68.59776570927011</v>
      </c>
      <c r="H84" s="1525" t="n">
        <v>73.8092850489421</v>
      </c>
      <c r="I84" s="1525" t="n">
        <v>89.8979551104179</v>
      </c>
      <c r="J84" s="2362" t="n">
        <v>-0.10052984777619</v>
      </c>
      <c r="K84" s="456" t="n"/>
      <c r="L84" s="701" t="n"/>
      <c r="M84" s="701" t="n"/>
      <c r="N84" s="701" t="n"/>
      <c r="O84" s="30" t="n"/>
    </row>
    <row r="85" ht="12" customHeight="1" s="1676">
      <c r="A85" s="1523" t="inlineStr">
        <is>
          <t>Text_841</t>
        </is>
      </c>
      <c r="B85" s="1493" t="n"/>
      <c r="C85" s="1525" t="n">
        <v>5810.53215518739</v>
      </c>
      <c r="D85" s="1525" t="n">
        <v>7618.08039615763</v>
      </c>
      <c r="E85" s="1525" t="n">
        <v>6056.4968421608</v>
      </c>
      <c r="F85" s="1525" t="n">
        <v>6496.10395895295</v>
      </c>
      <c r="G85" s="1525" t="n">
        <v>6233.33215179484</v>
      </c>
      <c r="H85" s="1525" t="n">
        <v>8765.873368108711</v>
      </c>
      <c r="I85" s="1525" t="n">
        <v>7743.45045303442</v>
      </c>
      <c r="J85" s="2362" t="n">
        <v>0.0395136268782351</v>
      </c>
      <c r="K85" s="456" t="n"/>
      <c r="L85" s="701" t="n"/>
      <c r="M85" s="701" t="n"/>
      <c r="N85" s="701" t="n"/>
      <c r="O85" s="30" t="n"/>
    </row>
    <row r="86" ht="12" customHeight="1" s="1676">
      <c r="A86" s="1543" t="inlineStr">
        <is>
          <t>Text_834</t>
        </is>
      </c>
      <c r="B86" s="1544" t="n"/>
      <c r="C86" s="1545" t="n">
        <v>159826.756010716</v>
      </c>
      <c r="D86" s="1545" t="n">
        <v>180595.955719374</v>
      </c>
      <c r="E86" s="1545" t="n">
        <v>138624.044212126</v>
      </c>
      <c r="F86" s="1545" t="n">
        <v>138733.590769111</v>
      </c>
      <c r="G86" s="1545" t="n">
        <v>169668.329593754</v>
      </c>
      <c r="H86" s="1545" t="n">
        <v>154281.385579466</v>
      </c>
      <c r="I86" s="1545" t="n">
        <v>189702.132910321</v>
      </c>
      <c r="J86" s="2379" t="n">
        <v>-0.00290555209872719</v>
      </c>
      <c r="K86" s="456" t="n"/>
      <c r="L86" s="701" t="n"/>
      <c r="M86" s="701" t="n"/>
      <c r="N86" s="701" t="n"/>
      <c r="O86" s="30" t="n"/>
    </row>
    <row r="87" ht="12" customHeight="1" s="1676">
      <c r="A87" s="1548" t="inlineStr">
        <is>
          <t>Text_842</t>
        </is>
      </c>
      <c r="B87" s="2380" t="n"/>
      <c r="C87" s="2380" t="n"/>
      <c r="D87" s="2380" t="n"/>
      <c r="E87" s="2380" t="n"/>
      <c r="F87" s="2380" t="n"/>
      <c r="G87" s="2380" t="n"/>
      <c r="H87" s="2380" t="n"/>
      <c r="I87" s="2380" t="n"/>
      <c r="J87" s="2380" t="n"/>
      <c r="K87" s="2380" t="n"/>
      <c r="L87" s="2380" t="n"/>
      <c r="M87" s="2380" t="n"/>
      <c r="N87" s="701" t="n"/>
      <c r="O87" s="30" t="n"/>
    </row>
    <row r="88" ht="12" customHeight="1" s="1676">
      <c r="A88" s="1508" t="inlineStr">
        <is>
          <t>Text_843</t>
        </is>
      </c>
      <c r="B88" s="1209" t="n"/>
      <c r="C88" s="1209" t="n"/>
      <c r="D88" s="1209" t="n"/>
      <c r="E88" s="1209" t="n"/>
      <c r="F88" s="1209" t="n"/>
      <c r="G88" s="1209" t="n"/>
      <c r="H88" s="1209" t="n"/>
      <c r="I88" s="1209" t="n"/>
      <c r="J88" s="701" t="n"/>
      <c r="K88" s="701" t="n"/>
      <c r="L88" s="701" t="n"/>
      <c r="M88" s="701" t="n"/>
      <c r="N88" s="701" t="n"/>
      <c r="O88" s="30" t="n"/>
    </row>
    <row r="89" ht="12" customHeight="1" s="1676">
      <c r="A89" s="1510">
        <f t="array" ref="A89">A74</f>
        <v/>
      </c>
      <c r="B89" s="1463" t="n"/>
      <c r="C89" s="1463" t="n"/>
      <c r="D89" s="2370" t="n"/>
      <c r="E89" s="2370" t="n"/>
      <c r="F89" s="1463" t="n"/>
      <c r="G89" s="1463" t="n"/>
      <c r="H89" s="1463" t="n"/>
      <c r="I89" s="1463" t="n"/>
      <c r="J89" s="1463" t="n"/>
      <c r="K89" s="701" t="n"/>
      <c r="L89" s="701" t="n"/>
      <c r="M89" s="701" t="n"/>
      <c r="N89" s="701" t="n"/>
      <c r="O89" s="30" t="n"/>
    </row>
    <row r="90" ht="12" customHeight="1" s="1676">
      <c r="A90" s="74" t="n"/>
      <c r="B90" s="701" t="n"/>
      <c r="C90" s="701" t="n"/>
      <c r="D90" s="701" t="n"/>
      <c r="E90" s="701" t="n"/>
      <c r="F90" s="701" t="n"/>
      <c r="G90" s="701" t="n"/>
      <c r="H90" s="701" t="n"/>
      <c r="I90" s="701" t="n"/>
      <c r="J90" s="701" t="n"/>
      <c r="K90" s="701" t="n"/>
      <c r="L90" s="701" t="n"/>
      <c r="M90" s="701" t="n"/>
      <c r="N90" s="701" t="n"/>
      <c r="O90" s="30" t="n"/>
    </row>
    <row r="91" ht="12" customHeight="1" s="1676">
      <c r="A91" s="1466" t="inlineStr">
        <is>
          <t>Text_844</t>
        </is>
      </c>
      <c r="B91" s="1467" t="inlineStr">
        <is>
          <t>Text_784</t>
        </is>
      </c>
      <c r="C91" s="1467" t="inlineStr">
        <is>
          <t>Text_785</t>
        </is>
      </c>
      <c r="D91" s="701" t="n"/>
      <c r="E91" s="701" t="n"/>
      <c r="F91" s="701" t="n"/>
      <c r="G91" s="701" t="n"/>
      <c r="H91" s="701" t="n"/>
      <c r="I91" s="701" t="n"/>
      <c r="J91" s="701" t="n"/>
      <c r="K91" s="701" t="n"/>
      <c r="L91" s="701" t="n"/>
      <c r="M91" s="701" t="n"/>
      <c r="N91" s="701" t="n"/>
      <c r="O91" s="30" t="n"/>
    </row>
    <row r="92" ht="12" customHeight="1" s="1676">
      <c r="A92" s="1469" t="inlineStr">
        <is>
          <t>Text_782</t>
        </is>
      </c>
      <c r="B92" s="179" t="n"/>
      <c r="C92" s="179" t="n"/>
      <c r="D92" s="179" t="n"/>
      <c r="E92" s="179" t="n"/>
      <c r="F92" s="179" t="n"/>
      <c r="G92" s="179" t="n"/>
      <c r="H92" s="179" t="n"/>
      <c r="I92" s="179" t="n"/>
      <c r="J92" s="179" t="n"/>
      <c r="K92" s="179" t="n"/>
      <c r="L92" s="179" t="n"/>
      <c r="M92" s="179" t="n"/>
      <c r="N92" s="179" t="n"/>
      <c r="O92" s="30" t="n"/>
    </row>
    <row r="93" ht="30.75" customHeight="1" s="1676">
      <c r="A93" s="1514" t="n"/>
      <c r="B93" s="1549" t="n"/>
      <c r="C93" s="1550" t="inlineStr">
        <is>
          <t>Text_819</t>
        </is>
      </c>
      <c r="D93" s="2381" t="n"/>
      <c r="E93" s="1550" t="inlineStr">
        <is>
          <t>Text_821</t>
        </is>
      </c>
      <c r="F93" s="2381" t="n"/>
      <c r="G93" s="1550" t="inlineStr">
        <is>
          <t>Text_30</t>
        </is>
      </c>
      <c r="H93" s="2381" t="n"/>
      <c r="I93" s="1550" t="inlineStr">
        <is>
          <t>Text_822</t>
        </is>
      </c>
      <c r="J93" s="2381" t="n"/>
      <c r="K93" s="1550" t="inlineStr">
        <is>
          <t>Text_845</t>
        </is>
      </c>
      <c r="L93" s="2381" t="n"/>
      <c r="M93" s="1550" t="inlineStr">
        <is>
          <t>Text_846</t>
        </is>
      </c>
      <c r="N93" s="2381" t="n"/>
      <c r="O93" s="1551" t="n"/>
    </row>
    <row r="94" ht="12" customHeight="1" s="1676">
      <c r="A94" s="1514" t="n"/>
      <c r="B94" s="1549" t="n"/>
      <c r="C94" s="1552" t="n">
        <v>1972.84706477466</v>
      </c>
      <c r="D94" s="1552" t="n">
        <v>1997.52756740475</v>
      </c>
      <c r="E94" s="1552" t="n">
        <v>1874.38219587909</v>
      </c>
      <c r="F94" s="1552" t="n">
        <v>2176.00818851379</v>
      </c>
      <c r="G94" s="1552" t="n">
        <v>2029.80981868237</v>
      </c>
      <c r="H94" s="1552" t="n">
        <v>1914.27662199488</v>
      </c>
      <c r="I94" s="1552" t="n">
        <v>2080.26400022059</v>
      </c>
      <c r="J94" s="1552" t="n">
        <v>2323.86123894995</v>
      </c>
      <c r="K94" s="1552" t="n">
        <v>1982.73009883967</v>
      </c>
      <c r="L94" s="1552" t="n">
        <v>2278.31761113254</v>
      </c>
      <c r="M94" s="1552" t="n">
        <v>1927.98721509824</v>
      </c>
      <c r="N94" s="1552" t="n">
        <v>1752.76727983277</v>
      </c>
      <c r="O94" s="1551" t="n"/>
    </row>
    <row r="95" ht="12" customHeight="1" s="1676">
      <c r="A95" s="1518" t="inlineStr">
        <is>
          <t>Text_847</t>
        </is>
      </c>
      <c r="B95" s="1553" t="n"/>
      <c r="C95" s="1554" t="n">
        <v>18135.5777605856</v>
      </c>
      <c r="D95" s="1554" t="n">
        <v>17736.9651346852</v>
      </c>
      <c r="E95" s="1554" t="n">
        <v>9829.78114769455</v>
      </c>
      <c r="F95" s="1554" t="n">
        <v>10629.3962507148</v>
      </c>
      <c r="G95" s="1554" t="n">
        <v>7148.49841302782</v>
      </c>
      <c r="H95" s="1554" t="n">
        <v>3956.12439187041</v>
      </c>
      <c r="I95" s="1554" t="n">
        <v>11114.6518917977</v>
      </c>
      <c r="J95" s="1554" t="n">
        <v>5340.80092616378</v>
      </c>
      <c r="K95" s="1554">
        <f t="array" ref="K95">C95+E95+G95+I95</f>
        <v/>
      </c>
      <c r="L95" s="1554">
        <f t="array" ref="L95">D95+F95+H95+J95</f>
        <v/>
      </c>
      <c r="M95" s="2382">
        <f t="array" ref="M95">K95/K$99</f>
        <v/>
      </c>
      <c r="N95" s="2382">
        <f t="array" ref="N95">L95/L$99</f>
        <v/>
      </c>
      <c r="O95" s="1551" t="n"/>
    </row>
    <row r="96" ht="12" customHeight="1" s="1676">
      <c r="A96" s="1523" t="inlineStr">
        <is>
          <t>Text_848</t>
        </is>
      </c>
      <c r="B96" s="1556" t="n"/>
      <c r="C96" s="1557" t="n">
        <v>0</v>
      </c>
      <c r="D96" s="1557" t="n">
        <v>0</v>
      </c>
      <c r="E96" s="1557" t="n">
        <v>0</v>
      </c>
      <c r="F96" s="1557" t="n">
        <v>0</v>
      </c>
      <c r="G96" s="1557" t="n">
        <v>5126.64410874008</v>
      </c>
      <c r="H96" s="1557" t="n">
        <v>3506.37800702552</v>
      </c>
      <c r="I96" s="1557" t="n">
        <v>320.610255329244</v>
      </c>
      <c r="J96" s="1557" t="n">
        <v>229.580698933361</v>
      </c>
      <c r="K96" s="1557">
        <f t="array" ref="K96">C96+E96+G96+I96</f>
        <v/>
      </c>
      <c r="L96" s="1557">
        <f t="array" ref="L96">D96+F96+H96+J96</f>
        <v/>
      </c>
      <c r="M96" s="2383">
        <f t="array" ref="M96">K96/K$99</f>
        <v/>
      </c>
      <c r="N96" s="2383">
        <f t="array" ref="N96">L96/L$99</f>
        <v/>
      </c>
      <c r="O96" s="1551" t="n"/>
    </row>
    <row r="97" ht="12" customHeight="1" s="1676">
      <c r="A97" s="1523" t="inlineStr">
        <is>
          <t>Text_849</t>
        </is>
      </c>
      <c r="B97" s="1556" t="n"/>
      <c r="C97" s="1557" t="n">
        <v>498.355303748529</v>
      </c>
      <c r="D97" s="1557" t="n">
        <v>500.062607846539</v>
      </c>
      <c r="E97" s="1557" t="n">
        <v>6078.22218771667</v>
      </c>
      <c r="F97" s="1557" t="n">
        <v>5333.87915210669</v>
      </c>
      <c r="G97" s="1557" t="n">
        <v>0</v>
      </c>
      <c r="H97" s="1557" t="n">
        <v>0</v>
      </c>
      <c r="I97" s="1557" t="n">
        <v>1625.90798160313</v>
      </c>
      <c r="J97" s="1557" t="n">
        <v>1379.34253327502</v>
      </c>
      <c r="K97" s="1557">
        <f t="array" ref="K97">C97+E97+G97+I97</f>
        <v/>
      </c>
      <c r="L97" s="1557">
        <f t="array" ref="L97">D97+F97+H97+J97</f>
        <v/>
      </c>
      <c r="M97" s="2383">
        <f t="array" ref="M97">K97/K$99</f>
        <v/>
      </c>
      <c r="N97" s="2383">
        <f t="array" ref="N97">L97/L$99</f>
        <v/>
      </c>
      <c r="O97" s="1551" t="n"/>
    </row>
    <row r="98" ht="12" customHeight="1" s="1676">
      <c r="A98" s="1523" t="inlineStr">
        <is>
          <t>Text_850</t>
        </is>
      </c>
      <c r="B98" s="1556" t="n"/>
      <c r="C98" s="1557" t="n">
        <v>1986.29343934596</v>
      </c>
      <c r="D98" s="1557" t="n">
        <v>3966.51922749338</v>
      </c>
      <c r="E98" s="1557" t="n">
        <v>0</v>
      </c>
      <c r="F98" s="1557" t="n">
        <v>0</v>
      </c>
      <c r="G98" s="1557" t="n">
        <v>1400.78879594449</v>
      </c>
      <c r="H98" s="1557" t="n">
        <v>1782.44470399673</v>
      </c>
      <c r="I98" s="1557" t="n">
        <v>116862.798062099</v>
      </c>
      <c r="J98" s="1557" t="n">
        <v>83535.1570692219</v>
      </c>
      <c r="K98" s="1557">
        <f t="array" ref="K98">C98+E98+G98+I98</f>
        <v/>
      </c>
      <c r="L98" s="1557">
        <f t="array" ref="L98">D98+F98+H98+J98</f>
        <v/>
      </c>
      <c r="M98" s="2383">
        <f t="array" ref="M98">K98/K$99</f>
        <v/>
      </c>
      <c r="N98" s="2383">
        <f t="array" ref="N98">L98/L$99</f>
        <v/>
      </c>
      <c r="O98" s="1551" t="n"/>
    </row>
    <row r="99" ht="12" customHeight="1" s="1676">
      <c r="A99" s="1527" t="inlineStr">
        <is>
          <t>Text_834</t>
        </is>
      </c>
      <c r="B99" s="1559" t="n"/>
      <c r="C99" s="1560">
        <f t="array" ref="C99">SUM(C95:C98)</f>
        <v/>
      </c>
      <c r="D99" s="1560">
        <f t="array" ref="D99">SUM(D95:D98)</f>
        <v/>
      </c>
      <c r="E99" s="1560">
        <f t="array" ref="E99">SUM(E95:E98)</f>
        <v/>
      </c>
      <c r="F99" s="1560">
        <f t="array" ref="F99">SUM(F95:F98)</f>
        <v/>
      </c>
      <c r="G99" s="1560">
        <f t="array" ref="G99">SUM(G95:G98)</f>
        <v/>
      </c>
      <c r="H99" s="1560">
        <f t="array" ref="H99">SUM(H95:H98)</f>
        <v/>
      </c>
      <c r="I99" s="1560">
        <f t="array" ref="I99">SUM(I95:I98)</f>
        <v/>
      </c>
      <c r="J99" s="1560">
        <f t="array" ref="J99">SUM(J95:J98)</f>
        <v/>
      </c>
      <c r="K99" s="1560">
        <f t="array" ref="K99">SUM(K95:K98)</f>
        <v/>
      </c>
      <c r="L99" s="1560">
        <f t="array" ref="L99">SUM(L95:L98)</f>
        <v/>
      </c>
      <c r="M99" s="2384">
        <f t="array" ref="M99">SUM(M95:M98)</f>
        <v/>
      </c>
      <c r="N99" s="2384">
        <f t="array" ref="N99">SUM(N95:N98)</f>
        <v/>
      </c>
      <c r="O99" s="1551" t="n"/>
    </row>
    <row r="100" ht="12" customHeight="1" s="1676">
      <c r="A100" s="1532" t="inlineStr">
        <is>
          <t>Text_851</t>
        </is>
      </c>
      <c r="B100" s="1562" t="n"/>
      <c r="C100" s="1563">
        <f t="array" ref="C100">C99/$K99</f>
        <v/>
      </c>
      <c r="D100" s="1563">
        <f t="array" ref="D100">D99/$L99</f>
        <v/>
      </c>
      <c r="E100" s="1563">
        <f t="array" ref="E100">E99/$K99</f>
        <v/>
      </c>
      <c r="F100" s="1563">
        <f t="array" ref="F100">F99/$L99</f>
        <v/>
      </c>
      <c r="G100" s="1563">
        <f t="array" ref="G100">G99/$K99</f>
        <v/>
      </c>
      <c r="H100" s="1563">
        <f t="array" ref="H100">H99/$L99</f>
        <v/>
      </c>
      <c r="I100" s="1563">
        <f t="array" ref="I100">I99/$K99</f>
        <v/>
      </c>
      <c r="J100" s="1563">
        <f t="array" ref="J100">J99/$L99</f>
        <v/>
      </c>
      <c r="K100" s="1563">
        <f t="array" ref="K100">K99/$K99</f>
        <v/>
      </c>
      <c r="L100" s="1563" t="n">
        <v>1.03614456860213</v>
      </c>
      <c r="M100" s="2385" t="n"/>
      <c r="N100" s="2385" t="n"/>
      <c r="O100" s="1551" t="n"/>
    </row>
    <row r="101" ht="12" customHeight="1" s="1676">
      <c r="A101" s="1506" t="inlineStr">
        <is>
          <t>Text_816</t>
        </is>
      </c>
      <c r="B101" s="2386" t="n"/>
      <c r="C101" s="2386" t="n"/>
      <c r="D101" s="2386" t="n"/>
      <c r="E101" s="2386" t="n"/>
      <c r="F101" s="2386" t="n"/>
      <c r="G101" s="2357" t="n"/>
      <c r="H101" s="266" t="n"/>
      <c r="I101" s="266" t="n"/>
      <c r="J101" s="266" t="n"/>
      <c r="K101" s="266" t="n"/>
      <c r="L101" s="266" t="n"/>
      <c r="M101" s="266" t="n"/>
      <c r="N101" s="266" t="n"/>
      <c r="O101" s="30" t="n"/>
    </row>
    <row r="102" ht="12" customHeight="1" s="1676">
      <c r="A102" s="1566">
        <f t="array" ref="A102">A89</f>
        <v/>
      </c>
      <c r="B102" s="1567" t="n"/>
      <c r="C102" s="1567" t="n"/>
      <c r="D102" s="2387" t="n"/>
      <c r="E102" s="2387" t="n"/>
      <c r="F102" s="1567" t="n"/>
      <c r="G102" s="1567" t="n"/>
      <c r="H102" s="1567" t="n"/>
      <c r="I102" s="1567" t="n"/>
      <c r="J102" s="1567" t="n"/>
      <c r="K102" s="857" t="n"/>
      <c r="L102" s="857" t="n"/>
      <c r="M102" s="857" t="n"/>
      <c r="N102" s="857" t="n"/>
      <c r="O102" s="859" t="n"/>
    </row>
  </sheetData>
  <mergeCells count="12">
    <mergeCell ref="B8:H8"/>
    <mergeCell ref="C93:D93"/>
    <mergeCell ref="B5:O5"/>
    <mergeCell ref="G93:H93"/>
    <mergeCell ref="B7:H7"/>
    <mergeCell ref="A87:M87"/>
    <mergeCell ref="E93:F93"/>
    <mergeCell ref="I93:J93"/>
    <mergeCell ref="M93:N93"/>
    <mergeCell ref="K93:L93"/>
    <mergeCell ref="B6:J6"/>
    <mergeCell ref="B9:L9"/>
  </mergeCells>
  <hyperlinks>
    <hyperlink ref="B5" location="'Capital Spending'!R1C1" tooltip="" display="Worldwide Semiconductor Capital Spending Estimates — Top 20 Spenders, Comparison of 2021, 2022 and 2023 (Millions of U.S. Dollars)"/>
    <hyperlink ref="B6" location="'Capital Spending'!R1C1" tooltip="" display="Forecast Worldwide Capital Spending by Region, 2021-2027 (Millions of U.S. Dollars)"/>
    <hyperlink ref="B7" location="'Capital Spending'!R1C1" tooltip="" display="Capital Spending by Manufacturing Type (Millions of U.S. Dollars)"/>
    <hyperlink ref="B8" location="'Capital Spending'!R1C1" tooltip="" display="Capital Spending by Device Application (Millions of U.S. Dollars)"/>
    <hyperlink ref="B9" location="'Capital Spending'!R1C1" tooltip="" display="Regional Investment Patterns of Semiconductor Manufacturers in 2022-2023 (Millions of U.S. Dollars)"/>
    <hyperlink ref="B12" location="'Capital Spending'!R1C1" tooltip="" display="(Top)"/>
    <hyperlink ref="B42" location="'Capital Spending'!R1C1" tooltip="" display="(Top)"/>
    <hyperlink ref="B66" location="'Capital Spending'!R1C1" tooltip="" display="(Top)"/>
    <hyperlink ref="B76" location="'Capital Spending'!R1C1" tooltip="" display="(Top)"/>
    <hyperlink ref="B91" location="'Capital Spending'!R1C1" tooltip="" display="(Top)"/>
  </hyperlinks>
  <pageMargins left="0.708661" right="0.708661" top="0.748031" bottom="0.748031" header="0.314961" footer="0.314961"/>
  <pageSetup orientation="portrait" scale="100" fitToHeight="1" fitToWidth="1" firstPageNumber="1" useFirstPageNumber="0" pageOrder="downThenOver"/>
  <headerFooter>
    <oddHeader/>
    <oddFooter>&amp;C&amp;"Calibri,Regular"&amp;11 &amp;K000000© 2023 Gartner, Inc. and/or its Affiliates. All Rights Reserved.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86"/>
  <sheetViews>
    <sheetView defaultGridColor="0" colorId="41" workbookViewId="0">
      <selection activeCell="A1" sqref="A1"/>
    </sheetView>
  </sheetViews>
  <sheetFormatPr baseColWidth="8" defaultColWidth="9.16667" defaultRowHeight="15" customHeight="1" outlineLevelRow="0"/>
  <cols>
    <col width="20.5" customWidth="1" style="1570" min="1" max="1"/>
    <col width="12.3516" customWidth="1" style="1571" min="2" max="13"/>
    <col width="9.17188" customWidth="1" style="1571" min="14" max="41"/>
    <col width="9.17188" customWidth="1" style="1572" min="42" max="253"/>
    <col width="9.17188" customWidth="1" style="1623" min="254" max="16384"/>
  </cols>
  <sheetData>
    <row r="1" ht="23.25" customFormat="1" customHeight="1" s="1573">
      <c r="A1" s="1452" t="inlineStr">
        <is>
          <t>Text_853</t>
        </is>
      </c>
      <c r="B1" s="1574" t="n"/>
      <c r="I1" s="1575" t="n"/>
    </row>
    <row r="2" ht="23.25" customFormat="1" customHeight="1" s="1573">
      <c r="A2" s="1454" t="inlineStr">
        <is>
          <t>Text_854</t>
        </is>
      </c>
      <c r="B2" s="1576" t="n"/>
    </row>
    <row r="4" ht="12" customFormat="1" customHeight="1" s="1577">
      <c r="A4" s="1578" t="n"/>
      <c r="B4" s="1457" t="inlineStr">
        <is>
          <t>Text_777</t>
        </is>
      </c>
      <c r="C4" s="1525" t="n"/>
      <c r="D4" s="1525" t="n"/>
      <c r="E4" s="1525" t="n"/>
      <c r="F4" s="1525" t="n"/>
      <c r="G4" s="1525" t="n"/>
      <c r="H4" s="1525" t="n"/>
      <c r="I4" s="1525" t="n"/>
      <c r="J4" s="1525" t="n"/>
      <c r="K4" s="1525" t="n"/>
      <c r="L4" s="1525" t="n"/>
      <c r="M4" s="1525" t="n"/>
      <c r="N4" s="1525" t="n"/>
      <c r="O4" s="1525" t="n"/>
      <c r="P4" s="1525" t="n"/>
      <c r="Q4" s="1525" t="n"/>
      <c r="R4" s="1525" t="n"/>
      <c r="S4" s="1525" t="n"/>
      <c r="T4" s="1525" t="n"/>
      <c r="U4" s="1525" t="n"/>
      <c r="V4" s="1525" t="n"/>
      <c r="W4" s="1525" t="n"/>
      <c r="X4" s="1525" t="n"/>
      <c r="Y4" s="1525" t="n"/>
      <c r="Z4" s="1525" t="n"/>
      <c r="AA4" s="1525" t="n"/>
      <c r="AB4" s="1525" t="n"/>
      <c r="AC4" s="1525" t="n"/>
      <c r="AD4" s="1525" t="n"/>
      <c r="AE4" s="1525" t="n"/>
      <c r="AF4" s="1525" t="n"/>
      <c r="AG4" s="1525" t="n"/>
      <c r="AH4" s="1525" t="n"/>
      <c r="AI4" s="1525" t="n"/>
      <c r="AJ4" s="1525" t="n"/>
      <c r="AK4" s="1525" t="n"/>
      <c r="AL4" s="1525" t="n"/>
      <c r="AM4" s="1525" t="n"/>
      <c r="AN4" s="1525" t="n"/>
      <c r="AO4" s="1525" t="n"/>
    </row>
    <row r="5" ht="12" customFormat="1" customHeight="1" s="1577">
      <c r="A5" s="1458" t="inlineStr">
        <is>
          <t>4-1</t>
        </is>
      </c>
      <c r="B5" s="1459" t="inlineStr">
        <is>
          <t>Text_855</t>
        </is>
      </c>
      <c r="C5" s="1468" t="n"/>
      <c r="D5" s="1468" t="n"/>
      <c r="E5" s="1468" t="n"/>
      <c r="F5" s="1468" t="n"/>
      <c r="G5" s="1468" t="n"/>
      <c r="H5" s="1468" t="n"/>
      <c r="I5" s="1468" t="n"/>
      <c r="J5" s="1468" t="n"/>
      <c r="K5" s="1525" t="n"/>
      <c r="L5" s="1525" t="n"/>
      <c r="M5" s="1525" t="n"/>
      <c r="N5" s="1525" t="n"/>
      <c r="O5" s="1525" t="n"/>
      <c r="P5" s="1525" t="n"/>
      <c r="Q5" s="1525" t="n"/>
      <c r="R5" s="1525" t="n"/>
      <c r="S5" s="1525" t="n"/>
      <c r="T5" s="1525" t="n"/>
      <c r="U5" s="1525" t="n"/>
      <c r="V5" s="1525" t="n"/>
      <c r="W5" s="1525" t="n"/>
      <c r="X5" s="1525" t="n"/>
      <c r="Y5" s="1525" t="n"/>
      <c r="Z5" s="1525" t="n"/>
      <c r="AA5" s="1525" t="n"/>
      <c r="AB5" s="1525" t="n"/>
      <c r="AC5" s="1525" t="n"/>
      <c r="AD5" s="1525" t="n"/>
      <c r="AE5" s="1525" t="n"/>
      <c r="AF5" s="1525" t="n"/>
      <c r="AG5" s="1525" t="n"/>
      <c r="AH5" s="1525" t="n"/>
      <c r="AI5" s="1525" t="n"/>
      <c r="AJ5" s="1525" t="n"/>
      <c r="AK5" s="1525" t="n"/>
      <c r="AL5" s="1525" t="n"/>
      <c r="AM5" s="1525" t="n"/>
      <c r="AN5" s="1525" t="n"/>
      <c r="AO5" s="1525" t="n"/>
    </row>
    <row r="6" ht="12" customFormat="1" customHeight="1" s="1577">
      <c r="A6" s="1458" t="inlineStr">
        <is>
          <t>4-2</t>
        </is>
      </c>
      <c r="B6" s="1459" t="inlineStr">
        <is>
          <t>Text_856</t>
        </is>
      </c>
      <c r="C6" s="1468" t="n"/>
      <c r="D6" s="1468" t="n"/>
      <c r="E6" s="1468" t="n"/>
      <c r="F6" s="1468" t="n"/>
      <c r="G6" s="1468" t="n"/>
      <c r="H6" s="1468" t="n"/>
      <c r="I6" s="1468" t="n"/>
      <c r="J6" s="1468" t="n"/>
      <c r="K6" s="1525" t="n"/>
      <c r="L6" s="1525" t="n"/>
      <c r="M6" s="1525" t="n"/>
      <c r="N6" s="1525" t="n"/>
      <c r="O6" s="1525" t="n"/>
      <c r="P6" s="1525" t="n"/>
      <c r="Q6" s="1525" t="n"/>
      <c r="R6" s="1525" t="n"/>
      <c r="S6" s="1525" t="n"/>
      <c r="T6" s="1525" t="n"/>
      <c r="U6" s="1525" t="n"/>
      <c r="V6" s="1525" t="n"/>
      <c r="W6" s="1525" t="n"/>
      <c r="X6" s="1525" t="n"/>
      <c r="Y6" s="1525" t="n"/>
      <c r="Z6" s="1525" t="n"/>
      <c r="AA6" s="1525" t="n"/>
      <c r="AB6" s="1525" t="n"/>
      <c r="AC6" s="1525" t="n"/>
      <c r="AD6" s="1525" t="n"/>
      <c r="AE6" s="1525" t="n"/>
      <c r="AF6" s="1525" t="n"/>
      <c r="AG6" s="1525" t="n"/>
      <c r="AH6" s="1525" t="n"/>
      <c r="AI6" s="1525" t="n"/>
      <c r="AJ6" s="1525" t="n"/>
      <c r="AK6" s="1525" t="n"/>
      <c r="AL6" s="1525" t="n"/>
      <c r="AM6" s="1525" t="n"/>
      <c r="AN6" s="1525" t="n"/>
      <c r="AO6" s="1525" t="n"/>
    </row>
    <row r="7" ht="12" customFormat="1" customHeight="1" s="1577">
      <c r="A7" s="1458" t="inlineStr">
        <is>
          <t>4-3</t>
        </is>
      </c>
      <c r="B7" s="1459" t="inlineStr">
        <is>
          <t>Text_857</t>
        </is>
      </c>
      <c r="C7" s="1468" t="n"/>
      <c r="D7" s="1468" t="n"/>
      <c r="E7" s="1468" t="n"/>
      <c r="F7" s="1468" t="n"/>
      <c r="G7" s="1468" t="n"/>
      <c r="H7" s="1468" t="n"/>
      <c r="I7" s="1468" t="n"/>
      <c r="J7" s="1468" t="n"/>
      <c r="K7" s="1525" t="n"/>
      <c r="L7" s="1525" t="n"/>
      <c r="M7" s="1525" t="n"/>
      <c r="N7" s="1525" t="n"/>
      <c r="O7" s="1525" t="n"/>
      <c r="P7" s="1525" t="n"/>
      <c r="Q7" s="1525" t="n"/>
      <c r="R7" s="1525" t="n"/>
      <c r="S7" s="1525" t="n"/>
      <c r="T7" s="1525" t="n"/>
      <c r="U7" s="1525" t="n"/>
      <c r="V7" s="1525" t="n"/>
      <c r="W7" s="1525" t="n"/>
      <c r="X7" s="1525" t="n"/>
      <c r="Y7" s="1525" t="n"/>
      <c r="Z7" s="1525" t="n"/>
      <c r="AA7" s="1525" t="n"/>
      <c r="AB7" s="1525" t="n"/>
      <c r="AC7" s="1525" t="n"/>
      <c r="AD7" s="1525" t="n"/>
      <c r="AE7" s="1525" t="n"/>
      <c r="AF7" s="1525" t="n"/>
      <c r="AG7" s="1525" t="n"/>
      <c r="AH7" s="1525" t="n"/>
      <c r="AI7" s="1525" t="n"/>
      <c r="AJ7" s="1525" t="n"/>
      <c r="AK7" s="1525" t="n"/>
      <c r="AL7" s="1525" t="n"/>
      <c r="AM7" s="1525" t="n"/>
      <c r="AN7" s="1525" t="n"/>
      <c r="AO7" s="1525" t="n"/>
    </row>
    <row r="8" ht="12" customFormat="1" customHeight="1" s="1577">
      <c r="A8" s="1458" t="inlineStr">
        <is>
          <t>4-4</t>
        </is>
      </c>
      <c r="B8" s="1459" t="inlineStr">
        <is>
          <t>Text_858</t>
        </is>
      </c>
      <c r="C8" s="1525" t="n"/>
      <c r="D8" s="1525" t="n"/>
      <c r="E8" s="1525" t="n"/>
      <c r="F8" s="1525" t="n"/>
      <c r="G8" s="1525" t="n"/>
      <c r="H8" s="1525" t="n"/>
      <c r="I8" s="1525" t="n"/>
      <c r="J8" s="1525" t="n"/>
      <c r="K8" s="1525" t="n"/>
      <c r="L8" s="1525" t="n"/>
      <c r="M8" s="1525" t="n"/>
      <c r="N8" s="1525" t="n"/>
      <c r="O8" s="1525" t="n"/>
      <c r="P8" s="1525" t="n"/>
      <c r="Q8" s="1525" t="n"/>
      <c r="R8" s="1525" t="n"/>
      <c r="S8" s="1525" t="n"/>
      <c r="T8" s="1525" t="n"/>
      <c r="U8" s="1525" t="n"/>
      <c r="V8" s="1525" t="n"/>
      <c r="W8" s="1525" t="n"/>
      <c r="X8" s="1525" t="n"/>
      <c r="Y8" s="1525" t="n"/>
      <c r="Z8" s="1525" t="n"/>
      <c r="AA8" s="1525" t="n"/>
      <c r="AB8" s="1525" t="n"/>
      <c r="AC8" s="1525" t="n"/>
      <c r="AD8" s="1525" t="n"/>
      <c r="AE8" s="1525" t="n"/>
      <c r="AF8" s="1525" t="n"/>
      <c r="AG8" s="1525" t="n"/>
      <c r="AH8" s="1525" t="n"/>
      <c r="AI8" s="1525" t="n"/>
      <c r="AJ8" s="1525" t="n"/>
      <c r="AK8" s="1525" t="n"/>
      <c r="AL8" s="1525" t="n"/>
      <c r="AM8" s="1525" t="n"/>
      <c r="AN8" s="1525" t="n"/>
      <c r="AO8" s="1525" t="n"/>
    </row>
    <row r="9" ht="12" customFormat="1" customHeight="1" s="1577">
      <c r="A9" s="1578" t="n"/>
      <c r="B9" s="1579" t="n"/>
      <c r="C9" s="1525" t="n"/>
      <c r="D9" s="1525" t="n"/>
      <c r="E9" s="1525" t="n"/>
      <c r="F9" s="1525" t="n"/>
      <c r="G9" s="1525" t="n"/>
      <c r="H9" s="1525" t="n"/>
      <c r="I9" s="1525" t="n"/>
      <c r="J9" s="1525" t="n"/>
      <c r="K9" s="1525" t="n"/>
      <c r="L9" s="1525" t="n"/>
      <c r="M9" s="1525" t="n"/>
      <c r="N9" s="1525" t="n"/>
      <c r="O9" s="1525" t="n"/>
      <c r="P9" s="1525" t="n"/>
      <c r="Q9" s="1525" t="n"/>
      <c r="R9" s="1525" t="n"/>
      <c r="S9" s="1525" t="n"/>
      <c r="T9" s="1525" t="n"/>
      <c r="U9" s="1525" t="n"/>
      <c r="V9" s="1525" t="n"/>
      <c r="W9" s="1525" t="n"/>
      <c r="X9" s="1525" t="n"/>
      <c r="Y9" s="1525" t="n"/>
      <c r="Z9" s="1525" t="n"/>
      <c r="AA9" s="1525" t="n"/>
      <c r="AB9" s="1525" t="n"/>
      <c r="AC9" s="1525" t="n"/>
      <c r="AD9" s="1525" t="n"/>
      <c r="AE9" s="1525" t="n"/>
      <c r="AF9" s="1525" t="n"/>
      <c r="AG9" s="1525" t="n"/>
      <c r="AH9" s="1525" t="n"/>
      <c r="AI9" s="1525" t="n"/>
      <c r="AJ9" s="1525" t="n"/>
      <c r="AK9" s="1525" t="n"/>
      <c r="AL9" s="1525" t="n"/>
      <c r="AM9" s="1525" t="n"/>
      <c r="AN9" s="1525" t="n"/>
      <c r="AO9" s="1525" t="n"/>
    </row>
    <row r="10" ht="12" customFormat="1" customHeight="1" s="1577">
      <c r="A10" s="1578" t="n"/>
      <c r="B10" s="1457" t="inlineStr">
        <is>
          <t>Text_859</t>
        </is>
      </c>
      <c r="C10" s="1525" t="n"/>
      <c r="D10" s="1525" t="n"/>
      <c r="E10" s="1525" t="n"/>
      <c r="F10" s="1525" t="n"/>
      <c r="G10" s="1525" t="n"/>
      <c r="H10" s="1525" t="n"/>
      <c r="I10" s="1525" t="n"/>
      <c r="J10" s="1525" t="n"/>
      <c r="K10" s="1525" t="n"/>
      <c r="L10" s="1525" t="n"/>
      <c r="M10" s="1525" t="n"/>
      <c r="N10" s="1525" t="n"/>
      <c r="O10" s="1525" t="n"/>
      <c r="P10" s="1525" t="n"/>
      <c r="Q10" s="1525" t="n"/>
      <c r="R10" s="1525" t="n"/>
      <c r="S10" s="1525" t="n"/>
      <c r="T10" s="1525" t="n"/>
      <c r="U10" s="1525" t="n"/>
      <c r="V10" s="1525" t="n"/>
      <c r="W10" s="1525" t="n"/>
      <c r="X10" s="1525" t="n"/>
      <c r="Y10" s="1525" t="n"/>
      <c r="Z10" s="1525" t="n"/>
      <c r="AA10" s="1525" t="n"/>
      <c r="AB10" s="1525" t="n"/>
      <c r="AC10" s="1525" t="n"/>
      <c r="AD10" s="1525" t="n"/>
      <c r="AE10" s="1525" t="n"/>
      <c r="AF10" s="1525" t="n"/>
      <c r="AG10" s="1525" t="n"/>
      <c r="AH10" s="1525" t="n"/>
      <c r="AI10" s="1525" t="n"/>
      <c r="AJ10" s="1525" t="n"/>
      <c r="AK10" s="1525" t="n"/>
      <c r="AL10" s="1525" t="n"/>
      <c r="AM10" s="1525" t="n"/>
      <c r="AN10" s="1525" t="n"/>
      <c r="AO10" s="1525" t="n"/>
    </row>
    <row r="11" ht="12" customFormat="1" customHeight="1" s="1577">
      <c r="A11" s="1458" t="inlineStr">
        <is>
          <t>4-1</t>
        </is>
      </c>
      <c r="B11" s="1459" t="inlineStr">
        <is>
          <t>Text_855</t>
        </is>
      </c>
      <c r="C11" s="1468" t="n"/>
      <c r="D11" s="1468" t="n"/>
      <c r="E11" s="1468" t="n"/>
      <c r="F11" s="1468" t="n"/>
      <c r="G11" s="1468" t="n"/>
      <c r="H11" s="1468" t="n"/>
      <c r="I11" s="1468" t="n"/>
      <c r="J11" s="1468" t="n"/>
      <c r="K11" s="1525" t="n"/>
      <c r="L11" s="1525" t="n"/>
      <c r="M11" s="1525" t="n"/>
      <c r="N11" s="1525" t="n"/>
      <c r="O11" s="1525" t="n"/>
      <c r="P11" s="1525" t="n"/>
      <c r="Q11" s="1525" t="n"/>
      <c r="R11" s="1525" t="n"/>
      <c r="S11" s="1525" t="n"/>
      <c r="T11" s="1525" t="n"/>
      <c r="U11" s="1525" t="n"/>
      <c r="V11" s="1525" t="n"/>
      <c r="W11" s="1525" t="n"/>
      <c r="X11" s="1525" t="n"/>
      <c r="Y11" s="1525" t="n"/>
      <c r="Z11" s="1525" t="n"/>
      <c r="AA11" s="1525" t="n"/>
      <c r="AB11" s="1525" t="n"/>
      <c r="AC11" s="1525" t="n"/>
      <c r="AD11" s="1525" t="n"/>
      <c r="AE11" s="1525" t="n"/>
      <c r="AF11" s="1525" t="n"/>
      <c r="AG11" s="1525" t="n"/>
      <c r="AH11" s="1525" t="n"/>
      <c r="AI11" s="1525" t="n"/>
      <c r="AJ11" s="1525" t="n"/>
      <c r="AK11" s="1525" t="n"/>
      <c r="AL11" s="1525" t="n"/>
      <c r="AM11" s="1525" t="n"/>
      <c r="AN11" s="1525" t="n"/>
      <c r="AO11" s="1525" t="n"/>
    </row>
    <row r="12" ht="12" customFormat="1" customHeight="1" s="1577">
      <c r="A12" s="1578" t="n"/>
      <c r="B12" s="1580" t="n"/>
      <c r="C12" s="1525" t="n"/>
      <c r="D12" s="1525" t="n"/>
      <c r="E12" s="1525" t="n"/>
      <c r="F12" s="1525" t="n"/>
      <c r="G12" s="1525" t="n"/>
      <c r="H12" s="1525" t="n"/>
      <c r="I12" s="1525" t="n"/>
      <c r="J12" s="1525" t="n"/>
      <c r="K12" s="1525" t="n"/>
      <c r="L12" s="1525" t="n"/>
      <c r="M12" s="1525" t="n"/>
      <c r="N12" s="1525" t="n"/>
      <c r="O12" s="1525" t="n"/>
      <c r="P12" s="1525" t="n"/>
      <c r="Q12" s="1525" t="n"/>
      <c r="R12" s="1525" t="n"/>
      <c r="S12" s="1525" t="n"/>
      <c r="T12" s="1525" t="n"/>
      <c r="U12" s="1525" t="n"/>
      <c r="V12" s="1525" t="n"/>
      <c r="W12" s="1525" t="n"/>
      <c r="X12" s="1525" t="n"/>
      <c r="Y12" s="1525" t="n"/>
      <c r="Z12" s="1525" t="n"/>
      <c r="AA12" s="1525" t="n"/>
      <c r="AB12" s="1525" t="n"/>
      <c r="AC12" s="1525" t="n"/>
      <c r="AD12" s="1525" t="n"/>
      <c r="AE12" s="1525" t="n"/>
      <c r="AF12" s="1525" t="n"/>
      <c r="AG12" s="1525" t="n"/>
      <c r="AH12" s="1525" t="n"/>
      <c r="AI12" s="1525" t="n"/>
      <c r="AJ12" s="1525" t="n"/>
      <c r="AK12" s="1525" t="n"/>
      <c r="AL12" s="1525" t="n"/>
      <c r="AM12" s="1525" t="n"/>
      <c r="AN12" s="1525" t="n"/>
      <c r="AO12" s="1525" t="n"/>
    </row>
    <row r="13" ht="12" customFormat="1" customHeight="1" s="1577">
      <c r="A13" s="1578" t="n"/>
      <c r="B13" s="1525" t="n"/>
      <c r="C13" s="1525" t="n"/>
      <c r="D13" s="1525" t="n"/>
      <c r="E13" s="1525" t="n"/>
      <c r="F13" s="1525" t="n"/>
      <c r="G13" s="1525" t="n"/>
      <c r="H13" s="1525" t="n"/>
      <c r="I13" s="1525" t="n"/>
      <c r="J13" s="1525" t="n"/>
      <c r="K13" s="1525" t="n"/>
      <c r="L13" s="1525" t="n"/>
      <c r="M13" s="1525" t="n"/>
      <c r="N13" s="1525" t="n"/>
      <c r="O13" s="1525" t="n"/>
      <c r="P13" s="1525" t="n"/>
      <c r="Q13" s="1525" t="n"/>
      <c r="R13" s="1525" t="n"/>
      <c r="S13" s="1525" t="n"/>
      <c r="T13" s="1525" t="n"/>
      <c r="U13" s="1525" t="n"/>
      <c r="V13" s="1525" t="n"/>
      <c r="W13" s="1525" t="n"/>
      <c r="X13" s="1525" t="n"/>
      <c r="Y13" s="1525" t="n"/>
      <c r="Z13" s="1525" t="n"/>
      <c r="AA13" s="1525" t="n"/>
      <c r="AB13" s="1525" t="n"/>
      <c r="AC13" s="1525" t="n"/>
      <c r="AD13" s="1525" t="n"/>
      <c r="AE13" s="1525" t="n"/>
      <c r="AF13" s="1525" t="n"/>
      <c r="AG13" s="1525" t="n"/>
      <c r="AH13" s="1525" t="n"/>
      <c r="AI13" s="1525" t="n"/>
      <c r="AJ13" s="1525" t="n"/>
      <c r="AK13" s="1525" t="n"/>
      <c r="AL13" s="1525" t="n"/>
      <c r="AM13" s="1525" t="n"/>
      <c r="AN13" s="1525" t="n"/>
      <c r="AO13" s="1525" t="n"/>
    </row>
    <row r="14" ht="12" customFormat="1" customHeight="1" s="1577">
      <c r="A14" s="1578" t="n"/>
      <c r="B14" s="1525" t="n"/>
      <c r="C14" s="1525" t="n"/>
      <c r="D14" s="1525" t="n"/>
      <c r="E14" s="1525" t="n"/>
      <c r="F14" s="1525" t="n"/>
      <c r="G14" s="1525" t="n"/>
      <c r="H14" s="1525" t="n"/>
      <c r="I14" s="1525" t="n"/>
      <c r="J14" s="1525" t="n"/>
      <c r="K14" s="1525" t="n"/>
      <c r="L14" s="1525" t="n"/>
      <c r="M14" s="1525" t="n"/>
      <c r="N14" s="1525" t="n"/>
      <c r="O14" s="1525" t="n"/>
      <c r="P14" s="1525" t="n"/>
      <c r="Q14" s="1525" t="n"/>
      <c r="R14" s="1525" t="n"/>
      <c r="S14" s="1525" t="n"/>
      <c r="T14" s="1525" t="n"/>
      <c r="U14" s="1525" t="n"/>
      <c r="V14" s="1525" t="n"/>
      <c r="W14" s="1525" t="n"/>
      <c r="X14" s="1525" t="n"/>
      <c r="Y14" s="1525" t="n"/>
      <c r="Z14" s="1525" t="n"/>
      <c r="AA14" s="1525" t="n"/>
      <c r="AB14" s="1525" t="n"/>
      <c r="AC14" s="1525" t="n"/>
      <c r="AD14" s="1525" t="n"/>
      <c r="AE14" s="1525" t="n"/>
      <c r="AF14" s="1525" t="n"/>
      <c r="AG14" s="1525" t="n"/>
      <c r="AH14" s="1525" t="n"/>
      <c r="AI14" s="1525" t="n"/>
      <c r="AJ14" s="1525" t="n"/>
      <c r="AK14" s="1525" t="n"/>
      <c r="AL14" s="1525" t="n"/>
      <c r="AM14" s="1525" t="n"/>
      <c r="AN14" s="1525" t="n"/>
      <c r="AO14" s="1525" t="n"/>
    </row>
    <row r="15" ht="12" customFormat="1" customHeight="1" s="1577">
      <c r="A15" s="1581" t="n"/>
      <c r="B15" s="1582" t="n"/>
      <c r="C15" s="1582" t="n"/>
      <c r="D15" s="1582" t="n"/>
      <c r="E15" s="1582" t="n"/>
      <c r="F15" s="1582" t="n"/>
      <c r="G15" s="1582" t="n"/>
      <c r="H15" s="1582" t="n"/>
      <c r="I15" s="1582" t="n"/>
      <c r="J15" s="1525" t="n"/>
      <c r="K15" s="1525" t="n"/>
      <c r="L15" s="1525" t="n"/>
      <c r="M15" s="1525" t="n"/>
      <c r="N15" s="1525" t="n"/>
      <c r="O15" s="1525" t="n"/>
      <c r="P15" s="1525" t="n"/>
      <c r="Q15" s="1525" t="n"/>
      <c r="R15" s="1525" t="n"/>
      <c r="S15" s="1525" t="n"/>
      <c r="T15" s="1525" t="n"/>
      <c r="U15" s="1525" t="n"/>
      <c r="V15" s="1525" t="n"/>
      <c r="W15" s="1525" t="n"/>
      <c r="X15" s="1525" t="n"/>
      <c r="Y15" s="1525" t="n"/>
      <c r="Z15" s="1525" t="n"/>
      <c r="AA15" s="1525" t="n"/>
      <c r="AB15" s="1525" t="n"/>
      <c r="AC15" s="1525" t="n"/>
      <c r="AD15" s="1525" t="n"/>
      <c r="AE15" s="1525" t="n"/>
      <c r="AF15" s="1525" t="n"/>
      <c r="AG15" s="1525" t="n"/>
      <c r="AH15" s="1525" t="n"/>
      <c r="AI15" s="1525" t="n"/>
      <c r="AJ15" s="1525" t="n"/>
      <c r="AK15" s="1525" t="n"/>
      <c r="AL15" s="1525" t="n"/>
      <c r="AM15" s="1525" t="n"/>
      <c r="AN15" s="1525" t="n"/>
      <c r="AO15" s="1525" t="n"/>
    </row>
    <row r="16" ht="12" customFormat="1" customHeight="1" s="1577">
      <c r="A16" s="1466" t="inlineStr">
        <is>
          <t>Text_860</t>
        </is>
      </c>
      <c r="B16" s="1467" t="inlineStr">
        <is>
          <t>Text_784</t>
        </is>
      </c>
      <c r="C16" s="1583" t="inlineStr">
        <is>
          <t>Text_785</t>
        </is>
      </c>
      <c r="D16" s="1582" t="n"/>
      <c r="E16" s="1582" t="n"/>
      <c r="F16" s="1582" t="n"/>
      <c r="G16" s="1582" t="n"/>
      <c r="H16" s="1582" t="n"/>
      <c r="I16" s="1582" t="n"/>
      <c r="J16" s="1582" t="n"/>
      <c r="K16" s="1582" t="n"/>
      <c r="L16" s="1582" t="n"/>
      <c r="M16" s="1582" t="n"/>
      <c r="N16" s="1525" t="n"/>
      <c r="O16" s="1525" t="n"/>
      <c r="P16" s="1525" t="n"/>
      <c r="Q16" s="1525" t="n"/>
      <c r="R16" s="1525" t="n"/>
      <c r="S16" s="1525" t="n"/>
      <c r="T16" s="1525" t="n"/>
      <c r="U16" s="1525" t="n"/>
      <c r="V16" s="1525" t="n"/>
      <c r="W16" s="1525" t="n"/>
      <c r="X16" s="1525" t="n"/>
      <c r="Y16" s="1525" t="n"/>
      <c r="Z16" s="1525" t="n"/>
      <c r="AA16" s="1525" t="n"/>
      <c r="AB16" s="1525" t="n"/>
      <c r="AC16" s="1525" t="n"/>
      <c r="AD16" s="1525" t="n"/>
      <c r="AE16" s="1525" t="n"/>
      <c r="AF16" s="1525" t="n"/>
      <c r="AG16" s="1525" t="n"/>
      <c r="AH16" s="1525" t="n"/>
      <c r="AI16" s="1525" t="n"/>
      <c r="AJ16" s="1525" t="n"/>
      <c r="AK16" s="1525" t="n"/>
      <c r="AL16" s="1525" t="n"/>
      <c r="AM16" s="1525" t="n"/>
      <c r="AN16" s="1525" t="n"/>
      <c r="AO16" s="1525" t="n"/>
    </row>
    <row r="17" ht="12" customFormat="1" customHeight="1" s="1577">
      <c r="A17" s="1469" t="inlineStr">
        <is>
          <t>Text_855</t>
        </is>
      </c>
      <c r="B17" s="1584" t="n"/>
      <c r="C17" s="1584" t="n"/>
      <c r="D17" s="1584" t="n"/>
      <c r="E17" s="1584" t="n"/>
      <c r="F17" s="1584" t="n"/>
      <c r="G17" s="1584" t="n"/>
      <c r="H17" s="1584" t="n"/>
      <c r="I17" s="1584" t="n"/>
      <c r="J17" s="1584" t="n"/>
      <c r="K17" s="1584" t="n"/>
      <c r="L17" s="1584" t="n"/>
      <c r="M17" s="1584" t="n"/>
      <c r="N17" s="1525" t="n"/>
      <c r="O17" s="1525" t="n"/>
      <c r="P17" s="1525" t="n"/>
      <c r="Q17" s="1525" t="n"/>
      <c r="R17" s="1525" t="n"/>
      <c r="S17" s="1525" t="n"/>
      <c r="T17" s="1525" t="n"/>
      <c r="U17" s="1525" t="n"/>
      <c r="V17" s="1525" t="n"/>
      <c r="W17" s="1525" t="n"/>
      <c r="X17" s="1525" t="n"/>
      <c r="Y17" s="1525" t="n"/>
      <c r="Z17" s="1525" t="n"/>
      <c r="AA17" s="1525" t="n"/>
      <c r="AB17" s="1525" t="n"/>
      <c r="AC17" s="1525" t="n"/>
      <c r="AD17" s="1525" t="n"/>
      <c r="AE17" s="1525" t="n"/>
      <c r="AF17" s="1525" t="n"/>
      <c r="AG17" s="1525" t="n"/>
      <c r="AH17" s="1525" t="n"/>
      <c r="AI17" s="1525" t="n"/>
      <c r="AJ17" s="1525" t="n"/>
      <c r="AK17" s="1525" t="n"/>
      <c r="AL17" s="1525" t="n"/>
      <c r="AM17" s="1525" t="n"/>
      <c r="AN17" s="1525" t="n"/>
      <c r="AO17" s="1525" t="n"/>
    </row>
    <row r="18" ht="12" customFormat="1" customHeight="1" s="1577">
      <c r="B18" s="1585" t="inlineStr">
        <is>
          <t>Text_8</t>
        </is>
      </c>
      <c r="C18" s="2388" t="n"/>
      <c r="D18" s="2388" t="n"/>
      <c r="E18" s="2381" t="n"/>
      <c r="F18" s="1586" t="inlineStr">
        <is>
          <t>Text_861</t>
        </is>
      </c>
      <c r="G18" s="2388" t="n"/>
      <c r="H18" s="2388" t="n"/>
      <c r="I18" s="2381" t="n"/>
      <c r="J18" s="1586" t="inlineStr">
        <is>
          <t>Text_862</t>
        </is>
      </c>
      <c r="K18" s="2388" t="n"/>
      <c r="L18" s="2388" t="n"/>
      <c r="M18" s="2381" t="n"/>
      <c r="N18" s="1587" t="n"/>
      <c r="O18" s="1582" t="n"/>
      <c r="P18" s="1582" t="n"/>
      <c r="Q18" s="1582" t="n"/>
      <c r="R18" s="1582" t="n"/>
      <c r="S18" s="1582" t="n"/>
      <c r="T18" s="1582" t="n"/>
      <c r="U18" s="1582" t="n"/>
      <c r="V18" s="1582" t="n"/>
      <c r="W18" s="1582" t="n"/>
      <c r="X18" s="1582" t="n"/>
      <c r="Y18" s="1582" t="n"/>
      <c r="Z18" s="1582" t="n"/>
      <c r="AA18" s="1582" t="n"/>
      <c r="AB18" s="1582" t="n"/>
      <c r="AC18" s="1582" t="n"/>
      <c r="AD18" s="1582" t="n"/>
      <c r="AE18" s="1582" t="n"/>
      <c r="AF18" s="1582" t="n"/>
      <c r="AG18" s="1582" t="n"/>
      <c r="AH18" s="1582" t="n"/>
      <c r="AI18" s="1582" t="n"/>
      <c r="AJ18" s="1582" t="n"/>
      <c r="AK18" s="1582" t="n"/>
      <c r="AL18" s="1582" t="n"/>
      <c r="AM18" s="1582" t="n"/>
      <c r="AN18" s="1582" t="n"/>
      <c r="AO18" s="1582" t="n"/>
    </row>
    <row r="19" ht="49.35" customFormat="1" customHeight="1" s="1577">
      <c r="A19" s="1588" t="n"/>
      <c r="B19" s="1474" t="inlineStr">
        <is>
          <t>Text_863</t>
        </is>
      </c>
      <c r="C19" s="1474" t="inlineStr">
        <is>
          <t>Text_864</t>
        </is>
      </c>
      <c r="D19" s="1474" t="inlineStr">
        <is>
          <t>Text_865</t>
        </is>
      </c>
      <c r="E19" s="1474" t="inlineStr">
        <is>
          <t>Text_866</t>
        </is>
      </c>
      <c r="F19" s="1474" t="inlineStr">
        <is>
          <t>Text_863</t>
        </is>
      </c>
      <c r="G19" s="1474" t="inlineStr">
        <is>
          <t>Text_864</t>
        </is>
      </c>
      <c r="H19" s="1474" t="inlineStr">
        <is>
          <t>Text_865</t>
        </is>
      </c>
      <c r="I19" s="1474" t="inlineStr">
        <is>
          <t>Text_866</t>
        </is>
      </c>
      <c r="J19" s="1474" t="inlineStr">
        <is>
          <t>Text_863</t>
        </is>
      </c>
      <c r="K19" s="1474" t="inlineStr">
        <is>
          <t>Text_864</t>
        </is>
      </c>
      <c r="L19" s="1474" t="inlineStr">
        <is>
          <t>Text_865</t>
        </is>
      </c>
      <c r="M19" s="1475" t="inlineStr">
        <is>
          <t>Text_866</t>
        </is>
      </c>
      <c r="N19" s="1587" t="n"/>
      <c r="O19" s="1582" t="n"/>
      <c r="P19" s="1582" t="n"/>
      <c r="Q19" s="1582" t="n"/>
      <c r="R19" s="1582" t="n"/>
      <c r="S19" s="1582" t="n"/>
      <c r="T19" s="1582" t="n"/>
      <c r="U19" s="1582" t="n"/>
      <c r="V19" s="1582" t="n"/>
      <c r="W19" s="1582" t="n"/>
      <c r="X19" s="1582" t="n"/>
      <c r="Y19" s="1582" t="n"/>
      <c r="Z19" s="1582" t="n"/>
      <c r="AA19" s="1582" t="n"/>
      <c r="AB19" s="1582" t="n"/>
      <c r="AC19" s="1582" t="n"/>
      <c r="AD19" s="1582" t="n"/>
      <c r="AE19" s="1582" t="n"/>
      <c r="AF19" s="1582" t="n"/>
      <c r="AG19" s="1582" t="n"/>
      <c r="AH19" s="1582" t="n"/>
      <c r="AI19" s="1582" t="n"/>
      <c r="AJ19" s="1582" t="n"/>
      <c r="AK19" s="1582" t="n"/>
      <c r="AL19" s="1582" t="n"/>
      <c r="AM19" s="1582" t="n"/>
      <c r="AN19" s="1582" t="n"/>
      <c r="AO19" s="1582" t="n"/>
    </row>
    <row r="20" ht="12" customFormat="1" customHeight="1" s="1577">
      <c r="A20" s="1518" t="inlineStr">
        <is>
          <t>Text_867</t>
        </is>
      </c>
      <c r="B20" s="2357" t="n">
        <v>0.170786527703576</v>
      </c>
      <c r="C20" s="2389" t="n">
        <v>18225.291642357</v>
      </c>
      <c r="D20" s="2357" t="n">
        <v>0.205560926129664</v>
      </c>
      <c r="E20" s="2357" t="n">
        <v>0.486314740419194</v>
      </c>
      <c r="F20" s="2357" t="n"/>
      <c r="G20" s="2389" t="n"/>
      <c r="H20" s="2357" t="n"/>
      <c r="I20" s="2357" t="n"/>
      <c r="J20" s="2357" t="n"/>
      <c r="K20" s="2389" t="n"/>
      <c r="L20" s="2357" t="n"/>
      <c r="M20" s="2358" t="n"/>
      <c r="N20" s="1587" t="n"/>
      <c r="O20" s="1525" t="n"/>
      <c r="P20" s="1525" t="n"/>
      <c r="Q20" s="1525" t="n"/>
      <c r="R20" s="1525" t="n"/>
      <c r="S20" s="1525" t="n"/>
      <c r="T20" s="1525" t="n"/>
      <c r="U20" s="1525" t="n"/>
      <c r="V20" s="1525" t="n"/>
      <c r="W20" s="1525" t="n"/>
      <c r="X20" s="1525" t="n"/>
      <c r="Y20" s="1525" t="n"/>
      <c r="Z20" s="1525" t="n"/>
      <c r="AA20" s="1525" t="n"/>
      <c r="AB20" s="1525" t="n"/>
      <c r="AC20" s="1525" t="n"/>
      <c r="AD20" s="1525" t="n"/>
      <c r="AE20" s="1525" t="n"/>
      <c r="AF20" s="1525" t="n"/>
      <c r="AG20" s="1525" t="n"/>
      <c r="AH20" s="1525" t="n"/>
      <c r="AI20" s="1525" t="n"/>
      <c r="AJ20" s="1525" t="n"/>
      <c r="AK20" s="1525" t="n"/>
      <c r="AL20" s="1525" t="n"/>
      <c r="AM20" s="1525" t="n"/>
      <c r="AN20" s="1525" t="n"/>
      <c r="AO20" s="1525" t="n"/>
    </row>
    <row r="21" ht="12" customFormat="1" customHeight="1" s="1577">
      <c r="A21" s="1523" t="inlineStr">
        <is>
          <t>Text_868</t>
        </is>
      </c>
      <c r="B21" s="1464" t="n"/>
      <c r="C21" s="2390" t="n">
        <v>25284.2739907615</v>
      </c>
      <c r="D21" s="2361" t="n">
        <v>0.0319463426428014</v>
      </c>
      <c r="E21" s="2361" t="n">
        <v>0.486711206932429</v>
      </c>
      <c r="F21" s="2390" t="n"/>
      <c r="G21" s="2390" t="n"/>
      <c r="H21" s="2361" t="n"/>
      <c r="I21" s="2361" t="n"/>
      <c r="J21" s="2361" t="n"/>
      <c r="K21" s="2390" t="n"/>
      <c r="L21" s="2361" t="n"/>
      <c r="M21" s="2362" t="n"/>
      <c r="N21" s="1587" t="n"/>
      <c r="O21" s="1525" t="n"/>
      <c r="P21" s="1525" t="n"/>
      <c r="Q21" s="1525" t="n"/>
      <c r="R21" s="1525" t="n"/>
      <c r="S21" s="1525" t="n"/>
      <c r="T21" s="1525" t="n"/>
      <c r="U21" s="1525" t="n"/>
      <c r="V21" s="1525" t="n"/>
      <c r="W21" s="1525" t="n"/>
      <c r="X21" s="1525" t="n"/>
      <c r="Y21" s="1525" t="n"/>
      <c r="Z21" s="1525" t="n"/>
      <c r="AA21" s="1525" t="n"/>
      <c r="AB21" s="1525" t="n"/>
      <c r="AC21" s="1525" t="n"/>
      <c r="AD21" s="1525" t="n"/>
      <c r="AE21" s="1525" t="n"/>
      <c r="AF21" s="1525" t="n"/>
      <c r="AG21" s="1525" t="n"/>
      <c r="AH21" s="1525" t="n"/>
      <c r="AI21" s="1525" t="n"/>
      <c r="AJ21" s="1525" t="n"/>
      <c r="AK21" s="1525" t="n"/>
      <c r="AL21" s="1525" t="n"/>
      <c r="AM21" s="1525" t="n"/>
      <c r="AN21" s="1525" t="n"/>
      <c r="AO21" s="1525" t="n"/>
    </row>
    <row r="22" ht="12" customFormat="1" customHeight="1" s="1577">
      <c r="A22" s="1523" t="inlineStr">
        <is>
          <t>Text_869</t>
        </is>
      </c>
      <c r="B22" s="1464" t="n"/>
      <c r="C22" s="2390" t="n">
        <v>26036.7835108281</v>
      </c>
      <c r="D22" s="2361" t="n">
        <v>0.0945614673807491</v>
      </c>
      <c r="E22" s="2361" t="n">
        <v>0.369499063568947</v>
      </c>
      <c r="F22" s="2390" t="n"/>
      <c r="G22" s="2390" t="n"/>
      <c r="H22" s="2361" t="n"/>
      <c r="I22" s="2361" t="n"/>
      <c r="J22" s="2361" t="n"/>
      <c r="K22" s="2390" t="n"/>
      <c r="L22" s="2361" t="n"/>
      <c r="M22" s="2362" t="n"/>
      <c r="N22" s="1587" t="n"/>
      <c r="O22" s="1525" t="n"/>
      <c r="P22" s="1525" t="n"/>
      <c r="Q22" s="1525" t="n"/>
      <c r="R22" s="1525" t="n"/>
      <c r="S22" s="1525" t="n"/>
      <c r="T22" s="1525" t="n"/>
      <c r="U22" s="1525" t="n"/>
      <c r="V22" s="1525" t="n"/>
      <c r="W22" s="1525" t="n"/>
      <c r="X22" s="1525" t="n"/>
      <c r="Y22" s="1525" t="n"/>
      <c r="Z22" s="1525" t="n"/>
      <c r="AA22" s="1525" t="n"/>
      <c r="AB22" s="1525" t="n"/>
      <c r="AC22" s="1525" t="n"/>
      <c r="AD22" s="1525" t="n"/>
      <c r="AE22" s="1525" t="n"/>
      <c r="AF22" s="1525" t="n"/>
      <c r="AG22" s="1525" t="n"/>
      <c r="AH22" s="1525" t="n"/>
      <c r="AI22" s="1525" t="n"/>
      <c r="AJ22" s="1525" t="n"/>
      <c r="AK22" s="1525" t="n"/>
      <c r="AL22" s="1525" t="n"/>
      <c r="AM22" s="1525" t="n"/>
      <c r="AN22" s="1525" t="n"/>
      <c r="AO22" s="1525" t="n"/>
    </row>
    <row r="23" ht="12" customFormat="1" customHeight="1" s="1577">
      <c r="A23" s="1523" t="inlineStr">
        <is>
          <t>Text_870</t>
        </is>
      </c>
      <c r="B23" s="2390" t="n">
        <v>106550.663845019</v>
      </c>
      <c r="C23" s="2390" t="n">
        <v>27943.3562353937</v>
      </c>
      <c r="D23" s="2361" t="n">
        <v>0.0415442603586962</v>
      </c>
      <c r="E23" s="2361" t="n">
        <v>0.42594401141097</v>
      </c>
      <c r="F23" s="2390" t="n"/>
      <c r="G23" s="2390" t="n"/>
      <c r="H23" s="2361" t="n"/>
      <c r="I23" s="2361" t="n"/>
      <c r="J23" s="2390" t="n"/>
      <c r="K23" s="2390" t="n"/>
      <c r="L23" s="2361" t="n"/>
      <c r="M23" s="2362" t="n"/>
      <c r="N23" s="1587" t="n"/>
      <c r="O23" s="1525" t="n"/>
      <c r="P23" s="1525" t="n"/>
      <c r="Q23" s="1525" t="n"/>
      <c r="R23" s="1525" t="n"/>
      <c r="S23" s="1525" t="n"/>
      <c r="T23" s="1525" t="n"/>
      <c r="U23" s="1525" t="n"/>
      <c r="V23" s="1525" t="n"/>
      <c r="W23" s="1525" t="n"/>
      <c r="X23" s="1525" t="n"/>
      <c r="Y23" s="1525" t="n"/>
      <c r="Z23" s="1525" t="n"/>
      <c r="AA23" s="1525" t="n"/>
      <c r="AB23" s="1525" t="n"/>
      <c r="AC23" s="1525" t="n"/>
      <c r="AD23" s="1525" t="n"/>
      <c r="AE23" s="1525" t="n"/>
      <c r="AF23" s="1525" t="n"/>
      <c r="AG23" s="1525" t="n"/>
      <c r="AH23" s="1525" t="n"/>
      <c r="AI23" s="1525" t="n"/>
      <c r="AJ23" s="1525" t="n"/>
      <c r="AK23" s="1525" t="n"/>
      <c r="AL23" s="1525" t="n"/>
      <c r="AM23" s="1525" t="n"/>
      <c r="AN23" s="1525" t="n"/>
      <c r="AO23" s="1525" t="n"/>
    </row>
    <row r="24" ht="12" customFormat="1" customHeight="1" s="1577">
      <c r="A24" s="1523" t="inlineStr">
        <is>
          <t>Text_871</t>
        </is>
      </c>
      <c r="B24" s="2361" t="n">
        <v>0.423807854033432</v>
      </c>
      <c r="C24" s="2390" t="n">
        <v>19568.5444129223</v>
      </c>
      <c r="D24" s="2361" t="n">
        <v>-0.08913132872124301</v>
      </c>
      <c r="E24" s="2361" t="n">
        <v>0.0728253956253265</v>
      </c>
      <c r="F24" s="2361" t="n"/>
      <c r="G24" s="2390" t="n"/>
      <c r="H24" s="2361" t="n"/>
      <c r="I24" s="2361" t="n"/>
      <c r="J24" s="2361" t="n"/>
      <c r="K24" s="2390" t="n"/>
      <c r="L24" s="2361" t="n"/>
      <c r="M24" s="2362" t="n"/>
      <c r="N24" s="1587" t="n"/>
      <c r="O24" s="1525" t="n"/>
      <c r="P24" s="1525" t="n"/>
      <c r="Q24" s="1525" t="n"/>
      <c r="R24" s="1525" t="n"/>
      <c r="S24" s="1525" t="n"/>
      <c r="T24" s="1525" t="n"/>
      <c r="U24" s="1525" t="n"/>
      <c r="V24" s="1525" t="n"/>
      <c r="W24" s="1525" t="n"/>
      <c r="X24" s="1525" t="n"/>
      <c r="Y24" s="1525" t="n"/>
      <c r="Z24" s="1525" t="n"/>
      <c r="AA24" s="1525" t="n"/>
      <c r="AB24" s="1525" t="n"/>
      <c r="AC24" s="1525" t="n"/>
      <c r="AD24" s="1525" t="n"/>
      <c r="AE24" s="1525" t="n"/>
      <c r="AF24" s="1525" t="n"/>
      <c r="AG24" s="1525" t="n"/>
      <c r="AH24" s="1525" t="n"/>
      <c r="AI24" s="1525" t="n"/>
      <c r="AJ24" s="1525" t="n"/>
      <c r="AK24" s="1525" t="n"/>
      <c r="AL24" s="1525" t="n"/>
      <c r="AM24" s="1525" t="n"/>
      <c r="AN24" s="1525" t="n"/>
      <c r="AO24" s="1525" t="n"/>
    </row>
    <row r="25" ht="12" customFormat="1" customHeight="1" s="1577">
      <c r="A25" s="1523" t="inlineStr">
        <is>
          <t>Text_872</t>
        </is>
      </c>
      <c r="B25" s="2361" t="n"/>
      <c r="C25" s="2390" t="n">
        <v>27149.8997534899</v>
      </c>
      <c r="D25" s="2361" t="n">
        <v>0.07771491180988151</v>
      </c>
      <c r="E25" s="2361" t="n">
        <v>0.127812767789176</v>
      </c>
      <c r="F25" s="2390" t="n"/>
      <c r="G25" s="2390" t="n"/>
      <c r="H25" s="2361" t="n"/>
      <c r="I25" s="2361" t="n"/>
      <c r="J25" s="2361" t="n"/>
      <c r="K25" s="2390" t="n"/>
      <c r="L25" s="2361" t="n"/>
      <c r="M25" s="2362" t="n"/>
      <c r="N25" s="1587" t="n"/>
      <c r="O25" s="1525" t="n"/>
      <c r="P25" s="1525" t="n"/>
      <c r="Q25" s="1525" t="n"/>
      <c r="R25" s="1525" t="n"/>
      <c r="S25" s="1525" t="n"/>
      <c r="T25" s="1525" t="n"/>
      <c r="U25" s="1525" t="n"/>
      <c r="V25" s="1525" t="n"/>
      <c r="W25" s="1525" t="n"/>
      <c r="X25" s="1525" t="n"/>
      <c r="Y25" s="1525" t="n"/>
      <c r="Z25" s="1525" t="n"/>
      <c r="AA25" s="1525" t="n"/>
      <c r="AB25" s="1525" t="n"/>
      <c r="AC25" s="1525" t="n"/>
      <c r="AD25" s="1525" t="n"/>
      <c r="AE25" s="1525" t="n"/>
      <c r="AF25" s="1525" t="n"/>
      <c r="AG25" s="1525" t="n"/>
      <c r="AH25" s="1525" t="n"/>
      <c r="AI25" s="1525" t="n"/>
      <c r="AJ25" s="1525" t="n"/>
      <c r="AK25" s="1525" t="n"/>
      <c r="AL25" s="1525" t="n"/>
      <c r="AM25" s="1525" t="n"/>
      <c r="AN25" s="1525" t="n"/>
      <c r="AO25" s="1525" t="n"/>
    </row>
    <row r="26" ht="12" customFormat="1" customHeight="1" s="1577">
      <c r="A26" s="1523" t="inlineStr">
        <is>
          <t>Text_873</t>
        </is>
      </c>
      <c r="B26" s="2361" t="n"/>
      <c r="C26" s="2390" t="n">
        <v>22815.560315677</v>
      </c>
      <c r="D26" s="2361" t="n">
        <v>0.0814048989452168</v>
      </c>
      <c r="E26" s="2361" t="n">
        <v>0.106585736069175</v>
      </c>
      <c r="F26" s="2390" t="n"/>
      <c r="G26" s="2390" t="n"/>
      <c r="H26" s="2361" t="n"/>
      <c r="I26" s="2361" t="n"/>
      <c r="J26" s="2361" t="n"/>
      <c r="K26" s="2390" t="n"/>
      <c r="L26" s="2361" t="n"/>
      <c r="M26" s="2362" t="n"/>
      <c r="N26" s="1587" t="n"/>
      <c r="O26" s="1525" t="n"/>
      <c r="P26" s="1525" t="n"/>
      <c r="Q26" s="1525" t="n"/>
      <c r="R26" s="1525" t="n"/>
      <c r="S26" s="1525" t="n"/>
      <c r="T26" s="1525" t="n"/>
      <c r="U26" s="1525" t="n"/>
      <c r="V26" s="1525" t="n"/>
      <c r="W26" s="1525" t="n"/>
      <c r="X26" s="1525" t="n"/>
      <c r="Y26" s="1525" t="n"/>
      <c r="Z26" s="1525" t="n"/>
      <c r="AA26" s="1525" t="n"/>
      <c r="AB26" s="1525" t="n"/>
      <c r="AC26" s="1525" t="n"/>
      <c r="AD26" s="1525" t="n"/>
      <c r="AE26" s="1525" t="n"/>
      <c r="AF26" s="1525" t="n"/>
      <c r="AG26" s="1525" t="n"/>
      <c r="AH26" s="1525" t="n"/>
      <c r="AI26" s="1525" t="n"/>
      <c r="AJ26" s="1525" t="n"/>
      <c r="AK26" s="1525" t="n"/>
      <c r="AL26" s="1525" t="n"/>
      <c r="AM26" s="1525" t="n"/>
      <c r="AN26" s="1525" t="n"/>
      <c r="AO26" s="1525" t="n"/>
    </row>
    <row r="27" ht="12" customFormat="1" customHeight="1" s="1577">
      <c r="A27" s="1591" t="inlineStr">
        <is>
          <t>Text_874</t>
        </is>
      </c>
      <c r="B27" s="2390" t="n">
        <v>92596.2146214595</v>
      </c>
      <c r="C27" s="2390" t="n">
        <v>22683.8858431139</v>
      </c>
      <c r="D27" s="2361" t="n">
        <v>-0.0280258706915534</v>
      </c>
      <c r="E27" s="2361" t="n">
        <v>0.0328031815983804</v>
      </c>
      <c r="F27" s="2390" t="n"/>
      <c r="G27" s="2390" t="n"/>
      <c r="H27" s="2361" t="n"/>
      <c r="I27" s="2361" t="n"/>
      <c r="J27" s="2390" t="n"/>
      <c r="K27" s="2390" t="n"/>
      <c r="L27" s="2361" t="n"/>
      <c r="M27" s="2362" t="n"/>
      <c r="N27" s="1587" t="n"/>
      <c r="O27" s="1525" t="n"/>
      <c r="P27" s="1525" t="n"/>
      <c r="Q27" s="1525" t="n"/>
      <c r="R27" s="1525" t="n"/>
      <c r="S27" s="1525" t="n"/>
      <c r="T27" s="1525" t="n"/>
      <c r="U27" s="1525" t="n"/>
      <c r="V27" s="1525" t="n"/>
      <c r="W27" s="1525" t="n"/>
      <c r="X27" s="1525" t="n"/>
      <c r="Y27" s="1525" t="n"/>
      <c r="Z27" s="1525" t="n"/>
      <c r="AA27" s="1525" t="n"/>
      <c r="AB27" s="1525" t="n"/>
      <c r="AC27" s="1525" t="n"/>
      <c r="AD27" s="1525" t="n"/>
      <c r="AE27" s="1525" t="n"/>
      <c r="AF27" s="1525" t="n"/>
      <c r="AG27" s="1525" t="n"/>
      <c r="AH27" s="1525" t="n"/>
      <c r="AI27" s="1525" t="n"/>
      <c r="AJ27" s="1525" t="n"/>
      <c r="AK27" s="1525" t="n"/>
      <c r="AL27" s="1525" t="n"/>
      <c r="AM27" s="1525" t="n"/>
      <c r="AN27" s="1525" t="n"/>
      <c r="AO27" s="1525" t="n"/>
    </row>
    <row r="28" ht="12" customFormat="1" customHeight="1" s="1577">
      <c r="A28" s="1591" t="inlineStr">
        <is>
          <t>Text_875</t>
        </is>
      </c>
      <c r="B28" s="2361" t="n">
        <v>0.0822325406817601</v>
      </c>
      <c r="C28" s="2390" t="n">
        <v>24397.4126691007</v>
      </c>
      <c r="D28" s="2361" t="n">
        <v>-0.0395074675213888</v>
      </c>
      <c r="E28" s="2361" t="n">
        <v>0.0927185040486244</v>
      </c>
      <c r="F28" s="2361" t="n"/>
      <c r="G28" s="2390" t="n"/>
      <c r="H28" s="2361" t="n"/>
      <c r="I28" s="2361" t="n"/>
      <c r="J28" s="2361" t="n"/>
      <c r="K28" s="2390" t="n"/>
      <c r="L28" s="2361" t="n"/>
      <c r="M28" s="2362" t="n"/>
      <c r="N28" s="1587" t="n"/>
      <c r="O28" s="1525" t="n"/>
      <c r="P28" s="1525" t="n"/>
      <c r="Q28" s="1525" t="n"/>
      <c r="R28" s="1525" t="n"/>
      <c r="S28" s="1525" t="n"/>
      <c r="T28" s="1525" t="n"/>
      <c r="U28" s="1525" t="n"/>
      <c r="V28" s="1525" t="n"/>
      <c r="W28" s="1525" t="n"/>
      <c r="X28" s="1525" t="n"/>
      <c r="Y28" s="1525" t="n"/>
      <c r="Z28" s="1525" t="n"/>
      <c r="AA28" s="1525" t="n"/>
      <c r="AB28" s="1525" t="n"/>
      <c r="AC28" s="1525" t="n"/>
      <c r="AD28" s="1525" t="n"/>
      <c r="AE28" s="1525" t="n"/>
      <c r="AF28" s="1525" t="n"/>
      <c r="AG28" s="1525" t="n"/>
      <c r="AH28" s="1525" t="n"/>
      <c r="AI28" s="1525" t="n"/>
      <c r="AJ28" s="1525" t="n"/>
      <c r="AK28" s="1525" t="n"/>
      <c r="AL28" s="1525" t="n"/>
      <c r="AM28" s="1525" t="n"/>
      <c r="AN28" s="1525" t="n"/>
      <c r="AO28" s="1525" t="n"/>
    </row>
    <row r="29" ht="12" customFormat="1" customHeight="1" s="1577">
      <c r="A29" s="1591" t="inlineStr">
        <is>
          <t>Text_876</t>
        </is>
      </c>
      <c r="B29" s="2390" t="n"/>
      <c r="C29" s="2390" t="n">
        <v>26375.6842866411</v>
      </c>
      <c r="D29" s="2361" t="n">
        <v>-0.0599577418299352</v>
      </c>
      <c r="E29" s="2361" t="n">
        <v>-0.0501093134181396</v>
      </c>
      <c r="F29" s="2390" t="n"/>
      <c r="G29" s="2390" t="n"/>
      <c r="H29" s="2361" t="n"/>
      <c r="I29" s="2361" t="n"/>
      <c r="J29" s="2390" t="n"/>
      <c r="K29" s="2390" t="n"/>
      <c r="L29" s="2361" t="n"/>
      <c r="M29" s="2362" t="n"/>
      <c r="N29" s="1587" t="n"/>
      <c r="O29" s="1525" t="n"/>
      <c r="P29" s="1525" t="n"/>
      <c r="Q29" s="1525" t="n"/>
      <c r="R29" s="1525" t="n"/>
      <c r="S29" s="1525" t="n"/>
      <c r="T29" s="1525" t="n"/>
      <c r="U29" s="1525" t="n"/>
      <c r="V29" s="1525" t="n"/>
      <c r="W29" s="1525" t="n"/>
      <c r="X29" s="1525" t="n"/>
      <c r="Y29" s="1525" t="n"/>
      <c r="Z29" s="1525" t="n"/>
      <c r="AA29" s="1525" t="n"/>
      <c r="AB29" s="1525" t="n"/>
      <c r="AC29" s="1525" t="n"/>
      <c r="AD29" s="1525" t="n"/>
      <c r="AE29" s="1525" t="n"/>
      <c r="AF29" s="1525" t="n"/>
      <c r="AG29" s="1525" t="n"/>
      <c r="AH29" s="1525" t="n"/>
      <c r="AI29" s="1525" t="n"/>
      <c r="AJ29" s="1525" t="n"/>
      <c r="AK29" s="1525" t="n"/>
      <c r="AL29" s="1525" t="n"/>
      <c r="AM29" s="1525" t="n"/>
      <c r="AN29" s="1525" t="n"/>
      <c r="AO29" s="1525" t="n"/>
    </row>
    <row r="30" ht="12" customFormat="1" customHeight="1" s="1577">
      <c r="A30" s="1591" t="inlineStr">
        <is>
          <t>Text_877</t>
        </is>
      </c>
      <c r="B30" s="2390" t="n"/>
      <c r="C30" s="2390" t="n">
        <v>19290.3921592412</v>
      </c>
      <c r="D30" s="2361" t="n">
        <v>-0.0731738201556747</v>
      </c>
      <c r="E30" s="2361" t="n">
        <v>-0.176909959059429</v>
      </c>
      <c r="F30" s="2390" t="n"/>
      <c r="G30" s="2390" t="n">
        <v>21094.7869787171</v>
      </c>
      <c r="H30" s="2361" t="n">
        <v>-0.044091297905265</v>
      </c>
      <c r="I30" s="2361" t="n">
        <v>-0.160210566838174</v>
      </c>
      <c r="J30" s="2390" t="n"/>
      <c r="K30" s="2390" t="n">
        <v>19160.0121068618</v>
      </c>
      <c r="L30" s="2361" t="n">
        <v>-0.09666171745068269</v>
      </c>
      <c r="M30" s="2362" t="n">
        <v>-0.19829936630418</v>
      </c>
      <c r="N30" s="1587" t="n"/>
      <c r="O30" s="1525" t="n"/>
      <c r="P30" s="1525" t="n"/>
      <c r="Q30" s="1525" t="n"/>
      <c r="R30" s="1525" t="n"/>
      <c r="S30" s="1525" t="n"/>
      <c r="T30" s="1525" t="n"/>
      <c r="U30" s="1525" t="n"/>
      <c r="V30" s="1525" t="n"/>
      <c r="W30" s="1525" t="n"/>
      <c r="X30" s="1525" t="n"/>
      <c r="Y30" s="1525" t="n"/>
      <c r="Z30" s="1525" t="n"/>
      <c r="AA30" s="1525" t="n"/>
      <c r="AB30" s="1525" t="n"/>
      <c r="AC30" s="1525" t="n"/>
      <c r="AD30" s="1525" t="n"/>
      <c r="AE30" s="1525" t="n"/>
      <c r="AF30" s="1525" t="n"/>
      <c r="AG30" s="1525" t="n"/>
      <c r="AH30" s="1525" t="n"/>
      <c r="AI30" s="1525" t="n"/>
      <c r="AJ30" s="1525" t="n"/>
      <c r="AK30" s="1525" t="n"/>
      <c r="AL30" s="1525" t="n"/>
      <c r="AM30" s="1525" t="n"/>
      <c r="AN30" s="1525" t="n"/>
      <c r="AO30" s="1525" t="n"/>
    </row>
    <row r="31" ht="12" customFormat="1" customHeight="1" s="1577">
      <c r="A31" s="1591" t="inlineStr">
        <is>
          <t>Text_878</t>
        </is>
      </c>
      <c r="B31" s="2390" t="n">
        <v>95343.23394356119</v>
      </c>
      <c r="C31" s="2390" t="n">
        <v>18834.8791828783</v>
      </c>
      <c r="D31" s="2361" t="n">
        <v>-0.0279855882588853</v>
      </c>
      <c r="E31" s="2361" t="n">
        <v>-0.192895389885825</v>
      </c>
      <c r="F31" s="2390" t="n">
        <v>83982.1562073368</v>
      </c>
      <c r="G31" s="2390" t="n">
        <v>23679.0330012201</v>
      </c>
      <c r="H31" s="2361" t="n">
        <v>-0.038488487213913</v>
      </c>
      <c r="I31" s="2361" t="n">
        <v>-0.164001341887027</v>
      </c>
      <c r="J31" s="2390" t="n">
        <v>101465.370915848</v>
      </c>
      <c r="K31" s="2390" t="n">
        <v>17953.859256656</v>
      </c>
      <c r="L31" s="2361" t="n">
        <v>-0.0912702498141312</v>
      </c>
      <c r="M31" s="2362" t="n">
        <v>-0.246027999823059</v>
      </c>
      <c r="N31" s="1587" t="n"/>
      <c r="O31" s="1525" t="n"/>
      <c r="P31" s="1525" t="n"/>
      <c r="Q31" s="1525" t="n"/>
      <c r="R31" s="1525" t="n"/>
      <c r="S31" s="1525" t="n"/>
      <c r="T31" s="1525" t="n"/>
      <c r="U31" s="1525" t="n"/>
      <c r="V31" s="1525" t="n"/>
      <c r="W31" s="1525" t="n"/>
      <c r="X31" s="1525" t="n"/>
      <c r="Y31" s="1525" t="n"/>
      <c r="Z31" s="1525" t="n"/>
      <c r="AA31" s="1525" t="n"/>
      <c r="AB31" s="1525" t="n"/>
      <c r="AC31" s="1525" t="n"/>
      <c r="AD31" s="1525" t="n"/>
      <c r="AE31" s="1525" t="n"/>
      <c r="AF31" s="1525" t="n"/>
      <c r="AG31" s="1525" t="n"/>
      <c r="AH31" s="1525" t="n"/>
      <c r="AI31" s="1525" t="n"/>
      <c r="AJ31" s="1525" t="n"/>
      <c r="AK31" s="1525" t="n"/>
      <c r="AL31" s="1525" t="n"/>
      <c r="AM31" s="1525" t="n"/>
      <c r="AN31" s="1525" t="n"/>
      <c r="AO31" s="1525" t="n"/>
    </row>
    <row r="32" ht="12" customFormat="1" customHeight="1" s="1577">
      <c r="A32" s="1591" t="inlineStr">
        <is>
          <t>Text_879</t>
        </is>
      </c>
      <c r="B32" s="2361" t="n">
        <v>-0.09265201261830661</v>
      </c>
      <c r="C32" s="2390" t="n">
        <v>17967.1625407453</v>
      </c>
      <c r="D32" s="2361" t="n">
        <v>-0.009010602410912529</v>
      </c>
      <c r="E32" s="2361" t="n">
        <v>-0.163284720693052</v>
      </c>
      <c r="F32" s="2361" t="n">
        <v>-0.08347836413994229</v>
      </c>
      <c r="G32" s="2390" t="n">
        <v>24976.3645626382</v>
      </c>
      <c r="H32" s="2361" t="n">
        <v>0.0309588746086429</v>
      </c>
      <c r="I32" s="2361" t="n">
        <v>-0.115099626204813</v>
      </c>
      <c r="J32" s="2361" t="n">
        <v>-0.109601182449959</v>
      </c>
      <c r="K32" s="2390" t="n">
        <v>17734.7189986031</v>
      </c>
      <c r="L32" s="2361" t="n">
        <v>-0.0234935244598105</v>
      </c>
      <c r="M32" s="2362" t="n">
        <v>-0.239053901703131</v>
      </c>
      <c r="N32" s="1587" t="n"/>
      <c r="O32" s="1525" t="n"/>
      <c r="P32" s="1525" t="n"/>
      <c r="Q32" s="1525" t="n"/>
      <c r="R32" s="1525" t="n"/>
      <c r="S32" s="1525" t="n"/>
      <c r="T32" s="1525" t="n"/>
      <c r="U32" s="1525" t="n"/>
      <c r="V32" s="1525" t="n"/>
      <c r="W32" s="1525" t="n"/>
      <c r="X32" s="1525" t="n"/>
      <c r="Y32" s="1525" t="n"/>
      <c r="Z32" s="1525" t="n"/>
      <c r="AA32" s="1525" t="n"/>
      <c r="AB32" s="1525" t="n"/>
      <c r="AC32" s="1525" t="n"/>
      <c r="AD32" s="1525" t="n"/>
      <c r="AE32" s="1525" t="n"/>
      <c r="AF32" s="1525" t="n"/>
      <c r="AG32" s="1525" t="n"/>
      <c r="AH32" s="1525" t="n"/>
      <c r="AI32" s="1525" t="n"/>
      <c r="AJ32" s="1525" t="n"/>
      <c r="AK32" s="1525" t="n"/>
      <c r="AL32" s="1525" t="n"/>
      <c r="AM32" s="1525" t="n"/>
      <c r="AN32" s="1525" t="n"/>
      <c r="AO32" s="1525" t="n"/>
    </row>
    <row r="33" ht="12" customFormat="1" customHeight="1" s="1577">
      <c r="A33" s="1591" t="inlineStr">
        <is>
          <t>Text_880</t>
        </is>
      </c>
      <c r="B33" s="2390" t="n"/>
      <c r="C33" s="2390" t="n">
        <v>20855.047423694</v>
      </c>
      <c r="D33" s="2361" t="n">
        <v>0.0241069327791712</v>
      </c>
      <c r="E33" s="2361" t="n">
        <v>-0.0809956069729269</v>
      </c>
      <c r="F33" s="2390" t="n"/>
      <c r="G33" s="2390" t="n">
        <v>24580.2877378651</v>
      </c>
      <c r="H33" s="2361" t="n">
        <v>0.0435040494268703</v>
      </c>
      <c r="I33" s="2361" t="n">
        <v>-0.0112551967269925</v>
      </c>
      <c r="J33" s="2390" t="n"/>
      <c r="K33" s="2390" t="n">
        <v>19588.8729340263</v>
      </c>
      <c r="L33" s="2361" t="n">
        <v>0.0329486097968751</v>
      </c>
      <c r="M33" s="2362" t="n">
        <v>-0.171864595656703</v>
      </c>
      <c r="N33" s="1587" t="n"/>
      <c r="O33" s="1525" t="n"/>
      <c r="P33" s="1525" t="n"/>
      <c r="Q33" s="1525" t="n"/>
      <c r="R33" s="1525" t="n"/>
      <c r="S33" s="1525" t="n"/>
      <c r="T33" s="1525" t="n"/>
      <c r="U33" s="1525" t="n"/>
      <c r="V33" s="1525" t="n"/>
      <c r="W33" s="1525" t="n"/>
      <c r="X33" s="1525" t="n"/>
      <c r="Y33" s="1525" t="n"/>
      <c r="Z33" s="1525" t="n"/>
      <c r="AA33" s="1525" t="n"/>
      <c r="AB33" s="1525" t="n"/>
      <c r="AC33" s="1525" t="n"/>
      <c r="AD33" s="1525" t="n"/>
      <c r="AE33" s="1525" t="n"/>
      <c r="AF33" s="1525" t="n"/>
      <c r="AG33" s="1525" t="n"/>
      <c r="AH33" s="1525" t="n"/>
      <c r="AI33" s="1525" t="n"/>
      <c r="AJ33" s="1525" t="n"/>
      <c r="AK33" s="1525" t="n"/>
      <c r="AL33" s="1525" t="n"/>
      <c r="AM33" s="1525" t="n"/>
      <c r="AN33" s="1525" t="n"/>
      <c r="AO33" s="1525" t="n"/>
    </row>
    <row r="34" ht="12" customFormat="1" customHeight="1" s="1577">
      <c r="A34" s="1591" t="inlineStr">
        <is>
          <t>Text_881</t>
        </is>
      </c>
      <c r="B34" s="2390" t="n"/>
      <c r="C34" s="2390" t="n">
        <v>23182.2380194227</v>
      </c>
      <c r="D34" s="2361" t="n">
        <v>0.0299328971077985</v>
      </c>
      <c r="E34" s="2361" t="n">
        <v>0.0157223318151439</v>
      </c>
      <c r="F34" s="2390" t="n"/>
      <c r="G34" s="2390" t="n">
        <v>21591.5727135485</v>
      </c>
      <c r="H34" s="2361" t="n">
        <v>0.0592641790607799</v>
      </c>
      <c r="I34" s="2361" t="n">
        <v>0.09637267194352669</v>
      </c>
      <c r="J34" s="2390" t="n"/>
      <c r="K34" s="2390" t="n">
        <v>17896.4950506214</v>
      </c>
      <c r="L34" s="2361" t="n">
        <v>0.0596213274067668</v>
      </c>
      <c r="M34" s="2362" t="n">
        <v>-0.0266397224252034</v>
      </c>
      <c r="N34" s="1587" t="n"/>
      <c r="O34" s="1525" t="n"/>
      <c r="P34" s="1525" t="n"/>
      <c r="Q34" s="1525" t="n"/>
      <c r="R34" s="1525" t="n"/>
      <c r="S34" s="1525" t="n"/>
      <c r="T34" s="1525" t="n"/>
      <c r="U34" s="1525" t="n"/>
      <c r="V34" s="1525" t="n"/>
      <c r="W34" s="1525" t="n"/>
      <c r="X34" s="1525" t="n"/>
      <c r="Y34" s="1525" t="n"/>
      <c r="Z34" s="1525" t="n"/>
      <c r="AA34" s="1525" t="n"/>
      <c r="AB34" s="1525" t="n"/>
      <c r="AC34" s="1525" t="n"/>
      <c r="AD34" s="1525" t="n"/>
      <c r="AE34" s="1525" t="n"/>
      <c r="AF34" s="1525" t="n"/>
      <c r="AG34" s="1525" t="n"/>
      <c r="AH34" s="1525" t="n"/>
      <c r="AI34" s="1525" t="n"/>
      <c r="AJ34" s="1525" t="n"/>
      <c r="AK34" s="1525" t="n"/>
      <c r="AL34" s="1525" t="n"/>
      <c r="AM34" s="1525" t="n"/>
      <c r="AN34" s="1525" t="n"/>
      <c r="AO34" s="1525" t="n"/>
    </row>
    <row r="35" ht="12" customFormat="1" customHeight="1" s="1577">
      <c r="A35" s="1591" t="inlineStr">
        <is>
          <t>Text_882</t>
        </is>
      </c>
      <c r="B35" s="2390" t="n">
        <v>100063.476063565</v>
      </c>
      <c r="C35" s="2390" t="n">
        <v>22249.119464567</v>
      </c>
      <c r="D35" s="2361" t="n">
        <v>0.0458866112425118</v>
      </c>
      <c r="E35" s="2361" t="n">
        <v>0.0934510286974132</v>
      </c>
      <c r="F35" s="2390" t="n">
        <v>93448.1548071885</v>
      </c>
      <c r="G35" s="2390" t="n">
        <v>29988.8047179535</v>
      </c>
      <c r="H35" s="2361" t="n">
        <v>0.07027194423500439</v>
      </c>
      <c r="I35" s="2361" t="n">
        <v>0.229995331269795</v>
      </c>
      <c r="J35" s="2390" t="n">
        <v>72327.9201949936</v>
      </c>
      <c r="K35" s="2390" t="n">
        <v>25924.2952872335</v>
      </c>
      <c r="L35" s="2361" t="n">
        <v>0.0899817045686344</v>
      </c>
      <c r="M35" s="2362" t="n">
        <v>0.170554723685553</v>
      </c>
      <c r="N35" s="1587" t="n"/>
      <c r="O35" s="1525" t="n"/>
      <c r="P35" s="1525" t="n"/>
      <c r="Q35" s="1525" t="n"/>
      <c r="R35" s="1525" t="n"/>
      <c r="S35" s="1525" t="n"/>
      <c r="T35" s="1525" t="n"/>
      <c r="U35" s="1525" t="n"/>
      <c r="V35" s="1525" t="n"/>
      <c r="W35" s="1525" t="n"/>
      <c r="X35" s="1525" t="n"/>
      <c r="Y35" s="1525" t="n"/>
      <c r="Z35" s="1525" t="n"/>
      <c r="AA35" s="1525" t="n"/>
      <c r="AB35" s="1525" t="n"/>
      <c r="AC35" s="1525" t="n"/>
      <c r="AD35" s="1525" t="n"/>
      <c r="AE35" s="1525" t="n"/>
      <c r="AF35" s="1525" t="n"/>
      <c r="AG35" s="1525" t="n"/>
      <c r="AH35" s="1525" t="n"/>
      <c r="AI35" s="1525" t="n"/>
      <c r="AJ35" s="1525" t="n"/>
      <c r="AK35" s="1525" t="n"/>
      <c r="AL35" s="1525" t="n"/>
      <c r="AM35" s="1525" t="n"/>
      <c r="AN35" s="1525" t="n"/>
      <c r="AO35" s="1525" t="n"/>
    </row>
    <row r="36" ht="12" customFormat="1" customHeight="1" s="1577">
      <c r="A36" s="1592" t="n"/>
      <c r="B36" s="2375" t="n">
        <v>-0.0382117182218367</v>
      </c>
      <c r="C36" s="2391" t="n"/>
      <c r="D36" s="2375" t="n"/>
      <c r="E36" s="2375" t="n"/>
      <c r="F36" s="2375" t="n">
        <v>0.0435489761717829</v>
      </c>
      <c r="G36" s="2391" t="n"/>
      <c r="H36" s="2375" t="n"/>
      <c r="I36" s="2375" t="n"/>
      <c r="J36" s="2375" t="n">
        <v>-0.07947453189486831</v>
      </c>
      <c r="K36" s="2391" t="n"/>
      <c r="L36" s="2375" t="n"/>
      <c r="M36" s="2376" t="n"/>
      <c r="N36" s="1587" t="n"/>
      <c r="O36" s="1525" t="n"/>
      <c r="P36" s="1525" t="n"/>
      <c r="Q36" s="1525" t="n"/>
      <c r="R36" s="1525" t="n"/>
      <c r="S36" s="1525" t="n"/>
      <c r="T36" s="1525" t="n"/>
      <c r="U36" s="1525" t="n"/>
      <c r="V36" s="1525" t="n"/>
      <c r="W36" s="1525" t="n"/>
      <c r="X36" s="1525" t="n"/>
      <c r="Y36" s="1525" t="n"/>
      <c r="Z36" s="1525" t="n"/>
      <c r="AA36" s="1525" t="n"/>
      <c r="AB36" s="1525" t="n"/>
      <c r="AC36" s="1525" t="n"/>
      <c r="AD36" s="1525" t="n"/>
      <c r="AE36" s="1525" t="n"/>
      <c r="AF36" s="1525" t="n"/>
      <c r="AG36" s="1525" t="n"/>
      <c r="AH36" s="1525" t="n"/>
      <c r="AI36" s="1525" t="n"/>
      <c r="AJ36" s="1525" t="n"/>
      <c r="AK36" s="1525" t="n"/>
      <c r="AL36" s="1525" t="n"/>
      <c r="AM36" s="1525" t="n"/>
      <c r="AN36" s="1525" t="n"/>
      <c r="AO36" s="1525" t="n"/>
    </row>
    <row r="37" ht="12" customFormat="1" customHeight="1" s="1577">
      <c r="A37" s="1506" t="inlineStr">
        <is>
          <t>Text_883</t>
        </is>
      </c>
      <c r="B37" s="2389" t="n"/>
      <c r="C37" s="2389" t="n"/>
      <c r="D37" s="2357" t="n"/>
      <c r="E37" s="2357" t="n"/>
      <c r="F37" s="2389" t="n"/>
      <c r="G37" s="2389" t="n"/>
      <c r="H37" s="2357" t="n"/>
      <c r="I37" s="2357" t="n"/>
      <c r="J37" s="2389" t="n"/>
      <c r="K37" s="2389" t="n"/>
      <c r="L37" s="2357" t="n"/>
      <c r="M37" s="2357" t="n"/>
      <c r="N37" s="1582" t="n"/>
      <c r="O37" s="1525" t="n"/>
      <c r="P37" s="1525" t="n"/>
      <c r="Q37" s="1525" t="n"/>
      <c r="R37" s="1525" t="n"/>
      <c r="S37" s="1525" t="n"/>
      <c r="T37" s="1525" t="n"/>
      <c r="U37" s="1525" t="n"/>
      <c r="V37" s="1525" t="n"/>
      <c r="W37" s="1525" t="n"/>
      <c r="X37" s="1525" t="n"/>
      <c r="Y37" s="1525" t="n"/>
      <c r="Z37" s="1525" t="n"/>
      <c r="AA37" s="1525" t="n"/>
      <c r="AB37" s="1525" t="n"/>
      <c r="AC37" s="1525" t="n"/>
      <c r="AD37" s="1525" t="n"/>
      <c r="AE37" s="1525" t="n"/>
      <c r="AF37" s="1525" t="n"/>
      <c r="AG37" s="1525" t="n"/>
      <c r="AH37" s="1525" t="n"/>
      <c r="AI37" s="1525" t="n"/>
      <c r="AJ37" s="1525" t="n"/>
      <c r="AK37" s="1525" t="n"/>
      <c r="AL37" s="1525" t="n"/>
      <c r="AM37" s="1525" t="n"/>
      <c r="AN37" s="1525" t="n"/>
      <c r="AO37" s="1525" t="n"/>
    </row>
    <row r="38" ht="12" customFormat="1" customHeight="1" s="1577">
      <c r="A38" s="1510" t="n">
        <v>0</v>
      </c>
      <c r="H38" s="1594" t="n"/>
    </row>
    <row r="39" ht="12" customFormat="1" customHeight="1" s="1577">
      <c r="A39" s="1595" t="n"/>
      <c r="H39" s="1594" t="n"/>
    </row>
    <row r="40" ht="12" customFormat="1" customHeight="1" s="1577">
      <c r="A40" s="1596" t="inlineStr">
        <is>
          <t>Text_884</t>
        </is>
      </c>
      <c r="B40" s="1467" t="inlineStr">
        <is>
          <t>Text_784</t>
        </is>
      </c>
      <c r="C40" s="1459" t="inlineStr">
        <is>
          <t>Text_785</t>
        </is>
      </c>
      <c r="D40" s="1209" t="n"/>
      <c r="E40" s="1525" t="n"/>
      <c r="F40" s="2392" t="n"/>
      <c r="G40" s="2392" t="n"/>
      <c r="H40" s="2392" t="n"/>
    </row>
    <row r="41" ht="12" customFormat="1" customHeight="1" s="1577">
      <c r="A41" s="1466" t="inlineStr">
        <is>
          <t>Text_855</t>
        </is>
      </c>
      <c r="B41" s="1209" t="n"/>
      <c r="C41" s="1209" t="n"/>
      <c r="D41" s="1209" t="n"/>
      <c r="E41" s="1209" t="n"/>
      <c r="F41" s="1209" t="n"/>
      <c r="G41" s="1209" t="n"/>
      <c r="H41" s="1209" t="n"/>
    </row>
    <row r="42" ht="12" customFormat="1" customHeight="1" s="1577">
      <c r="A42" s="1595" t="n"/>
      <c r="B42" s="1209" t="n"/>
      <c r="C42" s="1209" t="n"/>
      <c r="D42" s="1209" t="n"/>
      <c r="E42" s="1209" t="n"/>
      <c r="F42" s="1209" t="n"/>
      <c r="G42" s="1209" t="n"/>
      <c r="H42" s="1209" t="n"/>
    </row>
    <row r="43" ht="12" customFormat="1" customHeight="1" s="1577">
      <c r="A43" s="1595" t="n"/>
      <c r="H43" s="1594" t="n"/>
    </row>
    <row r="44" ht="12" customFormat="1" customHeight="1" s="1577">
      <c r="A44" s="1595" t="n"/>
      <c r="H44" s="1594" t="n"/>
    </row>
    <row r="45" ht="12" customFormat="1" customHeight="1" s="1577">
      <c r="A45" s="1595" t="n"/>
      <c r="H45" s="1594" t="n"/>
    </row>
    <row r="46" ht="12" customFormat="1" customHeight="1" s="1577">
      <c r="A46" s="1595" t="n"/>
      <c r="H46" s="1594" t="n"/>
    </row>
    <row r="47" ht="12" customFormat="1" customHeight="1" s="1577">
      <c r="A47" s="1595" t="n"/>
      <c r="H47" s="1594" t="n"/>
    </row>
    <row r="48" ht="12" customFormat="1" customHeight="1" s="1577">
      <c r="A48" s="1595" t="n"/>
      <c r="H48" s="1594" t="n"/>
    </row>
    <row r="49" ht="12" customFormat="1" customHeight="1" s="1577">
      <c r="A49" s="1595" t="n"/>
      <c r="H49" s="1594" t="n"/>
    </row>
    <row r="50" ht="12" customFormat="1" customHeight="1" s="1577">
      <c r="A50" s="1595" t="n"/>
      <c r="H50" s="1594" t="n"/>
    </row>
    <row r="51" ht="12" customFormat="1" customHeight="1" s="1577">
      <c r="A51" s="1595" t="n"/>
      <c r="H51" s="1594" t="n"/>
    </row>
    <row r="52" ht="12" customFormat="1" customHeight="1" s="1577">
      <c r="A52" s="1595" t="n"/>
      <c r="H52" s="1594" t="n"/>
    </row>
    <row r="53" ht="12" customFormat="1" customHeight="1" s="1577">
      <c r="A53" s="1595" t="n"/>
      <c r="H53" s="1594" t="n"/>
    </row>
    <row r="54" ht="12" customFormat="1" customHeight="1" s="1577">
      <c r="A54" s="1595" t="n"/>
      <c r="H54" s="1594" t="n"/>
    </row>
    <row r="55" ht="12" customFormat="1" customHeight="1" s="1577">
      <c r="A55" s="1595" t="n"/>
      <c r="H55" s="1594" t="n"/>
    </row>
    <row r="56" ht="12" customFormat="1" customHeight="1" s="1577">
      <c r="A56" s="1595" t="n"/>
      <c r="H56" s="1594" t="n"/>
    </row>
    <row r="57" ht="12" customFormat="1" customHeight="1" s="1577">
      <c r="A57" s="1595" t="n"/>
      <c r="H57" s="1594" t="n"/>
    </row>
    <row r="58" ht="12" customFormat="1" customHeight="1" s="1577">
      <c r="A58" s="1595" t="n"/>
      <c r="H58" s="1594" t="n"/>
    </row>
    <row r="59" ht="12" customFormat="1" customHeight="1" s="1577">
      <c r="A59" s="1595" t="n"/>
      <c r="H59" s="1594" t="n"/>
    </row>
    <row r="60" ht="12" customFormat="1" customHeight="1" s="1577">
      <c r="A60" s="1595" t="n"/>
      <c r="H60" s="1594" t="n"/>
    </row>
    <row r="61" ht="12" customFormat="1" customHeight="1" s="1577">
      <c r="A61" s="1595" t="n"/>
      <c r="H61" s="1594" t="n"/>
    </row>
    <row r="62" ht="12" customFormat="1" customHeight="1" s="1577">
      <c r="A62" s="1595" t="n"/>
      <c r="H62" s="1594" t="n"/>
    </row>
    <row r="63" ht="12" customFormat="1" customHeight="1" s="1577">
      <c r="A63" s="1595" t="n"/>
      <c r="H63" s="1594" t="n"/>
    </row>
    <row r="64" ht="12" customFormat="1" customHeight="1" s="1577">
      <c r="A64" s="1595" t="n"/>
      <c r="H64" s="1594" t="n"/>
    </row>
    <row r="65" ht="12" customFormat="1" customHeight="1" s="1577">
      <c r="A65" s="1595" t="n"/>
      <c r="H65" s="1594" t="n"/>
    </row>
    <row r="66" ht="12" customFormat="1" customHeight="1" s="1577">
      <c r="A66" s="1595" t="n"/>
      <c r="H66" s="1594" t="n"/>
    </row>
    <row r="67" ht="12" customFormat="1" customHeight="1" s="1577">
      <c r="A67" s="1595" t="n"/>
      <c r="H67" s="1594" t="n"/>
    </row>
    <row r="68" ht="12" customFormat="1" customHeight="1" s="1577">
      <c r="A68" s="1595" t="n"/>
      <c r="H68" s="1594" t="n"/>
    </row>
    <row r="69" ht="12" customFormat="1" customHeight="1" s="1577">
      <c r="A69" s="1510">
        <f t="array" ref="A69">A38</f>
        <v/>
      </c>
      <c r="H69" s="1594" t="n"/>
    </row>
    <row r="70" ht="12" customFormat="1" customHeight="1" s="1577">
      <c r="A70" s="1595" t="n"/>
      <c r="H70" s="1594" t="n"/>
    </row>
    <row r="71" ht="12" customFormat="1" customHeight="1" s="1577">
      <c r="A71" s="1595" t="n"/>
      <c r="B71" s="2361" t="n"/>
      <c r="C71" s="2390" t="n"/>
      <c r="D71" s="2361" t="n"/>
      <c r="E71" s="2361" t="n"/>
      <c r="F71" s="2361" t="n"/>
      <c r="G71" s="2390" t="n"/>
      <c r="H71" s="2361" t="n"/>
      <c r="I71" s="2361" t="n"/>
      <c r="J71" s="2361" t="n"/>
      <c r="K71" s="2390" t="n"/>
      <c r="L71" s="2361" t="n"/>
      <c r="M71" s="2361" t="n"/>
      <c r="N71" s="1582" t="n"/>
      <c r="O71" s="1525" t="n"/>
      <c r="P71" s="1525" t="n"/>
      <c r="Q71" s="1525" t="n"/>
      <c r="R71" s="1525" t="n"/>
      <c r="S71" s="1525" t="n"/>
      <c r="T71" s="1525" t="n"/>
      <c r="U71" s="1525" t="n"/>
      <c r="V71" s="1525" t="n"/>
      <c r="W71" s="1525" t="n"/>
      <c r="X71" s="1525" t="n"/>
      <c r="Y71" s="1525" t="n"/>
      <c r="Z71" s="1525" t="n"/>
      <c r="AA71" s="1525" t="n"/>
      <c r="AB71" s="1525" t="n"/>
      <c r="AC71" s="1525" t="n"/>
      <c r="AD71" s="1525" t="n"/>
      <c r="AE71" s="1525" t="n"/>
      <c r="AF71" s="1525" t="n"/>
      <c r="AG71" s="1525" t="n"/>
      <c r="AH71" s="1525" t="n"/>
      <c r="AI71" s="1525" t="n"/>
      <c r="AJ71" s="1525" t="n"/>
      <c r="AK71" s="1525" t="n"/>
      <c r="AL71" s="1525" t="n"/>
      <c r="AM71" s="1525" t="n"/>
      <c r="AN71" s="1525" t="n"/>
      <c r="AO71" s="1525" t="n"/>
    </row>
    <row r="72" ht="12" customFormat="1" customHeight="1" s="1577">
      <c r="A72" s="1466" t="inlineStr">
        <is>
          <t>Text_885</t>
        </is>
      </c>
      <c r="B72" s="1467" t="inlineStr">
        <is>
          <t>Text_784</t>
        </is>
      </c>
      <c r="C72" s="1459" t="inlineStr">
        <is>
          <t>Text_785</t>
        </is>
      </c>
      <c r="E72" s="1598" t="n"/>
      <c r="J72" s="2361" t="n"/>
      <c r="K72" s="2390" t="n"/>
      <c r="L72" s="2361" t="n"/>
      <c r="M72" s="2361" t="n"/>
      <c r="N72" s="1582" t="n"/>
      <c r="O72" s="1525" t="n"/>
      <c r="P72" s="1525" t="n"/>
      <c r="Q72" s="1525" t="n"/>
      <c r="R72" s="1525" t="n"/>
      <c r="S72" s="1525" t="n"/>
      <c r="T72" s="1525" t="n"/>
      <c r="U72" s="1525" t="n"/>
      <c r="V72" s="1525" t="n"/>
      <c r="W72" s="1525" t="n"/>
      <c r="X72" s="1525" t="n"/>
      <c r="Y72" s="1525" t="n"/>
      <c r="Z72" s="1525" t="n"/>
      <c r="AA72" s="1525" t="n"/>
      <c r="AB72" s="1525" t="n"/>
      <c r="AC72" s="1525" t="n"/>
      <c r="AD72" s="1525" t="n"/>
      <c r="AE72" s="1525" t="n"/>
      <c r="AF72" s="1525" t="n"/>
      <c r="AG72" s="1525" t="n"/>
      <c r="AH72" s="1525" t="n"/>
      <c r="AI72" s="1525" t="n"/>
      <c r="AJ72" s="1525" t="n"/>
      <c r="AK72" s="1525" t="n"/>
      <c r="AL72" s="1525" t="n"/>
      <c r="AM72" s="1525" t="n"/>
      <c r="AN72" s="1525" t="n"/>
      <c r="AO72" s="1525" t="n"/>
    </row>
    <row r="73" ht="12" customFormat="1" customHeight="1" s="1577">
      <c r="A73" s="1469" t="inlineStr">
        <is>
          <t>Text_856</t>
        </is>
      </c>
      <c r="B73" s="1599" t="n"/>
      <c r="C73" s="1600" t="n"/>
      <c r="D73" s="1600" t="n"/>
      <c r="E73" s="1600" t="n"/>
      <c r="F73" s="1600" t="n"/>
      <c r="G73" s="1600" t="n"/>
      <c r="H73" s="1600" t="n"/>
      <c r="I73" s="1600" t="n"/>
      <c r="J73" s="2361" t="n"/>
      <c r="K73" s="2390" t="n"/>
      <c r="L73" s="2361" t="n"/>
      <c r="M73" s="2361" t="n"/>
      <c r="N73" s="1582" t="n"/>
      <c r="O73" s="1525" t="n"/>
      <c r="P73" s="1525" t="n"/>
      <c r="Q73" s="1525" t="n"/>
      <c r="R73" s="1525" t="n"/>
      <c r="S73" s="1525" t="n"/>
      <c r="T73" s="1525" t="n"/>
      <c r="U73" s="1525" t="n"/>
      <c r="V73" s="1525" t="n"/>
      <c r="W73" s="1525" t="n"/>
      <c r="X73" s="1525" t="n"/>
      <c r="Y73" s="1525" t="n"/>
      <c r="Z73" s="1525" t="n"/>
      <c r="AA73" s="1525" t="n"/>
      <c r="AB73" s="1525" t="n"/>
      <c r="AC73" s="1525" t="n"/>
      <c r="AD73" s="1525" t="n"/>
      <c r="AE73" s="1525" t="n"/>
      <c r="AF73" s="1525" t="n"/>
      <c r="AG73" s="1525" t="n"/>
      <c r="AH73" s="1525" t="n"/>
      <c r="AI73" s="1525" t="n"/>
      <c r="AJ73" s="1525" t="n"/>
      <c r="AK73" s="1525" t="n"/>
      <c r="AL73" s="1525" t="n"/>
      <c r="AM73" s="1525" t="n"/>
      <c r="AN73" s="1525" t="n"/>
      <c r="AO73" s="1525" t="n"/>
    </row>
    <row r="74" ht="27" customFormat="1" customHeight="1" s="1577">
      <c r="A74" s="1601" t="n"/>
      <c r="B74" s="1602" t="n">
        <v>1806.38254399975</v>
      </c>
      <c r="C74" s="1602" t="n">
        <v>2287.72970706203</v>
      </c>
      <c r="D74" s="1602" t="n">
        <v>2276.4701329602</v>
      </c>
      <c r="E74" s="1602" t="n">
        <v>2259.27114049726</v>
      </c>
      <c r="F74" s="1602" t="n">
        <v>2101.20082097621</v>
      </c>
      <c r="G74" s="1602" t="n">
        <v>2213.36541877725</v>
      </c>
      <c r="H74" s="1602" t="n">
        <v>1764.93136133581</v>
      </c>
      <c r="I74" s="1475" t="inlineStr">
        <is>
          <t>Text_886</t>
        </is>
      </c>
      <c r="J74" s="2393" t="n"/>
      <c r="K74" s="2390" t="n"/>
      <c r="L74" s="2361" t="n"/>
      <c r="M74" s="2361" t="n"/>
      <c r="N74" s="1582" t="n"/>
      <c r="O74" s="1525" t="n"/>
      <c r="P74" s="1525" t="n"/>
      <c r="Q74" s="1525" t="n"/>
      <c r="R74" s="1525" t="n"/>
      <c r="S74" s="1525" t="n"/>
      <c r="T74" s="1525" t="n"/>
      <c r="U74" s="1525" t="n"/>
      <c r="V74" s="1525" t="n"/>
      <c r="W74" s="1525" t="n"/>
      <c r="X74" s="1525" t="n"/>
      <c r="Y74" s="1525" t="n"/>
      <c r="Z74" s="1525" t="n"/>
      <c r="AA74" s="1525" t="n"/>
      <c r="AB74" s="1525" t="n"/>
      <c r="AC74" s="1525" t="n"/>
      <c r="AD74" s="1525" t="n"/>
      <c r="AE74" s="1525" t="n"/>
      <c r="AF74" s="1525" t="n"/>
      <c r="AG74" s="1525" t="n"/>
      <c r="AH74" s="1525" t="n"/>
      <c r="AI74" s="1525" t="n"/>
      <c r="AJ74" s="1525" t="n"/>
      <c r="AK74" s="1525" t="n"/>
      <c r="AL74" s="1525" t="n"/>
      <c r="AM74" s="1525" t="n"/>
      <c r="AN74" s="1525" t="n"/>
      <c r="AO74" s="1525" t="n"/>
    </row>
    <row r="75" ht="12" customFormat="1" customHeight="1" s="1577">
      <c r="A75" s="1604" t="inlineStr">
        <is>
          <t>Text_819</t>
        </is>
      </c>
      <c r="B75" s="2378" t="n">
        <v>12509.0965229178</v>
      </c>
      <c r="C75" s="2378" t="n">
        <v>12235.5540614692</v>
      </c>
      <c r="D75" s="2378" t="n">
        <v>15597.9949464775</v>
      </c>
      <c r="E75" s="2378" t="n">
        <v>14511.3957932017</v>
      </c>
      <c r="F75" s="2378" t="n">
        <v>14846.6603630232</v>
      </c>
      <c r="G75" s="2378" t="n">
        <v>18559.2198253592</v>
      </c>
      <c r="H75" s="2378" t="n">
        <v>20090.5227650191</v>
      </c>
      <c r="I75" s="1844" t="n">
        <v>0.0712851050984728</v>
      </c>
      <c r="J75" s="2394" t="n"/>
      <c r="K75" s="2361" t="n"/>
      <c r="L75" s="2361" t="n"/>
      <c r="M75" s="1582" t="n"/>
      <c r="N75" s="1525" t="n"/>
      <c r="O75" s="1525" t="n"/>
      <c r="P75" s="1525" t="n"/>
      <c r="Q75" s="1525" t="n"/>
      <c r="R75" s="1525" t="n"/>
      <c r="S75" s="1525" t="n"/>
      <c r="T75" s="1525" t="n"/>
      <c r="U75" s="1525" t="n"/>
      <c r="V75" s="1525" t="n"/>
      <c r="W75" s="1525" t="n"/>
      <c r="X75" s="1525" t="n"/>
      <c r="Y75" s="1525" t="n"/>
      <c r="Z75" s="1525" t="n"/>
      <c r="AA75" s="1525" t="n"/>
      <c r="AB75" s="1525" t="n"/>
      <c r="AC75" s="1525" t="n"/>
      <c r="AD75" s="1525" t="n"/>
      <c r="AE75" s="1525" t="n"/>
      <c r="AF75" s="1525" t="n"/>
      <c r="AG75" s="1525" t="n"/>
      <c r="AH75" s="1525" t="n"/>
      <c r="AI75" s="1525" t="n"/>
      <c r="AJ75" s="1525" t="n"/>
      <c r="AK75" s="1525" t="n"/>
      <c r="AL75" s="1525" t="n"/>
      <c r="AM75" s="1525" t="n"/>
      <c r="AN75" s="1525" t="n"/>
    </row>
    <row r="76" ht="12" customFormat="1" customHeight="1" s="1577">
      <c r="A76" s="1523" t="inlineStr">
        <is>
          <t>Text_732</t>
        </is>
      </c>
      <c r="B76" s="1750" t="n">
        <v>0.632694855346255</v>
      </c>
      <c r="C76" s="1750" t="n">
        <v>-0.0148492711200056</v>
      </c>
      <c r="D76" s="1750" t="n">
        <v>0.152390691947054</v>
      </c>
      <c r="E76" s="1750" t="n">
        <v>0.0116853560672617</v>
      </c>
      <c r="F76" s="1750" t="n">
        <v>0.0956286567042801</v>
      </c>
      <c r="G76" s="1750" t="n">
        <v>0.0876681630705838</v>
      </c>
      <c r="H76" s="1750" t="n">
        <v>0.0181890604234116</v>
      </c>
      <c r="I76" s="1784" t="n"/>
      <c r="J76" s="2394" t="n"/>
      <c r="K76" s="2361" t="n"/>
      <c r="L76" s="2361" t="n"/>
      <c r="M76" s="1582" t="n"/>
      <c r="N76" s="1525" t="n"/>
      <c r="O76" s="1525" t="n"/>
      <c r="P76" s="1525" t="n"/>
      <c r="Q76" s="1525" t="n"/>
      <c r="R76" s="1525" t="n"/>
      <c r="S76" s="1525" t="n"/>
      <c r="T76" s="1525" t="n"/>
      <c r="U76" s="1525" t="n"/>
      <c r="V76" s="1525" t="n"/>
      <c r="W76" s="1525" t="n"/>
      <c r="X76" s="1525" t="n"/>
      <c r="Y76" s="1525" t="n"/>
      <c r="Z76" s="1525" t="n"/>
      <c r="AA76" s="1525" t="n"/>
      <c r="AB76" s="1525" t="n"/>
      <c r="AC76" s="1525" t="n"/>
      <c r="AD76" s="1525" t="n"/>
      <c r="AE76" s="1525" t="n"/>
      <c r="AF76" s="1525" t="n"/>
      <c r="AG76" s="1525" t="n"/>
      <c r="AH76" s="1525" t="n"/>
      <c r="AI76" s="1525" t="n"/>
      <c r="AJ76" s="1525" t="n"/>
      <c r="AK76" s="1525" t="n"/>
      <c r="AL76" s="1525" t="n"/>
      <c r="AM76" s="1525" t="n"/>
      <c r="AN76" s="1525" t="n"/>
    </row>
    <row r="77" ht="12" customFormat="1" customHeight="1" s="1577">
      <c r="A77" s="1606" t="inlineStr">
        <is>
          <t>Text_30</t>
        </is>
      </c>
      <c r="B77" s="2369" t="n">
        <v>5898.06975936553</v>
      </c>
      <c r="C77" s="2369" t="n">
        <v>8216.078271076731</v>
      </c>
      <c r="D77" s="2369" t="n">
        <v>5493.07063803014</v>
      </c>
      <c r="E77" s="2369" t="n">
        <v>5496.12866617592</v>
      </c>
      <c r="F77" s="2369" t="n">
        <v>7649.22863093905</v>
      </c>
      <c r="G77" s="2369" t="n">
        <v>7500.60915540529</v>
      </c>
      <c r="H77" s="2369" t="n">
        <v>7410.45569299835</v>
      </c>
      <c r="I77" s="1784" t="n">
        <v>0.0239544802600601</v>
      </c>
      <c r="J77" s="2394" t="n"/>
      <c r="K77" s="2361" t="n"/>
      <c r="L77" s="2361" t="n"/>
      <c r="M77" s="1582" t="n"/>
      <c r="N77" s="1525" t="n"/>
      <c r="O77" s="1525" t="n"/>
      <c r="P77" s="1525" t="n"/>
      <c r="Q77" s="1525" t="n"/>
      <c r="R77" s="1525" t="n"/>
      <c r="S77" s="1525" t="n"/>
      <c r="T77" s="1525" t="n"/>
      <c r="U77" s="1525" t="n"/>
      <c r="V77" s="1525" t="n"/>
      <c r="W77" s="1525" t="n"/>
      <c r="X77" s="1525" t="n"/>
      <c r="Y77" s="1525" t="n"/>
      <c r="Z77" s="1525" t="n"/>
      <c r="AA77" s="1525" t="n"/>
      <c r="AB77" s="1525" t="n"/>
      <c r="AC77" s="1525" t="n"/>
      <c r="AD77" s="1525" t="n"/>
      <c r="AE77" s="1525" t="n"/>
      <c r="AF77" s="1525" t="n"/>
      <c r="AG77" s="1525" t="n"/>
      <c r="AH77" s="1525" t="n"/>
      <c r="AI77" s="1525" t="n"/>
      <c r="AJ77" s="1525" t="n"/>
      <c r="AK77" s="1525" t="n"/>
      <c r="AL77" s="1525" t="n"/>
      <c r="AM77" s="1525" t="n"/>
      <c r="AN77" s="1525" t="n"/>
    </row>
    <row r="78" ht="12" customFormat="1" customHeight="1" s="1577">
      <c r="A78" s="1523" t="inlineStr">
        <is>
          <t>Text_732</t>
        </is>
      </c>
      <c r="B78" s="1750" t="n">
        <v>0.242247498034105</v>
      </c>
      <c r="C78" s="1750" t="n">
        <v>0.221230325056263</v>
      </c>
      <c r="D78" s="1750" t="n">
        <v>-0.185719560464756</v>
      </c>
      <c r="E78" s="1750" t="n">
        <v>-0.08123408878619209</v>
      </c>
      <c r="F78" s="1750" t="n">
        <v>0.259780933817066</v>
      </c>
      <c r="G78" s="1750" t="n">
        <v>0.174457679865277</v>
      </c>
      <c r="H78" s="1750" t="n">
        <v>0.011704654337833</v>
      </c>
      <c r="I78" s="1784" t="n"/>
      <c r="J78" s="2394" t="n"/>
      <c r="K78" s="2361" t="n"/>
      <c r="L78" s="2361" t="n"/>
      <c r="M78" s="1582" t="n"/>
      <c r="N78" s="1525" t="n"/>
      <c r="O78" s="1525" t="n"/>
      <c r="P78" s="1525" t="n"/>
      <c r="Q78" s="1525" t="n"/>
      <c r="R78" s="1525" t="n"/>
      <c r="S78" s="1525" t="n"/>
      <c r="T78" s="1525" t="n"/>
      <c r="U78" s="1525" t="n"/>
      <c r="V78" s="1525" t="n"/>
      <c r="W78" s="1525" t="n"/>
      <c r="X78" s="1525" t="n"/>
      <c r="Y78" s="1525" t="n"/>
      <c r="Z78" s="1525" t="n"/>
      <c r="AA78" s="1525" t="n"/>
      <c r="AB78" s="1525" t="n"/>
      <c r="AC78" s="1525" t="n"/>
      <c r="AD78" s="1525" t="n"/>
      <c r="AE78" s="1525" t="n"/>
      <c r="AF78" s="1525" t="n"/>
      <c r="AG78" s="1525" t="n"/>
      <c r="AH78" s="1525" t="n"/>
      <c r="AI78" s="1525" t="n"/>
      <c r="AJ78" s="1525" t="n"/>
      <c r="AK78" s="1525" t="n"/>
      <c r="AL78" s="1525" t="n"/>
      <c r="AM78" s="1525" t="n"/>
      <c r="AN78" s="1525" t="n"/>
    </row>
    <row r="79" ht="12" customFormat="1" customHeight="1" s="1577">
      <c r="A79" s="1606" t="inlineStr">
        <is>
          <t>Text_821</t>
        </is>
      </c>
      <c r="B79" s="2369" t="n">
        <v>4284.02618702681</v>
      </c>
      <c r="C79" s="2369" t="n">
        <v>9101.622007421371</v>
      </c>
      <c r="D79" s="2369" t="n">
        <v>10442.7123174579</v>
      </c>
      <c r="E79" s="2369" t="n">
        <v>11298.0205620872</v>
      </c>
      <c r="F79" s="2369" t="n">
        <v>12431.4043320404</v>
      </c>
      <c r="G79" s="2369" t="n">
        <v>12133.901405183</v>
      </c>
      <c r="H79" s="2369" t="n">
        <v>15890.5398538143</v>
      </c>
      <c r="I79" s="1784" t="n">
        <v>0.0805124835462321</v>
      </c>
      <c r="J79" s="2394" t="n"/>
      <c r="K79" s="2361" t="n"/>
      <c r="L79" s="2361" t="n"/>
      <c r="M79" s="1582" t="n"/>
      <c r="N79" s="1525" t="n"/>
      <c r="O79" s="1525" t="n"/>
      <c r="P79" s="1525" t="n"/>
      <c r="Q79" s="1525" t="n"/>
      <c r="R79" s="1525" t="n"/>
      <c r="S79" s="1525" t="n"/>
      <c r="T79" s="1525" t="n"/>
      <c r="U79" s="1525" t="n"/>
      <c r="V79" s="1525" t="n"/>
      <c r="W79" s="1525" t="n"/>
      <c r="X79" s="1525" t="n"/>
      <c r="Y79" s="1525" t="n"/>
      <c r="Z79" s="1525" t="n"/>
      <c r="AA79" s="1525" t="n"/>
      <c r="AB79" s="1525" t="n"/>
      <c r="AC79" s="1525" t="n"/>
      <c r="AD79" s="1525" t="n"/>
      <c r="AE79" s="1525" t="n"/>
      <c r="AF79" s="1525" t="n"/>
      <c r="AG79" s="1525" t="n"/>
      <c r="AH79" s="1525" t="n"/>
      <c r="AI79" s="1525" t="n"/>
      <c r="AJ79" s="1525" t="n"/>
      <c r="AK79" s="1525" t="n"/>
      <c r="AL79" s="1525" t="n"/>
      <c r="AM79" s="1525" t="n"/>
      <c r="AN79" s="1525" t="n"/>
    </row>
    <row r="80" ht="12" customFormat="1" customHeight="1" s="1577">
      <c r="A80" s="1523" t="inlineStr">
        <is>
          <t>Text_732</t>
        </is>
      </c>
      <c r="B80" s="1750" t="n">
        <v>0.5323935360947381</v>
      </c>
      <c r="C80" s="1750" t="n">
        <v>0.989481663921792</v>
      </c>
      <c r="D80" s="1750" t="n">
        <v>0.262769473840463</v>
      </c>
      <c r="E80" s="1750" t="n">
        <v>0.060195603757937</v>
      </c>
      <c r="F80" s="1750" t="n">
        <v>0.0457212796561051</v>
      </c>
      <c r="G80" s="1750" t="n">
        <v>0.0477197370141236</v>
      </c>
      <c r="H80" s="1750" t="n">
        <v>0.0217537861978243</v>
      </c>
      <c r="I80" s="1784" t="n"/>
      <c r="J80" s="2394" t="n"/>
      <c r="K80" s="2361" t="n"/>
      <c r="L80" s="2361" t="n"/>
      <c r="M80" s="1582" t="n"/>
      <c r="N80" s="1525" t="n"/>
      <c r="O80" s="1525" t="n"/>
      <c r="P80" s="1525" t="n"/>
      <c r="Q80" s="1525" t="n"/>
      <c r="R80" s="1525" t="n"/>
      <c r="S80" s="1525" t="n"/>
      <c r="T80" s="1525" t="n"/>
      <c r="U80" s="1525" t="n"/>
      <c r="V80" s="1525" t="n"/>
      <c r="W80" s="1525" t="n"/>
      <c r="X80" s="1525" t="n"/>
      <c r="Y80" s="1525" t="n"/>
      <c r="Z80" s="1525" t="n"/>
      <c r="AA80" s="1525" t="n"/>
      <c r="AB80" s="1525" t="n"/>
      <c r="AC80" s="1525" t="n"/>
      <c r="AD80" s="1525" t="n"/>
      <c r="AE80" s="1525" t="n"/>
      <c r="AF80" s="1525" t="n"/>
      <c r="AG80" s="1525" t="n"/>
      <c r="AH80" s="1525" t="n"/>
      <c r="AI80" s="1525" t="n"/>
      <c r="AJ80" s="1525" t="n"/>
      <c r="AK80" s="1525" t="n"/>
      <c r="AL80" s="1525" t="n"/>
      <c r="AM80" s="1525" t="n"/>
      <c r="AN80" s="1525" t="n"/>
    </row>
    <row r="81" ht="12" customFormat="1" customHeight="1" s="1577">
      <c r="A81" s="1606" t="inlineStr">
        <is>
          <t>Text_822</t>
        </is>
      </c>
      <c r="B81" s="2369" t="n">
        <v>73876.808441645</v>
      </c>
      <c r="C81" s="2369" t="n">
        <v>71761.73989280321</v>
      </c>
      <c r="D81" s="2369" t="n">
        <v>65440.0014877891</v>
      </c>
      <c r="E81" s="2369" t="n">
        <v>55613.6048811955</v>
      </c>
      <c r="F81" s="2369" t="n">
        <v>60240.2553220645</v>
      </c>
      <c r="G81" s="2369" t="n">
        <v>59071.4302266274</v>
      </c>
      <c r="H81" s="2369" t="n">
        <v>59501.3805806506</v>
      </c>
      <c r="I81" s="1784" t="n">
        <v>-0.0140581182086375</v>
      </c>
      <c r="J81" s="2394" t="n"/>
      <c r="K81" s="2361" t="n"/>
      <c r="L81" s="2361" t="n"/>
      <c r="M81" s="1582" t="n"/>
      <c r="N81" s="1525" t="n"/>
      <c r="O81" s="1525" t="n"/>
      <c r="P81" s="1525" t="n"/>
      <c r="Q81" s="1525" t="n"/>
      <c r="R81" s="1525" t="n"/>
      <c r="S81" s="1525" t="n"/>
      <c r="T81" s="1525" t="n"/>
      <c r="U81" s="1525" t="n"/>
      <c r="V81" s="1525" t="n"/>
      <c r="W81" s="1525" t="n"/>
      <c r="X81" s="1525" t="n"/>
      <c r="Y81" s="1525" t="n"/>
      <c r="Z81" s="1525" t="n"/>
      <c r="AA81" s="1525" t="n"/>
      <c r="AB81" s="1525" t="n"/>
      <c r="AC81" s="1525" t="n"/>
      <c r="AD81" s="1525" t="n"/>
      <c r="AE81" s="1525" t="n"/>
      <c r="AF81" s="1525" t="n"/>
      <c r="AG81" s="1525" t="n"/>
      <c r="AH81" s="1525" t="n"/>
      <c r="AI81" s="1525" t="n"/>
      <c r="AJ81" s="1525" t="n"/>
      <c r="AK81" s="1525" t="n"/>
      <c r="AL81" s="1525" t="n"/>
      <c r="AM81" s="1525" t="n"/>
      <c r="AN81" s="1525" t="n"/>
    </row>
    <row r="82" ht="12" customFormat="1" customHeight="1" s="1577">
      <c r="A82" s="1523" t="inlineStr">
        <is>
          <t>Text_732</t>
        </is>
      </c>
      <c r="B82" s="1750" t="n">
        <v>0.398977714754115</v>
      </c>
      <c r="C82" s="1750" t="n">
        <v>0.0270285832288969</v>
      </c>
      <c r="D82" s="1750" t="n">
        <v>-0.17539120138529</v>
      </c>
      <c r="E82" s="1750" t="n">
        <v>-0.0661600663364505</v>
      </c>
      <c r="F82" s="1750" t="n">
        <v>0.0934866121709677</v>
      </c>
      <c r="G82" s="1750" t="n">
        <v>0.09253470624852481</v>
      </c>
      <c r="H82" s="1750" t="n">
        <v>0.0172602484516996</v>
      </c>
      <c r="I82" s="1784" t="n"/>
      <c r="J82" s="2394" t="n"/>
      <c r="K82" s="2361" t="n"/>
      <c r="L82" s="2361" t="n"/>
      <c r="M82" s="1582" t="n"/>
      <c r="N82" s="1525" t="n"/>
      <c r="O82" s="1525" t="n"/>
      <c r="P82" s="1525" t="n"/>
      <c r="Q82" s="1525" t="n"/>
      <c r="R82" s="1525" t="n"/>
      <c r="S82" s="1525" t="n"/>
      <c r="T82" s="1525" t="n"/>
      <c r="U82" s="1525" t="n"/>
      <c r="V82" s="1525" t="n"/>
      <c r="W82" s="1525" t="n"/>
      <c r="X82" s="1525" t="n"/>
      <c r="Y82" s="1525" t="n"/>
      <c r="Z82" s="1525" t="n"/>
      <c r="AA82" s="1525" t="n"/>
      <c r="AB82" s="1525" t="n"/>
      <c r="AC82" s="1525" t="n"/>
      <c r="AD82" s="1525" t="n"/>
      <c r="AE82" s="1525" t="n"/>
      <c r="AF82" s="1525" t="n"/>
      <c r="AG82" s="1525" t="n"/>
      <c r="AH82" s="1525" t="n"/>
      <c r="AI82" s="1525" t="n"/>
      <c r="AJ82" s="1525" t="n"/>
      <c r="AK82" s="1525" t="n"/>
      <c r="AL82" s="1525" t="n"/>
      <c r="AM82" s="1525" t="n"/>
      <c r="AN82" s="1525" t="n"/>
    </row>
    <row r="83" ht="12" customFormat="1" customHeight="1" s="1577">
      <c r="A83" s="1523" t="inlineStr">
        <is>
          <t>Text_22</t>
        </is>
      </c>
      <c r="B83" s="2369" t="n">
        <v>25245.7384337879</v>
      </c>
      <c r="C83" s="2369" t="n">
        <v>17366.6674302086</v>
      </c>
      <c r="D83" s="2369" t="n">
        <v>14082.6183839529</v>
      </c>
      <c r="E83" s="2369" t="n">
        <v>15994.2018891362</v>
      </c>
      <c r="F83" s="2369" t="n">
        <v>17622.8427977476</v>
      </c>
      <c r="G83" s="2369" t="n">
        <v>21753.2405627918</v>
      </c>
      <c r="H83" s="2369" t="n">
        <v>23342.5644366909</v>
      </c>
      <c r="I83" s="1784" t="n">
        <v>0.00639211984737513</v>
      </c>
      <c r="J83" s="2394" t="n"/>
      <c r="K83" s="2361" t="n"/>
      <c r="L83" s="2361" t="n"/>
      <c r="M83" s="1582" t="n"/>
      <c r="N83" s="1525" t="n"/>
      <c r="O83" s="1525" t="n"/>
      <c r="P83" s="1525" t="n"/>
      <c r="Q83" s="1525" t="n"/>
      <c r="R83" s="1525" t="n"/>
      <c r="S83" s="1525" t="n"/>
      <c r="T83" s="1525" t="n"/>
      <c r="U83" s="1525" t="n"/>
      <c r="V83" s="1525" t="n"/>
      <c r="W83" s="1525" t="n"/>
      <c r="X83" s="1525" t="n"/>
      <c r="Y83" s="1525" t="n"/>
      <c r="Z83" s="1525" t="n"/>
      <c r="AA83" s="1525" t="n"/>
      <c r="AB83" s="1525" t="n"/>
      <c r="AC83" s="1525" t="n"/>
      <c r="AD83" s="1525" t="n"/>
      <c r="AE83" s="1525" t="n"/>
      <c r="AF83" s="1525" t="n"/>
      <c r="AG83" s="1525" t="n"/>
      <c r="AH83" s="1525" t="n"/>
      <c r="AI83" s="1525" t="n"/>
      <c r="AJ83" s="1525" t="n"/>
      <c r="AK83" s="1525" t="n"/>
      <c r="AL83" s="1525" t="n"/>
      <c r="AM83" s="1525" t="n"/>
      <c r="AN83" s="1525" t="n"/>
    </row>
    <row r="84" ht="12" customFormat="1" customHeight="1" s="1577">
      <c r="A84" s="1523" t="inlineStr">
        <is>
          <t>Text_732</t>
        </is>
      </c>
      <c r="B84" s="1750" t="n">
        <v>0.373879468002086</v>
      </c>
      <c r="C84" s="1750" t="n">
        <v>-0.118988848413273</v>
      </c>
      <c r="D84" s="1750" t="n">
        <v>-0.242192938599331</v>
      </c>
      <c r="E84" s="1750" t="n">
        <v>0.0640580162178763</v>
      </c>
      <c r="F84" s="1750" t="n">
        <v>0.184754575075533</v>
      </c>
      <c r="G84" s="1750" t="n">
        <v>0.0582981937987375</v>
      </c>
      <c r="H84" s="1750" t="n">
        <v>0.0230907205677489</v>
      </c>
      <c r="I84" s="1784" t="n"/>
      <c r="J84" s="2394" t="n"/>
      <c r="K84" s="2361" t="n"/>
      <c r="L84" s="2361" t="n"/>
      <c r="M84" s="1582" t="n"/>
      <c r="N84" s="1525" t="n"/>
      <c r="O84" s="1525" t="n"/>
      <c r="P84" s="1525" t="n"/>
      <c r="Q84" s="1525" t="n"/>
      <c r="R84" s="1525" t="n"/>
      <c r="S84" s="1525" t="n"/>
      <c r="T84" s="1525" t="n"/>
      <c r="U84" s="1525" t="n"/>
      <c r="V84" s="1525" t="n"/>
      <c r="W84" s="1525" t="n"/>
      <c r="X84" s="1525" t="n"/>
      <c r="Y84" s="1525" t="n"/>
      <c r="Z84" s="1525" t="n"/>
      <c r="AA84" s="1525" t="n"/>
      <c r="AB84" s="1525" t="n"/>
      <c r="AC84" s="1525" t="n"/>
      <c r="AD84" s="1525" t="n"/>
      <c r="AE84" s="1525" t="n"/>
      <c r="AF84" s="1525" t="n"/>
      <c r="AG84" s="1525" t="n"/>
      <c r="AH84" s="1525" t="n"/>
      <c r="AI84" s="1525" t="n"/>
      <c r="AJ84" s="1525" t="n"/>
      <c r="AK84" s="1525" t="n"/>
      <c r="AL84" s="1525" t="n"/>
      <c r="AM84" s="1525" t="n"/>
      <c r="AN84" s="1525" t="n"/>
    </row>
    <row r="85" ht="12" customFormat="1" customHeight="1" s="1577">
      <c r="A85" s="1523" t="inlineStr">
        <is>
          <t>Text_887</t>
        </is>
      </c>
      <c r="B85" s="2369" t="n">
        <v>21733.2703919626</v>
      </c>
      <c r="C85" s="2369" t="n">
        <v>23142.8439861493</v>
      </c>
      <c r="D85" s="2369" t="n">
        <v>18676.5808696325</v>
      </c>
      <c r="E85" s="2369" t="n">
        <v>19739.3964320797</v>
      </c>
      <c r="F85" s="2369" t="n">
        <v>22733.1116249975</v>
      </c>
      <c r="G85" s="2369" t="n">
        <v>22424.3340970234</v>
      </c>
      <c r="H85" s="2369" t="n">
        <v>25514.7235512376</v>
      </c>
      <c r="I85" s="1784" t="n">
        <v>0.0216217296174152</v>
      </c>
      <c r="J85" s="2394" t="n"/>
      <c r="K85" s="2361" t="n"/>
      <c r="L85" s="2361" t="n"/>
      <c r="M85" s="1582" t="n"/>
      <c r="N85" s="1525" t="n"/>
      <c r="O85" s="1525" t="n"/>
      <c r="P85" s="1525" t="n"/>
      <c r="Q85" s="1525" t="n"/>
      <c r="R85" s="1525" t="n"/>
      <c r="S85" s="1525" t="n"/>
      <c r="T85" s="1525" t="n"/>
      <c r="U85" s="1525" t="n"/>
      <c r="V85" s="1525" t="n"/>
      <c r="W85" s="1525" t="n"/>
      <c r="X85" s="1525" t="n"/>
      <c r="Y85" s="1525" t="n"/>
      <c r="Z85" s="1525" t="n"/>
      <c r="AA85" s="1525" t="n"/>
      <c r="AB85" s="1525" t="n"/>
      <c r="AC85" s="1525" t="n"/>
      <c r="AD85" s="1525" t="n"/>
      <c r="AE85" s="1525" t="n"/>
      <c r="AF85" s="1525" t="n"/>
      <c r="AG85" s="1525" t="n"/>
      <c r="AH85" s="1525" t="n"/>
      <c r="AI85" s="1525" t="n"/>
      <c r="AJ85" s="1525" t="n"/>
      <c r="AK85" s="1525" t="n"/>
      <c r="AL85" s="1525" t="n"/>
      <c r="AM85" s="1525" t="n"/>
      <c r="AN85" s="1525" t="n"/>
    </row>
    <row r="86" ht="12" customFormat="1" customHeight="1" s="1577">
      <c r="A86" s="1523" t="inlineStr">
        <is>
          <t>Text_732</t>
        </is>
      </c>
      <c r="B86" s="1750" t="n">
        <v>0.33209896541775</v>
      </c>
      <c r="C86" s="1750" t="n">
        <v>0.0515755976138363</v>
      </c>
      <c r="D86" s="1750" t="n">
        <v>-0.07578475034621911</v>
      </c>
      <c r="E86" s="1750" t="n">
        <v>0.0281320213253982</v>
      </c>
      <c r="F86" s="1750" t="n">
        <v>0.0216902655821322</v>
      </c>
      <c r="G86" s="1750" t="n">
        <v>0.130038043475427</v>
      </c>
      <c r="H86" s="1750" t="n">
        <v>0.00269031989109258</v>
      </c>
      <c r="I86" s="1784" t="n"/>
      <c r="J86" s="2394" t="n"/>
      <c r="K86" s="2361" t="n"/>
      <c r="L86" s="2361" t="n"/>
      <c r="M86" s="1582" t="n"/>
      <c r="N86" s="1525" t="n"/>
      <c r="O86" s="1525" t="n"/>
      <c r="P86" s="1525" t="n"/>
      <c r="Q86" s="1525" t="n"/>
      <c r="R86" s="1525" t="n"/>
      <c r="S86" s="1525" t="n"/>
      <c r="T86" s="1525" t="n"/>
      <c r="U86" s="1525" t="n"/>
      <c r="V86" s="1525" t="n"/>
      <c r="W86" s="1525" t="n"/>
      <c r="X86" s="1525" t="n"/>
      <c r="Y86" s="1525" t="n"/>
      <c r="Z86" s="1525" t="n"/>
      <c r="AA86" s="1525" t="n"/>
      <c r="AB86" s="1525" t="n"/>
      <c r="AC86" s="1525" t="n"/>
      <c r="AD86" s="1525" t="n"/>
      <c r="AE86" s="1525" t="n"/>
      <c r="AF86" s="1525" t="n"/>
      <c r="AG86" s="1525" t="n"/>
      <c r="AH86" s="1525" t="n"/>
      <c r="AI86" s="1525" t="n"/>
      <c r="AJ86" s="1525" t="n"/>
      <c r="AK86" s="1525" t="n"/>
      <c r="AL86" s="1525" t="n"/>
      <c r="AM86" s="1525" t="n"/>
      <c r="AN86" s="1525" t="n"/>
    </row>
    <row r="87" ht="12" customFormat="1" customHeight="1" s="1577">
      <c r="A87" s="1523" t="inlineStr">
        <is>
          <t>Text_26</t>
        </is>
      </c>
      <c r="B87" s="2369" t="n">
        <v>22213.1845663953</v>
      </c>
      <c r="C87" s="2369" t="n">
        <v>24093.6905063206</v>
      </c>
      <c r="D87" s="2369" t="n">
        <v>21484.2671039387</v>
      </c>
      <c r="E87" s="2369" t="n">
        <v>13691.0572264139</v>
      </c>
      <c r="F87" s="2369" t="n">
        <v>15541.3071213661</v>
      </c>
      <c r="G87" s="2369" t="n">
        <v>14097.1253075266</v>
      </c>
      <c r="H87" s="2369" t="n">
        <v>17027.1317297998</v>
      </c>
      <c r="I87" s="1784" t="n">
        <v>-0.0835735376529379</v>
      </c>
      <c r="J87" s="2394" t="n"/>
      <c r="K87" s="2361" t="n"/>
      <c r="L87" s="2361" t="n"/>
      <c r="M87" s="1582" t="n"/>
      <c r="N87" s="1525" t="n"/>
      <c r="O87" s="1525" t="n"/>
      <c r="P87" s="1525" t="n"/>
      <c r="Q87" s="1525" t="n"/>
      <c r="R87" s="1525" t="n"/>
      <c r="S87" s="1525" t="n"/>
      <c r="T87" s="1525" t="n"/>
      <c r="U87" s="1525" t="n"/>
      <c r="V87" s="1525" t="n"/>
      <c r="W87" s="1525" t="n"/>
      <c r="X87" s="1525" t="n"/>
      <c r="Y87" s="1525" t="n"/>
      <c r="Z87" s="1525" t="n"/>
      <c r="AA87" s="1525" t="n"/>
      <c r="AB87" s="1525" t="n"/>
      <c r="AC87" s="1525" t="n"/>
      <c r="AD87" s="1525" t="n"/>
      <c r="AE87" s="1525" t="n"/>
      <c r="AF87" s="1525" t="n"/>
      <c r="AG87" s="1525" t="n"/>
      <c r="AH87" s="1525" t="n"/>
      <c r="AI87" s="1525" t="n"/>
      <c r="AJ87" s="1525" t="n"/>
      <c r="AK87" s="1525" t="n"/>
      <c r="AL87" s="1525" t="n"/>
      <c r="AM87" s="1525" t="n"/>
      <c r="AN87" s="1525" t="n"/>
    </row>
    <row r="88" ht="12" customFormat="1" customHeight="1" s="1577">
      <c r="A88" s="1523" t="inlineStr">
        <is>
          <t>Text_732</t>
        </is>
      </c>
      <c r="B88" s="1750" t="n">
        <v>0.448416809364124</v>
      </c>
      <c r="C88" s="1750" t="n">
        <v>0.155154779917471</v>
      </c>
      <c r="D88" s="1750" t="n">
        <v>-0.187173591133013</v>
      </c>
      <c r="E88" s="1750" t="n">
        <v>-0.283947997098782</v>
      </c>
      <c r="F88" s="1750" t="n">
        <v>0.0429723017280211</v>
      </c>
      <c r="G88" s="1750" t="n">
        <v>0.0436929673268143</v>
      </c>
      <c r="H88" s="1750" t="n">
        <v>0.0184442615402846</v>
      </c>
      <c r="I88" s="1784" t="n"/>
      <c r="J88" s="2394" t="n"/>
      <c r="K88" s="2361" t="n"/>
      <c r="L88" s="2361" t="n"/>
      <c r="M88" s="1582" t="n"/>
      <c r="N88" s="1525" t="n"/>
      <c r="O88" s="1525" t="n"/>
      <c r="P88" s="1525" t="n"/>
      <c r="Q88" s="1525" t="n"/>
      <c r="R88" s="1525" t="n"/>
      <c r="S88" s="1525" t="n"/>
      <c r="T88" s="1525" t="n"/>
      <c r="U88" s="1525" t="n"/>
      <c r="V88" s="1525" t="n"/>
      <c r="W88" s="1525" t="n"/>
      <c r="X88" s="1525" t="n"/>
      <c r="Y88" s="1525" t="n"/>
      <c r="Z88" s="1525" t="n"/>
      <c r="AA88" s="1525" t="n"/>
      <c r="AB88" s="1525" t="n"/>
      <c r="AC88" s="1525" t="n"/>
      <c r="AD88" s="1525" t="n"/>
      <c r="AE88" s="1525" t="n"/>
      <c r="AF88" s="1525" t="n"/>
      <c r="AG88" s="1525" t="n"/>
      <c r="AH88" s="1525" t="n"/>
      <c r="AI88" s="1525" t="n"/>
      <c r="AJ88" s="1525" t="n"/>
      <c r="AK88" s="1525" t="n"/>
      <c r="AL88" s="1525" t="n"/>
      <c r="AM88" s="1525" t="n"/>
      <c r="AN88" s="1525" t="n"/>
    </row>
    <row r="89" ht="12" customFormat="1" customHeight="1" s="1577">
      <c r="A89" s="1523" t="inlineStr">
        <is>
          <t>Text_888</t>
        </is>
      </c>
      <c r="B89" s="2369" t="n">
        <v>5647.91909450837</v>
      </c>
      <c r="C89" s="2369" t="n">
        <v>4958.85549769144</v>
      </c>
      <c r="D89" s="2369" t="n">
        <v>3855.84244330708</v>
      </c>
      <c r="E89" s="2369" t="n">
        <v>4610.26796428891</v>
      </c>
      <c r="F89" s="2369" t="n">
        <v>4944.97390055927</v>
      </c>
      <c r="G89" s="2369" t="n">
        <v>6156.77034779</v>
      </c>
      <c r="H89" s="2369" t="n">
        <v>5644.87265169167</v>
      </c>
      <c r="I89" s="1784" t="n">
        <v>0.0374341275466363</v>
      </c>
      <c r="J89" s="2394" t="n"/>
      <c r="K89" s="2361" t="n"/>
      <c r="L89" s="2361" t="n"/>
      <c r="M89" s="1582" t="n"/>
      <c r="N89" s="1525" t="n"/>
      <c r="O89" s="1525" t="n"/>
      <c r="P89" s="1525" t="n"/>
      <c r="Q89" s="1525" t="n"/>
      <c r="R89" s="1525" t="n"/>
      <c r="S89" s="1525" t="n"/>
      <c r="T89" s="1525" t="n"/>
      <c r="U89" s="1525" t="n"/>
      <c r="V89" s="1525" t="n"/>
      <c r="W89" s="1525" t="n"/>
      <c r="X89" s="1525" t="n"/>
      <c r="Y89" s="1525" t="n"/>
      <c r="Z89" s="1525" t="n"/>
      <c r="AA89" s="1525" t="n"/>
      <c r="AB89" s="1525" t="n"/>
      <c r="AC89" s="1525" t="n"/>
      <c r="AD89" s="1525" t="n"/>
      <c r="AE89" s="1525" t="n"/>
      <c r="AF89" s="1525" t="n"/>
      <c r="AG89" s="1525" t="n"/>
      <c r="AH89" s="1525" t="n"/>
      <c r="AI89" s="1525" t="n"/>
      <c r="AJ89" s="1525" t="n"/>
      <c r="AK89" s="1525" t="n"/>
      <c r="AL89" s="1525" t="n"/>
      <c r="AM89" s="1525" t="n"/>
      <c r="AN89" s="1525" t="n"/>
    </row>
    <row r="90" ht="12" customFormat="1" customHeight="1" s="1577">
      <c r="A90" s="1523" t="inlineStr">
        <is>
          <t>Text_732</t>
        </is>
      </c>
      <c r="B90" s="1750" t="n">
        <v>0.650435838521266</v>
      </c>
      <c r="C90" s="1750" t="n">
        <v>0.0201181331370762</v>
      </c>
      <c r="D90" s="1750" t="n">
        <v>-0.222049511624645</v>
      </c>
      <c r="E90" s="1750" t="n">
        <v>0.0573860580298921</v>
      </c>
      <c r="F90" s="1750" t="n">
        <v>0.20084823815202</v>
      </c>
      <c r="G90" s="1750" t="n">
        <v>0.176312405207534</v>
      </c>
      <c r="H90" s="1750" t="n">
        <v>0.0529412855032654</v>
      </c>
      <c r="I90" s="1784" t="n"/>
      <c r="J90" s="2394" t="n"/>
      <c r="K90" s="2361" t="n"/>
      <c r="L90" s="2361" t="n"/>
      <c r="M90" s="1582" t="n"/>
      <c r="N90" s="1525" t="n"/>
      <c r="O90" s="1525" t="n"/>
      <c r="P90" s="1525" t="n"/>
      <c r="Q90" s="1525" t="n"/>
      <c r="R90" s="1525" t="n"/>
      <c r="S90" s="1525" t="n"/>
      <c r="T90" s="1525" t="n"/>
      <c r="U90" s="1525" t="n"/>
      <c r="V90" s="1525" t="n"/>
      <c r="W90" s="1525" t="n"/>
      <c r="X90" s="1525" t="n"/>
      <c r="Y90" s="1525" t="n"/>
      <c r="Z90" s="1525" t="n"/>
      <c r="AA90" s="1525" t="n"/>
      <c r="AB90" s="1525" t="n"/>
      <c r="AC90" s="1525" t="n"/>
      <c r="AD90" s="1525" t="n"/>
      <c r="AE90" s="1525" t="n"/>
      <c r="AF90" s="1525" t="n"/>
      <c r="AG90" s="1525" t="n"/>
      <c r="AH90" s="1525" t="n"/>
      <c r="AI90" s="1525" t="n"/>
      <c r="AJ90" s="1525" t="n"/>
      <c r="AK90" s="1525" t="n"/>
      <c r="AL90" s="1525" t="n"/>
      <c r="AM90" s="1525" t="n"/>
      <c r="AN90" s="1525" t="n"/>
    </row>
    <row r="91" ht="12" customFormat="1" customHeight="1" s="1577">
      <c r="A91" s="1607" t="inlineStr">
        <is>
          <t>Text_834</t>
        </is>
      </c>
      <c r="B91" s="2395" t="n">
        <v>102288.15872803</v>
      </c>
      <c r="C91" s="2395" t="n">
        <v>102169.925510285</v>
      </c>
      <c r="D91" s="2370" t="n">
        <v>82099.40931297099</v>
      </c>
      <c r="E91" s="2370" t="n">
        <v>94104.6340040576</v>
      </c>
      <c r="F91" s="2370" t="n">
        <v>99369.45103477591</v>
      </c>
      <c r="G91" s="2370" t="n">
        <v>112478.754739744</v>
      </c>
      <c r="H91" s="2370" t="n">
        <v>115681.549373828</v>
      </c>
      <c r="I91" s="2396" t="n">
        <v>0.0129582500269638</v>
      </c>
      <c r="J91" s="2394" t="n"/>
      <c r="K91" s="2361" t="n"/>
      <c r="L91" s="2361" t="n"/>
      <c r="M91" s="1582" t="n"/>
      <c r="N91" s="1525" t="n"/>
      <c r="O91" s="1525" t="n"/>
      <c r="P91" s="1525" t="n"/>
      <c r="Q91" s="1525" t="n"/>
      <c r="R91" s="1525" t="n"/>
      <c r="S91" s="1525" t="n"/>
      <c r="T91" s="1525" t="n"/>
      <c r="U91" s="1525" t="n"/>
      <c r="V91" s="1525" t="n"/>
      <c r="W91" s="1525" t="n"/>
      <c r="X91" s="1525" t="n"/>
      <c r="Y91" s="1525" t="n"/>
      <c r="Z91" s="1525" t="n"/>
      <c r="AA91" s="1525" t="n"/>
      <c r="AB91" s="1525" t="n"/>
      <c r="AC91" s="1525" t="n"/>
      <c r="AD91" s="1525" t="n"/>
      <c r="AE91" s="1525" t="n"/>
      <c r="AF91" s="1525" t="n"/>
      <c r="AG91" s="1525" t="n"/>
      <c r="AH91" s="1525" t="n"/>
      <c r="AI91" s="1525" t="n"/>
      <c r="AJ91" s="1525" t="n"/>
      <c r="AK91" s="1525" t="n"/>
      <c r="AL91" s="1525" t="n"/>
      <c r="AM91" s="1525" t="n"/>
      <c r="AN91" s="1525" t="n"/>
    </row>
    <row r="92" ht="12" customFormat="1" customHeight="1" s="1577">
      <c r="A92" s="1532" t="inlineStr">
        <is>
          <t>Text_889</t>
        </is>
      </c>
      <c r="B92" s="1957" t="n">
        <v>0.433621525166971</v>
      </c>
      <c r="C92" s="1957" t="n">
        <v>0.08265200271933219</v>
      </c>
      <c r="D92" s="1957" t="n">
        <v>-0.09081329469221951</v>
      </c>
      <c r="E92" s="1957" t="n">
        <v>-0.0371473890490536</v>
      </c>
      <c r="F92" s="1957" t="n">
        <v>0.0990553260279429</v>
      </c>
      <c r="G92" s="1957" t="n">
        <v>0.0868884247131072</v>
      </c>
      <c r="H92" s="1957" t="n">
        <v>0.017185194084644</v>
      </c>
      <c r="I92" s="1959" t="n"/>
      <c r="J92" s="2394" t="n"/>
      <c r="K92" s="2361" t="n"/>
      <c r="L92" s="2361" t="n"/>
      <c r="M92" s="1582" t="n"/>
      <c r="N92" s="1525" t="n"/>
      <c r="O92" s="1525" t="n"/>
      <c r="P92" s="1525" t="n"/>
      <c r="Q92" s="1525" t="n"/>
      <c r="R92" s="1525" t="n"/>
      <c r="S92" s="1525" t="n"/>
      <c r="T92" s="1525" t="n"/>
      <c r="U92" s="1525" t="n"/>
      <c r="V92" s="1525" t="n"/>
      <c r="W92" s="1525" t="n"/>
      <c r="X92" s="1525" t="n"/>
      <c r="Y92" s="1525" t="n"/>
      <c r="Z92" s="1525" t="n"/>
      <c r="AA92" s="1525" t="n"/>
      <c r="AB92" s="1525" t="n"/>
      <c r="AC92" s="1525" t="n"/>
      <c r="AD92" s="1525" t="n"/>
      <c r="AE92" s="1525" t="n"/>
      <c r="AF92" s="1525" t="n"/>
      <c r="AG92" s="1525" t="n"/>
      <c r="AH92" s="1525" t="n"/>
      <c r="AI92" s="1525" t="n"/>
      <c r="AJ92" s="1525" t="n"/>
      <c r="AK92" s="1525" t="n"/>
      <c r="AL92" s="1525" t="n"/>
      <c r="AM92" s="1525" t="n"/>
      <c r="AN92" s="1525" t="n"/>
    </row>
    <row r="93" ht="12" customFormat="1" customHeight="1" s="1577">
      <c r="A93" s="1506" t="inlineStr">
        <is>
          <t>Text_890</t>
        </is>
      </c>
      <c r="B93" s="1520" t="n"/>
      <c r="C93" s="1536" t="n"/>
      <c r="D93" s="1536" t="n"/>
      <c r="J93" s="2361" t="n"/>
      <c r="K93" s="2390" t="n"/>
      <c r="L93" s="2361" t="n"/>
      <c r="M93" s="2361" t="n"/>
      <c r="N93" s="1582" t="n"/>
      <c r="O93" s="1525" t="n"/>
      <c r="P93" s="1525" t="n"/>
      <c r="Q93" s="1525" t="n"/>
      <c r="R93" s="1525" t="n"/>
      <c r="S93" s="1525" t="n"/>
      <c r="T93" s="1525" t="n"/>
      <c r="U93" s="1525" t="n"/>
      <c r="V93" s="1525" t="n"/>
      <c r="W93" s="1525" t="n"/>
      <c r="X93" s="1525" t="n"/>
      <c r="Y93" s="1525" t="n"/>
      <c r="Z93" s="1525" t="n"/>
      <c r="AA93" s="1525" t="n"/>
      <c r="AB93" s="1525" t="n"/>
      <c r="AC93" s="1525" t="n"/>
      <c r="AD93" s="1525" t="n"/>
      <c r="AE93" s="1525" t="n"/>
      <c r="AF93" s="1525" t="n"/>
      <c r="AG93" s="1525" t="n"/>
      <c r="AH93" s="1525" t="n"/>
      <c r="AI93" s="1525" t="n"/>
      <c r="AJ93" s="1525" t="n"/>
      <c r="AK93" s="1525" t="n"/>
      <c r="AL93" s="1525" t="n"/>
      <c r="AM93" s="1525" t="n"/>
      <c r="AN93" s="1525" t="n"/>
      <c r="AO93" s="1525" t="n"/>
    </row>
    <row r="94" ht="12" customFormat="1" customHeight="1" s="1577">
      <c r="A94" s="1510">
        <f t="array" ref="A94">A69</f>
        <v/>
      </c>
      <c r="H94" s="1594" t="n"/>
    </row>
    <row r="95" ht="12" customFormat="1" customHeight="1" s="1577">
      <c r="A95" s="1595" t="n"/>
      <c r="H95" s="1594" t="n"/>
    </row>
    <row r="96" ht="12" customFormat="1" customHeight="1" s="1577">
      <c r="A96" s="1466" t="inlineStr">
        <is>
          <t>Text_891</t>
        </is>
      </c>
      <c r="B96" s="1467" t="inlineStr">
        <is>
          <t>Text_784</t>
        </is>
      </c>
      <c r="C96" s="1459" t="inlineStr">
        <is>
          <t>Text_785</t>
        </is>
      </c>
      <c r="D96" s="1538" t="n"/>
      <c r="E96" s="1538" t="n"/>
      <c r="P96" s="1525" t="n"/>
      <c r="Q96" s="1525" t="n"/>
      <c r="R96" s="1525" t="n"/>
      <c r="S96" s="1525" t="n"/>
      <c r="T96" s="1525" t="n"/>
      <c r="U96" s="1525" t="n"/>
      <c r="V96" s="1525" t="n"/>
      <c r="W96" s="1525" t="n"/>
      <c r="X96" s="1525" t="n"/>
      <c r="Y96" s="1525" t="n"/>
      <c r="Z96" s="1525" t="n"/>
      <c r="AA96" s="1525" t="n"/>
      <c r="AB96" s="1525" t="n"/>
      <c r="AC96" s="1525" t="n"/>
      <c r="AD96" s="1525" t="n"/>
      <c r="AE96" s="1525" t="n"/>
      <c r="AF96" s="1525" t="n"/>
      <c r="AG96" s="1525" t="n"/>
      <c r="AH96" s="1525" t="n"/>
      <c r="AI96" s="1525" t="n"/>
      <c r="AJ96" s="1525" t="n"/>
      <c r="AK96" s="1525" t="n"/>
      <c r="AL96" s="1525" t="n"/>
      <c r="AM96" s="1525" t="n"/>
      <c r="AN96" s="1525" t="n"/>
      <c r="AO96" s="1525" t="n"/>
    </row>
    <row r="97" ht="12" customFormat="1" customHeight="1" s="1577">
      <c r="A97" s="1469" t="inlineStr">
        <is>
          <t>Text_857</t>
        </is>
      </c>
      <c r="P97" s="1525" t="n"/>
      <c r="Q97" s="1525" t="n"/>
      <c r="R97" s="1525" t="n"/>
      <c r="S97" s="1525" t="n"/>
      <c r="T97" s="1525" t="n"/>
      <c r="U97" s="1525" t="n"/>
      <c r="V97" s="1525" t="n"/>
      <c r="W97" s="1525" t="n"/>
      <c r="X97" s="1525" t="n"/>
      <c r="Y97" s="1525" t="n"/>
      <c r="Z97" s="1525" t="n"/>
      <c r="AA97" s="1525" t="n"/>
      <c r="AB97" s="1525" t="n"/>
      <c r="AC97" s="1525" t="n"/>
      <c r="AD97" s="1525" t="n"/>
      <c r="AE97" s="1525" t="n"/>
      <c r="AF97" s="1525" t="n"/>
      <c r="AG97" s="1525" t="n"/>
      <c r="AH97" s="1525" t="n"/>
      <c r="AI97" s="1525" t="n"/>
      <c r="AJ97" s="1525" t="n"/>
      <c r="AK97" s="1525" t="n"/>
      <c r="AL97" s="1525" t="n"/>
      <c r="AM97" s="1525" t="n"/>
      <c r="AN97" s="1525" t="n"/>
      <c r="AO97" s="1525" t="n"/>
    </row>
    <row r="98" ht="12" customFormat="1" customHeight="1" s="1577">
      <c r="A98" s="1601" t="n"/>
      <c r="B98" s="1610" t="n">
        <v>2212.43642427362</v>
      </c>
      <c r="C98" s="1610" t="n">
        <v>2081.02968869541</v>
      </c>
      <c r="D98" s="1610" t="n">
        <v>1958.44739725638</v>
      </c>
      <c r="E98" s="1610" t="n">
        <v>2007.87013237251</v>
      </c>
      <c r="F98" s="1610" t="n">
        <v>2240.38754137032</v>
      </c>
      <c r="G98" s="1610" t="n">
        <v>1928.7546658472</v>
      </c>
      <c r="H98" s="1611" t="n">
        <v>2251.78397333428</v>
      </c>
      <c r="O98" s="1525" t="n"/>
      <c r="P98" s="1525" t="n"/>
      <c r="Q98" s="1525" t="n"/>
      <c r="R98" s="1525" t="n"/>
      <c r="S98" s="1525" t="n"/>
      <c r="T98" s="1525" t="n"/>
      <c r="U98" s="1525" t="n"/>
      <c r="V98" s="1525" t="n"/>
      <c r="W98" s="1525" t="n"/>
      <c r="X98" s="1525" t="n"/>
      <c r="Y98" s="1525" t="n"/>
      <c r="Z98" s="1525" t="n"/>
      <c r="AA98" s="1525" t="n"/>
      <c r="AB98" s="1525" t="n"/>
      <c r="AC98" s="1525" t="n"/>
      <c r="AD98" s="1525" t="n"/>
      <c r="AE98" s="1525" t="n"/>
      <c r="AF98" s="1525" t="n"/>
      <c r="AG98" s="1525" t="n"/>
      <c r="AH98" s="1525" t="n"/>
      <c r="AI98" s="1525" t="n"/>
      <c r="AJ98" s="1525" t="n"/>
      <c r="AK98" s="1525" t="n"/>
      <c r="AL98" s="1525" t="n"/>
      <c r="AM98" s="1525" t="n"/>
      <c r="AN98" s="1525" t="n"/>
    </row>
    <row r="99" ht="12" customFormat="1" customHeight="1" s="1577">
      <c r="A99" s="1604" t="inlineStr">
        <is>
          <t>Text_892</t>
        </is>
      </c>
      <c r="B99" s="2357" t="n">
        <v>0.0412289780531998</v>
      </c>
      <c r="C99" s="2357" t="n">
        <v>0.0462455929674388</v>
      </c>
      <c r="D99" s="2357" t="n">
        <v>0.0341469071890806</v>
      </c>
      <c r="E99" s="2357" t="n">
        <v>0.0387272706113493</v>
      </c>
      <c r="F99" s="2357" t="n">
        <v>0.0327701435568283</v>
      </c>
      <c r="G99" s="2357" t="n">
        <v>0.0318961492563901</v>
      </c>
      <c r="H99" s="2358" t="n">
        <v>0.0336817936256809</v>
      </c>
      <c r="I99" s="1612" t="n"/>
      <c r="J99" s="1750" t="n"/>
      <c r="K99" s="1750" t="n"/>
      <c r="L99" s="1750" t="n"/>
      <c r="M99" s="1750" t="n"/>
      <c r="N99" s="1525" t="n"/>
      <c r="O99" s="1525" t="n"/>
      <c r="P99" s="1525" t="n"/>
      <c r="Q99" s="1525" t="n"/>
      <c r="R99" s="1525" t="n"/>
      <c r="S99" s="1525" t="n"/>
      <c r="T99" s="1525" t="n"/>
      <c r="U99" s="1525" t="n"/>
      <c r="V99" s="1525" t="n"/>
      <c r="W99" s="1525" t="n"/>
      <c r="X99" s="1525" t="n"/>
      <c r="Y99" s="1525" t="n"/>
      <c r="Z99" s="1525" t="n"/>
      <c r="AA99" s="1525" t="n"/>
      <c r="AB99" s="1525" t="n"/>
      <c r="AC99" s="1525" t="n"/>
      <c r="AD99" s="1525" t="n"/>
      <c r="AE99" s="1525" t="n"/>
      <c r="AF99" s="1525" t="n"/>
      <c r="AG99" s="1525" t="n"/>
      <c r="AH99" s="1525" t="n"/>
      <c r="AI99" s="1525" t="n"/>
      <c r="AJ99" s="1525" t="n"/>
      <c r="AK99" s="1525" t="n"/>
      <c r="AL99" s="1525" t="n"/>
      <c r="AM99" s="1525" t="n"/>
    </row>
    <row r="100" ht="12" customFormat="1" customHeight="1" s="1577">
      <c r="A100" s="1606" t="inlineStr">
        <is>
          <t>Text_893</t>
        </is>
      </c>
      <c r="B100" s="2361" t="n">
        <v>0.0722545039300439</v>
      </c>
      <c r="C100" s="2361" t="n">
        <v>0.0719607957616291</v>
      </c>
      <c r="D100" s="2361" t="n">
        <v>0.0659361113753022</v>
      </c>
      <c r="E100" s="2361" t="n">
        <v>0.06409752268954599</v>
      </c>
      <c r="F100" s="2361" t="n">
        <v>0.0696529304762223</v>
      </c>
      <c r="G100" s="2361" t="n">
        <v>0.0717010930069288</v>
      </c>
      <c r="H100" s="2362" t="n">
        <v>0.0734361360277358</v>
      </c>
      <c r="I100" s="1612" t="n"/>
      <c r="J100" s="1750" t="n"/>
      <c r="K100" s="1750" t="n"/>
      <c r="L100" s="1750" t="n"/>
      <c r="M100" s="1750" t="n"/>
      <c r="N100" s="1525" t="n"/>
      <c r="O100" s="1525" t="n"/>
      <c r="P100" s="1525" t="n"/>
      <c r="Q100" s="1525" t="n"/>
      <c r="R100" s="1525" t="n"/>
      <c r="S100" s="1525" t="n"/>
      <c r="T100" s="1525" t="n"/>
      <c r="U100" s="1525" t="n"/>
      <c r="V100" s="1525" t="n"/>
      <c r="W100" s="1525" t="n"/>
      <c r="X100" s="1525" t="n"/>
      <c r="Y100" s="1525" t="n"/>
      <c r="Z100" s="1525" t="n"/>
      <c r="AA100" s="1525" t="n"/>
      <c r="AB100" s="1525" t="n"/>
      <c r="AC100" s="1525" t="n"/>
      <c r="AD100" s="1525" t="n"/>
      <c r="AE100" s="1525" t="n"/>
      <c r="AF100" s="1525" t="n"/>
      <c r="AG100" s="1525" t="n"/>
      <c r="AH100" s="1525" t="n"/>
      <c r="AI100" s="1525" t="n"/>
      <c r="AJ100" s="1525" t="n"/>
      <c r="AK100" s="1525" t="n"/>
      <c r="AL100" s="1525" t="n"/>
      <c r="AM100" s="1525" t="n"/>
    </row>
    <row r="101" ht="12" customFormat="1" customHeight="1" s="1577">
      <c r="A101" s="1606" t="inlineStr">
        <is>
          <t>Text_894</t>
        </is>
      </c>
      <c r="B101" s="2361" t="n">
        <v>0.00828634793119786</v>
      </c>
      <c r="C101" s="2361" t="n">
        <v>0.0132170056816963</v>
      </c>
      <c r="D101" s="2361" t="n">
        <v>0.0168901737497796</v>
      </c>
      <c r="E101" s="2361" t="n">
        <v>0.0146343681601518</v>
      </c>
      <c r="F101" s="2361" t="n">
        <v>0.0194165658810941</v>
      </c>
      <c r="G101" s="2361" t="n">
        <v>0.0187742973651526</v>
      </c>
      <c r="H101" s="2362" t="n">
        <v>0.0180496583518899</v>
      </c>
      <c r="I101" s="1612" t="n"/>
      <c r="J101" s="1750" t="n"/>
      <c r="K101" s="1750" t="n"/>
      <c r="L101" s="1750" t="n"/>
      <c r="M101" s="1750" t="n"/>
      <c r="N101" s="1525" t="n"/>
      <c r="O101" s="1525" t="n"/>
      <c r="P101" s="1525" t="n"/>
      <c r="Q101" s="1525" t="n"/>
      <c r="R101" s="1525" t="n"/>
      <c r="S101" s="1525" t="n"/>
      <c r="T101" s="1525" t="n"/>
      <c r="U101" s="1525" t="n"/>
      <c r="V101" s="1525" t="n"/>
      <c r="W101" s="1525" t="n"/>
      <c r="X101" s="1525" t="n"/>
      <c r="Y101" s="1525" t="n"/>
      <c r="Z101" s="1525" t="n"/>
      <c r="AA101" s="1525" t="n"/>
      <c r="AB101" s="1525" t="n"/>
      <c r="AC101" s="1525" t="n"/>
      <c r="AD101" s="1525" t="n"/>
      <c r="AE101" s="1525" t="n"/>
      <c r="AF101" s="1525" t="n"/>
      <c r="AG101" s="1525" t="n"/>
      <c r="AH101" s="1525" t="n"/>
      <c r="AI101" s="1525" t="n"/>
      <c r="AJ101" s="1525" t="n"/>
      <c r="AK101" s="1525" t="n"/>
      <c r="AL101" s="1525" t="n"/>
      <c r="AM101" s="1525" t="n"/>
    </row>
    <row r="102" ht="12" customFormat="1" customHeight="1" s="1577">
      <c r="A102" s="1606" t="inlineStr">
        <is>
          <t>Text_895</t>
        </is>
      </c>
      <c r="B102" s="2361" t="n">
        <v>0.226406579175201</v>
      </c>
      <c r="C102" s="2361" t="n">
        <v>0.190923548580597</v>
      </c>
      <c r="D102" s="2361" t="n">
        <v>0.126267365858085</v>
      </c>
      <c r="E102" s="2361" t="n">
        <v>0.131733956857456</v>
      </c>
      <c r="F102" s="2361" t="n">
        <v>0.155544484780198</v>
      </c>
      <c r="G102" s="2361" t="n">
        <v>0.189638800912795</v>
      </c>
      <c r="H102" s="2362" t="n">
        <v>0.199766192310669</v>
      </c>
      <c r="I102" s="1612" t="n"/>
      <c r="J102" s="1750" t="n"/>
      <c r="K102" s="1750" t="n"/>
      <c r="L102" s="1750" t="n"/>
      <c r="M102" s="1750" t="n"/>
      <c r="N102" s="1525" t="n"/>
      <c r="O102" s="1525" t="n"/>
      <c r="P102" s="1525" t="n"/>
      <c r="Q102" s="1525" t="n"/>
      <c r="R102" s="1525" t="n"/>
      <c r="S102" s="1525" t="n"/>
      <c r="T102" s="1525" t="n"/>
      <c r="U102" s="1525" t="n"/>
      <c r="V102" s="1525" t="n"/>
      <c r="W102" s="1525" t="n"/>
      <c r="X102" s="1525" t="n"/>
      <c r="Y102" s="1525" t="n"/>
      <c r="Z102" s="1525" t="n"/>
      <c r="AA102" s="1525" t="n"/>
      <c r="AB102" s="1525" t="n"/>
      <c r="AC102" s="1525" t="n"/>
      <c r="AD102" s="1525" t="n"/>
      <c r="AE102" s="1525" t="n"/>
      <c r="AF102" s="1525" t="n"/>
      <c r="AG102" s="1525" t="n"/>
      <c r="AH102" s="1525" t="n"/>
      <c r="AI102" s="1525" t="n"/>
      <c r="AJ102" s="1525" t="n"/>
      <c r="AK102" s="1525" t="n"/>
      <c r="AL102" s="1525" t="n"/>
      <c r="AM102" s="1525" t="n"/>
    </row>
    <row r="103" ht="12" customFormat="1" customHeight="1" s="1577">
      <c r="A103" s="1606" t="inlineStr">
        <is>
          <t>Text_896</t>
        </is>
      </c>
      <c r="B103" s="2361" t="n">
        <v>0.0545431492637305</v>
      </c>
      <c r="C103" s="2361" t="n">
        <v>0.0415648979205037</v>
      </c>
      <c r="D103" s="2361" t="n">
        <v>0.0464347658026618</v>
      </c>
      <c r="E103" s="2361" t="n">
        <v>0.0273164244132158</v>
      </c>
      <c r="F103" s="2361" t="n">
        <v>0.030362474707438</v>
      </c>
      <c r="G103" s="2361" t="n">
        <v>0.032728419640639</v>
      </c>
      <c r="H103" s="2362" t="n">
        <v>0.0323100716469913</v>
      </c>
      <c r="I103" s="1612" t="n"/>
      <c r="J103" s="1750" t="n"/>
      <c r="K103" s="1750" t="n"/>
      <c r="L103" s="1750" t="n"/>
      <c r="M103" s="1750" t="n"/>
      <c r="N103" s="1525" t="n"/>
      <c r="O103" s="1525" t="n"/>
      <c r="P103" s="1525" t="n"/>
      <c r="Q103" s="1525" t="n"/>
      <c r="R103" s="1525" t="n"/>
      <c r="S103" s="1525" t="n"/>
      <c r="T103" s="1525" t="n"/>
      <c r="U103" s="1525" t="n"/>
      <c r="V103" s="1525" t="n"/>
      <c r="W103" s="1525" t="n"/>
      <c r="X103" s="1525" t="n"/>
      <c r="Y103" s="1525" t="n"/>
      <c r="Z103" s="1525" t="n"/>
      <c r="AA103" s="1525" t="n"/>
      <c r="AB103" s="1525" t="n"/>
      <c r="AC103" s="1525" t="n"/>
      <c r="AD103" s="1525" t="n"/>
      <c r="AE103" s="1525" t="n"/>
      <c r="AF103" s="1525" t="n"/>
      <c r="AG103" s="1525" t="n"/>
      <c r="AH103" s="1525" t="n"/>
      <c r="AI103" s="1525" t="n"/>
      <c r="AJ103" s="1525" t="n"/>
      <c r="AK103" s="1525" t="n"/>
      <c r="AL103" s="1525" t="n"/>
      <c r="AM103" s="1525" t="n"/>
    </row>
    <row r="104" ht="12" customFormat="1" customHeight="1" s="1577">
      <c r="A104" s="1606" t="inlineStr">
        <is>
          <t>Text_897</t>
        </is>
      </c>
      <c r="B104" s="2361" t="n">
        <v>0.0427447588198528</v>
      </c>
      <c r="C104" s="2361" t="n">
        <v>0.06354594929026609</v>
      </c>
      <c r="D104" s="2361" t="n">
        <v>0.0878433407568632</v>
      </c>
      <c r="E104" s="2361" t="n">
        <v>0.079129837597153</v>
      </c>
      <c r="F104" s="2361" t="n">
        <v>0.0434069036925313</v>
      </c>
      <c r="G104" s="2361" t="n">
        <v>0.00870968370027916</v>
      </c>
      <c r="H104" s="2362" t="n">
        <v>0.00861253557676118</v>
      </c>
      <c r="I104" s="1612" t="n"/>
      <c r="J104" s="1750" t="n"/>
      <c r="K104" s="1750" t="n"/>
      <c r="L104" s="1750" t="n"/>
      <c r="M104" s="1750" t="n"/>
      <c r="N104" s="1525" t="n"/>
      <c r="O104" s="1525" t="n"/>
      <c r="P104" s="1525" t="n"/>
      <c r="Q104" s="1525" t="n"/>
      <c r="R104" s="1525" t="n"/>
      <c r="S104" s="1525" t="n"/>
      <c r="T104" s="1525" t="n"/>
      <c r="U104" s="1525" t="n"/>
      <c r="V104" s="1525" t="n"/>
      <c r="W104" s="1525" t="n"/>
      <c r="X104" s="1525" t="n"/>
      <c r="Y104" s="1525" t="n"/>
      <c r="Z104" s="1525" t="n"/>
      <c r="AA104" s="1525" t="n"/>
      <c r="AB104" s="1525" t="n"/>
      <c r="AC104" s="1525" t="n"/>
      <c r="AD104" s="1525" t="n"/>
      <c r="AE104" s="1525" t="n"/>
      <c r="AF104" s="1525" t="n"/>
      <c r="AG104" s="1525" t="n"/>
      <c r="AH104" s="1525" t="n"/>
      <c r="AI104" s="1525" t="n"/>
      <c r="AJ104" s="1525" t="n"/>
      <c r="AK104" s="1525" t="n"/>
      <c r="AL104" s="1525" t="n"/>
      <c r="AM104" s="1525" t="n"/>
    </row>
    <row r="105" ht="12" customFormat="1" customHeight="1" s="1577">
      <c r="A105" s="1606" t="inlineStr">
        <is>
          <t>Text_898</t>
        </is>
      </c>
      <c r="B105" s="2361" t="n">
        <v>0.174847042504146</v>
      </c>
      <c r="C105" s="2361" t="n">
        <v>0.138145717085776</v>
      </c>
      <c r="D105" s="2361" t="n">
        <v>0.106906376025359</v>
      </c>
      <c r="E105" s="2361" t="n">
        <v>0.120074335951481</v>
      </c>
      <c r="F105" s="2361" t="n">
        <v>0.160719296094806</v>
      </c>
      <c r="G105" s="2361" t="n">
        <v>0.158140927490509</v>
      </c>
      <c r="H105" s="2362" t="n">
        <v>0.159110440412165</v>
      </c>
      <c r="I105" s="1613" t="n"/>
      <c r="J105" s="1750" t="n"/>
      <c r="K105" s="1750" t="n"/>
      <c r="L105" s="1750" t="n"/>
      <c r="M105" s="1750" t="n"/>
      <c r="N105" s="1525" t="n"/>
      <c r="O105" s="1525" t="n"/>
      <c r="P105" s="1525" t="n"/>
      <c r="Q105" s="1525" t="n"/>
      <c r="R105" s="1525" t="n"/>
      <c r="S105" s="1525" t="n"/>
      <c r="T105" s="1525" t="n"/>
      <c r="U105" s="1525" t="n"/>
      <c r="V105" s="1525" t="n"/>
      <c r="W105" s="1525" t="n"/>
      <c r="X105" s="1525" t="n"/>
      <c r="Y105" s="1525" t="n"/>
      <c r="Z105" s="1525" t="n"/>
      <c r="AA105" s="1525" t="n"/>
      <c r="AB105" s="1525" t="n"/>
      <c r="AC105" s="1525" t="n"/>
      <c r="AD105" s="1525" t="n"/>
      <c r="AE105" s="1525" t="n"/>
      <c r="AF105" s="1525" t="n"/>
      <c r="AG105" s="1525" t="n"/>
      <c r="AH105" s="1525" t="n"/>
      <c r="AI105" s="1525" t="n"/>
      <c r="AJ105" s="1525" t="n"/>
      <c r="AK105" s="1525" t="n"/>
      <c r="AL105" s="1525" t="n"/>
      <c r="AM105" s="1525" t="n"/>
    </row>
    <row r="106" ht="12" customFormat="1" customHeight="1" s="1577">
      <c r="A106" s="1606" t="inlineStr">
        <is>
          <t>Text_899</t>
        </is>
      </c>
      <c r="B106" s="2361" t="n">
        <v>0.0616047253634144</v>
      </c>
      <c r="C106" s="2361" t="n">
        <v>0.0497757064535797</v>
      </c>
      <c r="D106" s="2361" t="n">
        <v>0.0228567486973471</v>
      </c>
      <c r="E106" s="2361" t="n">
        <v>0.0205311836770978</v>
      </c>
      <c r="F106" s="2361" t="n">
        <v>0.0170988910126137</v>
      </c>
      <c r="G106" s="2361" t="n">
        <v>0.0187093044372832</v>
      </c>
      <c r="H106" s="2362" t="n">
        <v>0.0187791618422279</v>
      </c>
      <c r="I106" s="1613" t="n"/>
      <c r="J106" s="1750" t="n"/>
      <c r="K106" s="1750" t="n"/>
      <c r="L106" s="1750" t="n"/>
      <c r="M106" s="1750" t="n"/>
      <c r="N106" s="1525" t="n"/>
      <c r="O106" s="1525" t="n"/>
      <c r="P106" s="1525" t="n"/>
      <c r="Q106" s="1525" t="n"/>
      <c r="R106" s="1525" t="n"/>
      <c r="S106" s="1525" t="n"/>
      <c r="T106" s="1525" t="n"/>
      <c r="U106" s="1525" t="n"/>
      <c r="V106" s="1525" t="n"/>
      <c r="W106" s="1525" t="n"/>
      <c r="X106" s="1525" t="n"/>
      <c r="Y106" s="1525" t="n"/>
      <c r="Z106" s="1525" t="n"/>
      <c r="AA106" s="1525" t="n"/>
      <c r="AB106" s="1525" t="n"/>
      <c r="AC106" s="1525" t="n"/>
      <c r="AD106" s="1525" t="n"/>
      <c r="AE106" s="1525" t="n"/>
      <c r="AF106" s="1525" t="n"/>
      <c r="AG106" s="1525" t="n"/>
      <c r="AH106" s="1525" t="n"/>
      <c r="AI106" s="1525" t="n"/>
      <c r="AJ106" s="1525" t="n"/>
      <c r="AK106" s="1525" t="n"/>
      <c r="AL106" s="1525" t="n"/>
      <c r="AM106" s="1525" t="n"/>
    </row>
    <row r="107" ht="12" customFormat="1" customHeight="1" s="1577">
      <c r="A107" s="1606" t="inlineStr">
        <is>
          <t>Text_900</t>
        </is>
      </c>
      <c r="B107" s="2361" t="n">
        <v>0.326228792869592</v>
      </c>
      <c r="C107" s="2361" t="n">
        <v>0.375788572555933</v>
      </c>
      <c r="D107" s="2361" t="n">
        <v>0.482735095001409</v>
      </c>
      <c r="E107" s="2361" t="n">
        <v>0.505130112825934</v>
      </c>
      <c r="F107" s="2361" t="n">
        <v>0.449644943317835</v>
      </c>
      <c r="G107" s="2361" t="n">
        <v>0.462911425446979</v>
      </c>
      <c r="H107" s="2362" t="n">
        <v>0.446461920835391</v>
      </c>
      <c r="I107" s="1613" t="n"/>
      <c r="J107" s="1750" t="n"/>
      <c r="K107" s="1750" t="n"/>
      <c r="L107" s="1750" t="n"/>
      <c r="M107" s="1750" t="n"/>
      <c r="N107" s="1525" t="n"/>
      <c r="O107" s="1525" t="n"/>
      <c r="P107" s="1525" t="n"/>
      <c r="Q107" s="1525" t="n"/>
      <c r="R107" s="1525" t="n"/>
      <c r="S107" s="1525" t="n"/>
      <c r="T107" s="1525" t="n"/>
      <c r="U107" s="1525" t="n"/>
      <c r="V107" s="1525" t="n"/>
      <c r="W107" s="1525" t="n"/>
      <c r="X107" s="1525" t="n"/>
      <c r="Y107" s="1525" t="n"/>
      <c r="Z107" s="1525" t="n"/>
      <c r="AA107" s="1525" t="n"/>
      <c r="AB107" s="1525" t="n"/>
      <c r="AC107" s="1525" t="n"/>
      <c r="AD107" s="1525" t="n"/>
      <c r="AE107" s="1525" t="n"/>
      <c r="AF107" s="1525" t="n"/>
      <c r="AG107" s="1525" t="n"/>
      <c r="AH107" s="1525" t="n"/>
      <c r="AI107" s="1525" t="n"/>
      <c r="AJ107" s="1525" t="n"/>
      <c r="AK107" s="1525" t="n"/>
      <c r="AL107" s="1525" t="n"/>
      <c r="AM107" s="1525" t="n"/>
    </row>
    <row r="108" ht="12" customFormat="1" customHeight="1" s="1577">
      <c r="A108" s="1614" t="inlineStr">
        <is>
          <t>Text_834</t>
        </is>
      </c>
      <c r="B108" s="2397" t="n">
        <v>1.04205358851026</v>
      </c>
      <c r="C108" s="2397" t="n">
        <v>0.951200302727268</v>
      </c>
      <c r="D108" s="2397" t="n">
        <v>1.00528148757183</v>
      </c>
      <c r="E108" s="2397" t="n">
        <v>1.02406635810666</v>
      </c>
      <c r="F108" s="2397" t="n">
        <v>0.998501798752404</v>
      </c>
      <c r="G108" s="2397" t="n">
        <v>0.958540303016272</v>
      </c>
      <c r="H108" s="2379" t="n">
        <v>1.04724613900279</v>
      </c>
      <c r="I108" s="1616" t="n"/>
      <c r="J108" s="2398" t="n"/>
      <c r="K108" s="2398" t="n"/>
      <c r="L108" s="2398" t="n"/>
      <c r="M108" s="2398" t="n"/>
      <c r="N108" s="1525" t="n"/>
      <c r="O108" s="1525" t="n"/>
      <c r="P108" s="1525" t="n"/>
      <c r="Q108" s="1525" t="n"/>
      <c r="R108" s="1525" t="n"/>
      <c r="S108" s="1525" t="n"/>
      <c r="T108" s="1525" t="n"/>
      <c r="U108" s="1525" t="n"/>
      <c r="V108" s="1525" t="n"/>
      <c r="W108" s="1525" t="n"/>
      <c r="X108" s="1525" t="n"/>
      <c r="Y108" s="1525" t="n"/>
      <c r="Z108" s="1525" t="n"/>
      <c r="AA108" s="1525" t="n"/>
      <c r="AB108" s="1525" t="n"/>
      <c r="AC108" s="1525" t="n"/>
      <c r="AD108" s="1525" t="n"/>
      <c r="AE108" s="1525" t="n"/>
      <c r="AF108" s="1525" t="n"/>
      <c r="AG108" s="1525" t="n"/>
      <c r="AH108" s="1525" t="n"/>
      <c r="AI108" s="1525" t="n"/>
      <c r="AJ108" s="1525" t="n"/>
      <c r="AK108" s="1525" t="n"/>
      <c r="AL108" s="1525" t="n"/>
      <c r="AM108" s="1525" t="n"/>
    </row>
    <row r="109" ht="12" customFormat="1" customHeight="1" s="1577">
      <c r="A109" s="1506" t="inlineStr">
        <is>
          <t>Text_901</t>
        </is>
      </c>
      <c r="B109" s="2380" t="n"/>
      <c r="C109" s="2380" t="n"/>
      <c r="D109" s="2380" t="n"/>
      <c r="E109" s="2380" t="n"/>
      <c r="F109" s="2380" t="n"/>
      <c r="G109" s="2380" t="n"/>
      <c r="H109" s="2380" t="n"/>
      <c r="I109" s="2380" t="n"/>
      <c r="J109" s="2380" t="n"/>
      <c r="K109" s="2380" t="n"/>
      <c r="L109" s="2380" t="n"/>
      <c r="M109" s="2380" t="n"/>
      <c r="N109" s="2380" t="n"/>
      <c r="O109" s="2380" t="n"/>
      <c r="P109" s="1525" t="n"/>
      <c r="Q109" s="1525" t="n"/>
      <c r="R109" s="1525" t="n"/>
      <c r="S109" s="1525" t="n"/>
      <c r="T109" s="1525" t="n"/>
      <c r="U109" s="1525" t="n"/>
      <c r="V109" s="1525" t="n"/>
      <c r="W109" s="1525" t="n"/>
      <c r="X109" s="1525" t="n"/>
      <c r="Y109" s="1525" t="n"/>
      <c r="Z109" s="1525" t="n"/>
      <c r="AA109" s="1525" t="n"/>
      <c r="AB109" s="1525" t="n"/>
      <c r="AC109" s="1525" t="n"/>
      <c r="AD109" s="1525" t="n"/>
      <c r="AE109" s="1525" t="n"/>
      <c r="AF109" s="1525" t="n"/>
      <c r="AG109" s="1525" t="n"/>
      <c r="AH109" s="1525" t="n"/>
      <c r="AI109" s="1525" t="n"/>
      <c r="AJ109" s="1525" t="n"/>
      <c r="AK109" s="1525" t="n"/>
      <c r="AL109" s="1525" t="n"/>
      <c r="AM109" s="1525" t="n"/>
      <c r="AN109" s="1525" t="n"/>
      <c r="AO109" s="1525" t="n"/>
    </row>
    <row r="110" ht="12" customFormat="1" customHeight="1" s="1577">
      <c r="A110" s="1508" t="inlineStr">
        <is>
          <t>Text_902</t>
        </is>
      </c>
      <c r="P110" s="1525" t="n"/>
      <c r="Q110" s="1525" t="n"/>
      <c r="R110" s="1525" t="n"/>
      <c r="S110" s="1525" t="n"/>
      <c r="T110" s="1525" t="n"/>
      <c r="U110" s="1525" t="n"/>
      <c r="V110" s="1525" t="n"/>
      <c r="W110" s="1525" t="n"/>
      <c r="X110" s="1525" t="n"/>
      <c r="Y110" s="1525" t="n"/>
      <c r="Z110" s="1525" t="n"/>
      <c r="AA110" s="1525" t="n"/>
      <c r="AB110" s="1525" t="n"/>
      <c r="AC110" s="1525" t="n"/>
      <c r="AD110" s="1525" t="n"/>
      <c r="AE110" s="1525" t="n"/>
      <c r="AF110" s="1525" t="n"/>
      <c r="AG110" s="1525" t="n"/>
      <c r="AH110" s="1525" t="n"/>
      <c r="AI110" s="1525" t="n"/>
      <c r="AJ110" s="1525" t="n"/>
      <c r="AK110" s="1525" t="n"/>
      <c r="AL110" s="1525" t="n"/>
      <c r="AM110" s="1525" t="n"/>
      <c r="AN110" s="1525" t="n"/>
      <c r="AO110" s="1525" t="n"/>
    </row>
    <row r="111" ht="12" customFormat="1" customHeight="1" s="1577">
      <c r="A111" s="1510">
        <f t="array" ref="A111">A94</f>
        <v/>
      </c>
      <c r="H111" s="1594" t="n"/>
    </row>
    <row r="112" ht="12" customFormat="1" customHeight="1" s="1577">
      <c r="A112" s="1595" t="n"/>
      <c r="P112" s="1525" t="n"/>
      <c r="Q112" s="1525" t="n"/>
      <c r="R112" s="1525" t="n"/>
      <c r="S112" s="1525" t="n"/>
      <c r="T112" s="1525" t="n"/>
      <c r="U112" s="1525" t="n"/>
      <c r="V112" s="1525" t="n"/>
      <c r="W112" s="1525" t="n"/>
      <c r="X112" s="1525" t="n"/>
      <c r="Y112" s="1525" t="n"/>
      <c r="Z112" s="1525" t="n"/>
      <c r="AA112" s="1525" t="n"/>
      <c r="AB112" s="1525" t="n"/>
      <c r="AC112" s="1525" t="n"/>
      <c r="AD112" s="1525" t="n"/>
      <c r="AE112" s="1525" t="n"/>
      <c r="AF112" s="1525" t="n"/>
      <c r="AG112" s="1525" t="n"/>
      <c r="AH112" s="1525" t="n"/>
      <c r="AI112" s="1525" t="n"/>
      <c r="AJ112" s="1525" t="n"/>
      <c r="AK112" s="1525" t="n"/>
      <c r="AL112" s="1525" t="n"/>
      <c r="AM112" s="1525" t="n"/>
      <c r="AN112" s="1525" t="n"/>
      <c r="AO112" s="1525" t="n"/>
    </row>
    <row r="113" ht="12" customFormat="1" customHeight="1" s="1577">
      <c r="A113" s="1466" t="inlineStr">
        <is>
          <t>Text_903</t>
        </is>
      </c>
      <c r="B113" s="1467" t="inlineStr">
        <is>
          <t>Text_784</t>
        </is>
      </c>
      <c r="C113" s="1459" t="inlineStr">
        <is>
          <t>Text_785</t>
        </is>
      </c>
      <c r="D113" s="1538" t="n"/>
      <c r="E113" s="1538" t="n"/>
      <c r="P113" s="1525" t="n"/>
      <c r="Q113" s="1525" t="n"/>
      <c r="R113" s="1525" t="n"/>
      <c r="S113" s="1525" t="n"/>
      <c r="T113" s="1525" t="n"/>
      <c r="U113" s="1525" t="n"/>
      <c r="V113" s="1525" t="n"/>
      <c r="W113" s="1525" t="n"/>
      <c r="X113" s="1525" t="n"/>
      <c r="Y113" s="1525" t="n"/>
      <c r="Z113" s="1525" t="n"/>
      <c r="AA113" s="1525" t="n"/>
      <c r="AB113" s="1525" t="n"/>
      <c r="AC113" s="1525" t="n"/>
      <c r="AD113" s="1525" t="n"/>
      <c r="AE113" s="1525" t="n"/>
      <c r="AF113" s="1525" t="n"/>
      <c r="AG113" s="1525" t="n"/>
      <c r="AH113" s="1525" t="n"/>
      <c r="AI113" s="1525" t="n"/>
      <c r="AJ113" s="1525" t="n"/>
      <c r="AK113" s="1525" t="n"/>
      <c r="AL113" s="1525" t="n"/>
      <c r="AM113" s="1525" t="n"/>
      <c r="AN113" s="1525" t="n"/>
      <c r="AO113" s="1525" t="n"/>
    </row>
    <row r="114" ht="12" customFormat="1" customHeight="1" s="1577">
      <c r="A114" s="1469" t="inlineStr">
        <is>
          <t>Text_858</t>
        </is>
      </c>
      <c r="P114" s="1525" t="n"/>
      <c r="Q114" s="1525" t="n"/>
      <c r="R114" s="1525" t="n"/>
      <c r="S114" s="1525" t="n"/>
      <c r="T114" s="1525" t="n"/>
      <c r="U114" s="1525" t="n"/>
      <c r="V114" s="1525" t="n"/>
      <c r="W114" s="1525" t="n"/>
      <c r="X114" s="1525" t="n"/>
      <c r="Y114" s="1525" t="n"/>
      <c r="Z114" s="1525" t="n"/>
      <c r="AA114" s="1525" t="n"/>
      <c r="AB114" s="1525" t="n"/>
      <c r="AC114" s="1525" t="n"/>
      <c r="AD114" s="1525" t="n"/>
      <c r="AE114" s="1525" t="n"/>
      <c r="AF114" s="1525" t="n"/>
      <c r="AG114" s="1525" t="n"/>
      <c r="AH114" s="1525" t="n"/>
      <c r="AI114" s="1525" t="n"/>
      <c r="AJ114" s="1525" t="n"/>
      <c r="AK114" s="1525" t="n"/>
      <c r="AL114" s="1525" t="n"/>
      <c r="AM114" s="1525" t="n"/>
      <c r="AN114" s="1525" t="n"/>
      <c r="AO114" s="1525" t="n"/>
    </row>
    <row r="115" ht="12" customFormat="1" customHeight="1" s="1577">
      <c r="A115" s="1601" t="n"/>
      <c r="B115" s="1610" t="n">
        <v>2031.91972454333</v>
      </c>
      <c r="C115" s="1610" t="n">
        <v>2091.26537580391</v>
      </c>
      <c r="D115" s="1610" t="n">
        <v>1863.14847712519</v>
      </c>
      <c r="E115" s="1610" t="n">
        <v>2013.98003727685</v>
      </c>
      <c r="F115" s="1610" t="n">
        <v>1981.95831636468</v>
      </c>
      <c r="G115" s="1610" t="n">
        <v>1767.62169276881</v>
      </c>
      <c r="H115" s="1611" t="n">
        <v>1787.50611099222</v>
      </c>
      <c r="O115" s="1525" t="n"/>
      <c r="P115" s="1525" t="n"/>
      <c r="Q115" s="1525" t="n"/>
      <c r="R115" s="1525" t="n"/>
      <c r="S115" s="1525" t="n"/>
      <c r="T115" s="1525" t="n"/>
      <c r="U115" s="1525" t="n"/>
      <c r="V115" s="1525" t="n"/>
      <c r="W115" s="1525" t="n"/>
      <c r="X115" s="1525" t="n"/>
      <c r="Y115" s="1525" t="n"/>
      <c r="Z115" s="1525" t="n"/>
      <c r="AA115" s="1525" t="n"/>
      <c r="AB115" s="1525" t="n"/>
      <c r="AC115" s="1525" t="n"/>
      <c r="AD115" s="1525" t="n"/>
      <c r="AE115" s="1525" t="n"/>
      <c r="AF115" s="1525" t="n"/>
      <c r="AG115" s="1525" t="n"/>
      <c r="AH115" s="1525" t="n"/>
      <c r="AI115" s="1525" t="n"/>
      <c r="AJ115" s="1525" t="n"/>
      <c r="AK115" s="1525" t="n"/>
      <c r="AL115" s="1525" t="n"/>
      <c r="AM115" s="1525" t="n"/>
      <c r="AN115" s="1525" t="n"/>
    </row>
    <row r="116" ht="12" customFormat="1" customHeight="1" s="1577">
      <c r="A116" s="1604" t="inlineStr">
        <is>
          <t>Text_904</t>
        </is>
      </c>
      <c r="B116" s="1741" t="n">
        <v>0.916933812490185</v>
      </c>
      <c r="C116" s="1741" t="n">
        <v>0.861000083775063</v>
      </c>
      <c r="D116" s="1741" t="n">
        <v>0.862851286163378</v>
      </c>
      <c r="E116" s="1741" t="n">
        <v>0.897440557177138</v>
      </c>
      <c r="F116" s="1741" t="n">
        <v>0.924187241822626</v>
      </c>
      <c r="G116" s="1741" t="n">
        <v>0.864399965279541</v>
      </c>
      <c r="H116" s="1844" t="n">
        <v>0.908928074351371</v>
      </c>
      <c r="N116" s="1525" t="n"/>
      <c r="O116" s="1525" t="n"/>
      <c r="P116" s="1525" t="n"/>
      <c r="Q116" s="1525" t="n"/>
      <c r="R116" s="1525" t="n"/>
      <c r="S116" s="1525" t="n"/>
      <c r="T116" s="1525" t="n"/>
      <c r="U116" s="1525" t="n"/>
      <c r="V116" s="1525" t="n"/>
      <c r="W116" s="1525" t="n"/>
      <c r="X116" s="1525" t="n"/>
      <c r="Y116" s="1525" t="n"/>
      <c r="Z116" s="1525" t="n"/>
      <c r="AA116" s="1525" t="n"/>
      <c r="AB116" s="1525" t="n"/>
      <c r="AC116" s="1525" t="n"/>
      <c r="AD116" s="1525" t="n"/>
      <c r="AE116" s="1525" t="n"/>
      <c r="AF116" s="1525" t="n"/>
      <c r="AG116" s="1525" t="n"/>
      <c r="AH116" s="1525" t="n"/>
      <c r="AI116" s="1525" t="n"/>
      <c r="AJ116" s="1525" t="n"/>
      <c r="AK116" s="1525" t="n"/>
      <c r="AL116" s="1525" t="n"/>
      <c r="AM116" s="1525" t="n"/>
    </row>
    <row r="117" ht="12" customFormat="1" customHeight="1" s="1577">
      <c r="A117" s="1606" t="inlineStr">
        <is>
          <t>Text_905</t>
        </is>
      </c>
      <c r="B117" s="1750" t="n">
        <v>0.108697078004099</v>
      </c>
      <c r="C117" s="1750" t="n">
        <v>0.110622948189577</v>
      </c>
      <c r="D117" s="1750" t="n">
        <v>0.105080183473784</v>
      </c>
      <c r="E117" s="1750" t="n">
        <v>0.106441890314547</v>
      </c>
      <c r="F117" s="1750" t="n">
        <v>0.09617972483628059</v>
      </c>
      <c r="G117" s="1750" t="n">
        <v>0.09163345309835801</v>
      </c>
      <c r="H117" s="1784" t="n">
        <v>0.09739141889400051</v>
      </c>
      <c r="N117" s="1525" t="n"/>
      <c r="O117" s="1525" t="n"/>
      <c r="P117" s="1525" t="n"/>
      <c r="Q117" s="1525" t="n"/>
      <c r="R117" s="1525" t="n"/>
      <c r="S117" s="1525" t="n"/>
      <c r="T117" s="1525" t="n"/>
      <c r="U117" s="1525" t="n"/>
      <c r="V117" s="1525" t="n"/>
      <c r="W117" s="1525" t="n"/>
      <c r="X117" s="1525" t="n"/>
      <c r="Y117" s="1525" t="n"/>
      <c r="Z117" s="1525" t="n"/>
      <c r="AA117" s="1525" t="n"/>
      <c r="AB117" s="1525" t="n"/>
      <c r="AC117" s="1525" t="n"/>
      <c r="AD117" s="1525" t="n"/>
      <c r="AE117" s="1525" t="n"/>
      <c r="AF117" s="1525" t="n"/>
      <c r="AG117" s="1525" t="n"/>
      <c r="AH117" s="1525" t="n"/>
      <c r="AI117" s="1525" t="n"/>
      <c r="AJ117" s="1525" t="n"/>
      <c r="AK117" s="1525" t="n"/>
      <c r="AL117" s="1525" t="n"/>
      <c r="AM117" s="1525" t="n"/>
    </row>
    <row r="118" ht="12" customFormat="1" customHeight="1" s="1577">
      <c r="A118" s="1614" t="inlineStr">
        <is>
          <t>Text_834</t>
        </is>
      </c>
      <c r="B118" s="2399" t="n">
        <v>1.0343993471942</v>
      </c>
      <c r="C118" s="2399" t="n">
        <v>0.97624083764893</v>
      </c>
      <c r="D118" s="2399" t="n">
        <v>0.992171261752592</v>
      </c>
      <c r="E118" s="2399" t="n">
        <v>0.953992253256375</v>
      </c>
      <c r="F118" s="2399" t="n">
        <v>0.994907851413488</v>
      </c>
      <c r="G118" s="2399" t="n">
        <v>1.00776130806371</v>
      </c>
      <c r="H118" s="2400" t="n">
        <v>1.00709070537521</v>
      </c>
      <c r="N118" s="1525" t="n"/>
      <c r="O118" s="1525" t="n"/>
      <c r="P118" s="1525" t="n"/>
      <c r="Q118" s="1525" t="n"/>
      <c r="R118" s="1525" t="n"/>
      <c r="S118" s="1525" t="n"/>
      <c r="T118" s="1525" t="n"/>
      <c r="U118" s="1525" t="n"/>
      <c r="V118" s="1525" t="n"/>
      <c r="W118" s="1525" t="n"/>
      <c r="X118" s="1525" t="n"/>
      <c r="Y118" s="1525" t="n"/>
      <c r="Z118" s="1525" t="n"/>
      <c r="AA118" s="1525" t="n"/>
      <c r="AB118" s="1525" t="n"/>
      <c r="AC118" s="1525" t="n"/>
      <c r="AD118" s="1525" t="n"/>
      <c r="AE118" s="1525" t="n"/>
      <c r="AF118" s="1525" t="n"/>
      <c r="AG118" s="1525" t="n"/>
      <c r="AH118" s="1525" t="n"/>
      <c r="AI118" s="1525" t="n"/>
      <c r="AJ118" s="1525" t="n"/>
      <c r="AK118" s="1525" t="n"/>
      <c r="AL118" s="1525" t="n"/>
      <c r="AM118" s="1525" t="n"/>
    </row>
    <row r="119" ht="12" customFormat="1" customHeight="1" s="1577">
      <c r="A119" s="1620">
        <f t="array" ref="A119">A111</f>
        <v/>
      </c>
      <c r="H119" s="1621" t="n"/>
    </row>
    <row r="120" ht="12" customFormat="1" customHeight="1" s="1577">
      <c r="A120" s="1578" t="n"/>
      <c r="B120" s="1209" t="n"/>
      <c r="C120" s="1209" t="n"/>
      <c r="D120" s="1209" t="n"/>
      <c r="E120" s="1525" t="n"/>
      <c r="F120" s="2361" t="n"/>
      <c r="G120" s="2390" t="n"/>
      <c r="H120" s="2361" t="n"/>
      <c r="I120" s="2361" t="n"/>
      <c r="J120" s="2361" t="n"/>
      <c r="K120" s="2361" t="n"/>
      <c r="L120" s="2361" t="n"/>
      <c r="M120" s="2361" t="n"/>
      <c r="N120" s="1582" t="n"/>
      <c r="O120" s="1525" t="n"/>
      <c r="P120" s="1525" t="n"/>
      <c r="Q120" s="1525" t="n"/>
      <c r="R120" s="1525" t="n"/>
      <c r="S120" s="1525" t="n"/>
      <c r="T120" s="1525" t="n"/>
      <c r="U120" s="1525" t="n"/>
      <c r="V120" s="1525" t="n"/>
      <c r="W120" s="1525" t="n"/>
      <c r="X120" s="1525" t="n"/>
      <c r="Y120" s="1525" t="n"/>
      <c r="Z120" s="1525" t="n"/>
      <c r="AA120" s="1525" t="n"/>
      <c r="AB120" s="1525" t="n"/>
      <c r="AC120" s="1525" t="n"/>
      <c r="AD120" s="1525" t="n"/>
      <c r="AE120" s="1525" t="n"/>
      <c r="AF120" s="1525" t="n"/>
      <c r="AG120" s="1525" t="n"/>
      <c r="AH120" s="1525" t="n"/>
      <c r="AI120" s="1525" t="n"/>
      <c r="AJ120" s="1525" t="n"/>
      <c r="AK120" s="1525" t="n"/>
      <c r="AL120" s="1525" t="n"/>
      <c r="AM120" s="1525" t="n"/>
      <c r="AN120" s="1525" t="n"/>
      <c r="AO120" s="1525" t="n"/>
    </row>
    <row r="121" ht="12" customFormat="1" customHeight="1" s="1577">
      <c r="I121" s="2392" t="n"/>
      <c r="J121" s="2392" t="n"/>
      <c r="K121" s="2392" t="n"/>
      <c r="L121" s="2392" t="n"/>
      <c r="M121" s="1525" t="n"/>
      <c r="N121" s="1582" t="n"/>
      <c r="O121" s="1525" t="n"/>
      <c r="P121" s="1525" t="n"/>
      <c r="Q121" s="1525" t="n"/>
      <c r="R121" s="1525" t="n"/>
      <c r="S121" s="1525" t="n"/>
      <c r="T121" s="1525" t="n"/>
      <c r="U121" s="1525" t="n"/>
      <c r="V121" s="1525" t="n"/>
      <c r="W121" s="1525" t="n"/>
      <c r="X121" s="1525" t="n"/>
      <c r="Y121" s="1525" t="n"/>
      <c r="Z121" s="1525" t="n"/>
      <c r="AA121" s="1525" t="n"/>
      <c r="AB121" s="1525" t="n"/>
      <c r="AC121" s="1525" t="n"/>
      <c r="AD121" s="1525" t="n"/>
      <c r="AE121" s="1525" t="n"/>
      <c r="AF121" s="1525" t="n"/>
      <c r="AG121" s="1525" t="n"/>
      <c r="AH121" s="1525" t="n"/>
      <c r="AI121" s="1525" t="n"/>
      <c r="AJ121" s="1525" t="n"/>
      <c r="AK121" s="1525" t="n"/>
      <c r="AL121" s="1525" t="n"/>
      <c r="AM121" s="1525" t="n"/>
      <c r="AN121" s="1525" t="n"/>
      <c r="AO121" s="1525" t="n"/>
    </row>
    <row r="122" ht="12" customFormat="1" customHeight="1" s="1577">
      <c r="N122" s="1582" t="n"/>
      <c r="O122" s="1525" t="n"/>
      <c r="P122" s="1525" t="n"/>
      <c r="Q122" s="1525" t="n"/>
      <c r="R122" s="1525" t="n"/>
      <c r="S122" s="1525" t="n"/>
      <c r="T122" s="1525" t="n"/>
      <c r="U122" s="1525" t="n"/>
      <c r="V122" s="1525" t="n"/>
      <c r="W122" s="1525" t="n"/>
      <c r="X122" s="1525" t="n"/>
      <c r="Y122" s="1525" t="n"/>
      <c r="Z122" s="1525" t="n"/>
      <c r="AA122" s="1525" t="n"/>
      <c r="AB122" s="1525" t="n"/>
      <c r="AC122" s="1525" t="n"/>
      <c r="AD122" s="1525" t="n"/>
      <c r="AE122" s="1525" t="n"/>
      <c r="AF122" s="1525" t="n"/>
      <c r="AG122" s="1525" t="n"/>
      <c r="AH122" s="1525" t="n"/>
      <c r="AI122" s="1525" t="n"/>
      <c r="AJ122" s="1525" t="n"/>
      <c r="AK122" s="1525" t="n"/>
      <c r="AL122" s="1525" t="n"/>
      <c r="AM122" s="1525" t="n"/>
      <c r="AN122" s="1525" t="n"/>
      <c r="AO122" s="1525" t="n"/>
    </row>
    <row r="123" ht="12" customFormat="1" customHeight="1" s="1577">
      <c r="N123" s="1582" t="n"/>
      <c r="O123" s="1525" t="n"/>
      <c r="P123" s="1525" t="n"/>
      <c r="Q123" s="1525" t="n"/>
      <c r="R123" s="1525" t="n"/>
      <c r="S123" s="1525" t="n"/>
      <c r="T123" s="1525" t="n"/>
      <c r="U123" s="1525" t="n"/>
      <c r="V123" s="1525" t="n"/>
      <c r="W123" s="1525" t="n"/>
      <c r="X123" s="1525" t="n"/>
      <c r="Y123" s="1525" t="n"/>
      <c r="Z123" s="1525" t="n"/>
      <c r="AA123" s="1525" t="n"/>
      <c r="AB123" s="1525" t="n"/>
      <c r="AC123" s="1525" t="n"/>
      <c r="AD123" s="1525" t="n"/>
      <c r="AE123" s="1525" t="n"/>
      <c r="AF123" s="1525" t="n"/>
      <c r="AG123" s="1525" t="n"/>
      <c r="AH123" s="1525" t="n"/>
      <c r="AI123" s="1525" t="n"/>
      <c r="AJ123" s="1525" t="n"/>
      <c r="AK123" s="1525" t="n"/>
      <c r="AL123" s="1525" t="n"/>
      <c r="AM123" s="1525" t="n"/>
      <c r="AN123" s="1525" t="n"/>
      <c r="AO123" s="1525" t="n"/>
    </row>
    <row r="124" ht="12" customFormat="1" customHeight="1" s="1577">
      <c r="N124" s="1582" t="n"/>
      <c r="O124" s="1525" t="n"/>
      <c r="P124" s="1525" t="n"/>
      <c r="Q124" s="1525" t="n"/>
      <c r="R124" s="1525" t="n"/>
      <c r="S124" s="1525" t="n"/>
      <c r="T124" s="1525" t="n"/>
      <c r="U124" s="1525" t="n"/>
      <c r="V124" s="1525" t="n"/>
      <c r="W124" s="1525" t="n"/>
      <c r="X124" s="1525" t="n"/>
      <c r="Y124" s="1525" t="n"/>
      <c r="Z124" s="1525" t="n"/>
      <c r="AA124" s="1525" t="n"/>
      <c r="AB124" s="1525" t="n"/>
      <c r="AC124" s="1525" t="n"/>
      <c r="AD124" s="1525" t="n"/>
      <c r="AE124" s="1525" t="n"/>
      <c r="AF124" s="1525" t="n"/>
      <c r="AG124" s="1525" t="n"/>
      <c r="AH124" s="1525" t="n"/>
      <c r="AI124" s="1525" t="n"/>
      <c r="AJ124" s="1525" t="n"/>
      <c r="AK124" s="1525" t="n"/>
      <c r="AL124" s="1525" t="n"/>
      <c r="AM124" s="1525" t="n"/>
      <c r="AN124" s="1525" t="n"/>
      <c r="AO124" s="1525" t="n"/>
    </row>
    <row r="125" ht="12" customFormat="1" customHeight="1" s="1577">
      <c r="A125" s="1622" t="n"/>
      <c r="N125" s="1582" t="n"/>
      <c r="O125" s="1525" t="n"/>
      <c r="P125" s="1525" t="n"/>
      <c r="Q125" s="1525" t="n"/>
      <c r="R125" s="1525" t="n"/>
      <c r="S125" s="1525" t="n"/>
      <c r="T125" s="1525" t="n"/>
      <c r="U125" s="1525" t="n"/>
      <c r="V125" s="1525" t="n"/>
      <c r="W125" s="1525" t="n"/>
      <c r="X125" s="1525" t="n"/>
      <c r="Y125" s="1525" t="n"/>
      <c r="Z125" s="1525" t="n"/>
      <c r="AA125" s="1525" t="n"/>
      <c r="AB125" s="1525" t="n"/>
      <c r="AC125" s="1525" t="n"/>
      <c r="AD125" s="1525" t="n"/>
      <c r="AE125" s="1525" t="n"/>
      <c r="AF125" s="1525" t="n"/>
      <c r="AG125" s="1525" t="n"/>
      <c r="AH125" s="1525" t="n"/>
      <c r="AI125" s="1525" t="n"/>
      <c r="AJ125" s="1525" t="n"/>
      <c r="AK125" s="1525" t="n"/>
      <c r="AL125" s="1525" t="n"/>
      <c r="AM125" s="1525" t="n"/>
      <c r="AN125" s="1525" t="n"/>
      <c r="AO125" s="1525" t="n"/>
    </row>
    <row r="126" ht="12" customFormat="1" customHeight="1" s="1577">
      <c r="N126" s="1582" t="n"/>
      <c r="O126" s="1525" t="n"/>
      <c r="P126" s="1525" t="n"/>
      <c r="Q126" s="1525" t="n"/>
      <c r="R126" s="1525" t="n"/>
      <c r="S126" s="1525" t="n"/>
      <c r="T126" s="1525" t="n"/>
      <c r="U126" s="1525" t="n"/>
      <c r="V126" s="1525" t="n"/>
      <c r="W126" s="1525" t="n"/>
      <c r="X126" s="1525" t="n"/>
      <c r="Y126" s="1525" t="n"/>
      <c r="Z126" s="1525" t="n"/>
      <c r="AA126" s="1525" t="n"/>
      <c r="AB126" s="1525" t="n"/>
      <c r="AC126" s="1525" t="n"/>
      <c r="AD126" s="1525" t="n"/>
      <c r="AE126" s="1525" t="n"/>
      <c r="AF126" s="1525" t="n"/>
      <c r="AG126" s="1525" t="n"/>
      <c r="AH126" s="1525" t="n"/>
      <c r="AI126" s="1525" t="n"/>
      <c r="AJ126" s="1525" t="n"/>
      <c r="AK126" s="1525" t="n"/>
      <c r="AL126" s="1525" t="n"/>
      <c r="AM126" s="1525" t="n"/>
      <c r="AN126" s="1525" t="n"/>
      <c r="AO126" s="1525" t="n"/>
    </row>
    <row r="127" ht="12" customFormat="1" customHeight="1" s="1577">
      <c r="N127" s="1582" t="n"/>
      <c r="O127" s="1525" t="n"/>
      <c r="P127" s="1525" t="n"/>
      <c r="Q127" s="1525" t="n"/>
      <c r="R127" s="1525" t="n"/>
      <c r="S127" s="1525" t="n"/>
      <c r="T127" s="1525" t="n"/>
      <c r="U127" s="1525" t="n"/>
      <c r="V127" s="1525" t="n"/>
      <c r="W127" s="1525" t="n"/>
      <c r="X127" s="1525" t="n"/>
      <c r="Y127" s="1525" t="n"/>
      <c r="Z127" s="1525" t="n"/>
      <c r="AA127" s="1525" t="n"/>
      <c r="AB127" s="1525" t="n"/>
      <c r="AC127" s="1525" t="n"/>
      <c r="AD127" s="1525" t="n"/>
      <c r="AE127" s="1525" t="n"/>
      <c r="AF127" s="1525" t="n"/>
      <c r="AG127" s="1525" t="n"/>
      <c r="AH127" s="1525" t="n"/>
      <c r="AI127" s="1525" t="n"/>
      <c r="AJ127" s="1525" t="n"/>
      <c r="AK127" s="1525" t="n"/>
      <c r="AL127" s="1525" t="n"/>
      <c r="AM127" s="1525" t="n"/>
      <c r="AN127" s="1525" t="n"/>
      <c r="AO127" s="1525" t="n"/>
    </row>
    <row r="128" ht="12" customFormat="1" customHeight="1" s="1577">
      <c r="N128" s="1582" t="n"/>
      <c r="O128" s="1525" t="n"/>
      <c r="P128" s="1525" t="n"/>
      <c r="Q128" s="1525" t="n"/>
      <c r="R128" s="1525" t="n"/>
      <c r="S128" s="1525" t="n"/>
      <c r="T128" s="1525" t="n"/>
      <c r="U128" s="1525" t="n"/>
      <c r="V128" s="1525" t="n"/>
      <c r="W128" s="1525" t="n"/>
      <c r="X128" s="1525" t="n"/>
      <c r="Y128" s="1525" t="n"/>
      <c r="Z128" s="1525" t="n"/>
      <c r="AA128" s="1525" t="n"/>
      <c r="AB128" s="1525" t="n"/>
      <c r="AC128" s="1525" t="n"/>
      <c r="AD128" s="1525" t="n"/>
      <c r="AE128" s="1525" t="n"/>
      <c r="AF128" s="1525" t="n"/>
      <c r="AG128" s="1525" t="n"/>
      <c r="AH128" s="1525" t="n"/>
      <c r="AI128" s="1525" t="n"/>
      <c r="AJ128" s="1525" t="n"/>
      <c r="AK128" s="1525" t="n"/>
      <c r="AL128" s="1525" t="n"/>
      <c r="AM128" s="1525" t="n"/>
      <c r="AN128" s="1525" t="n"/>
      <c r="AO128" s="1525" t="n"/>
    </row>
    <row r="129" ht="12" customFormat="1" customHeight="1" s="1577">
      <c r="N129" s="1525" t="n"/>
      <c r="O129" s="1525" t="n"/>
      <c r="P129" s="1525" t="n"/>
      <c r="Q129" s="1525" t="n"/>
      <c r="R129" s="1525" t="n"/>
      <c r="S129" s="1525" t="n"/>
      <c r="T129" s="1525" t="n"/>
      <c r="U129" s="1525" t="n"/>
      <c r="V129" s="1525" t="n"/>
      <c r="W129" s="1525" t="n"/>
      <c r="X129" s="1525" t="n"/>
      <c r="Y129" s="1525" t="n"/>
      <c r="Z129" s="1525" t="n"/>
      <c r="AA129" s="1525" t="n"/>
      <c r="AB129" s="1525" t="n"/>
      <c r="AC129" s="1525" t="n"/>
      <c r="AD129" s="1525" t="n"/>
      <c r="AE129" s="1525" t="n"/>
      <c r="AF129" s="1525" t="n"/>
      <c r="AG129" s="1525" t="n"/>
      <c r="AH129" s="1525" t="n"/>
      <c r="AI129" s="1525" t="n"/>
      <c r="AJ129" s="1525" t="n"/>
      <c r="AK129" s="1525" t="n"/>
      <c r="AL129" s="1525" t="n"/>
      <c r="AM129" s="1525" t="n"/>
      <c r="AN129" s="1525" t="n"/>
      <c r="AO129" s="1525" t="n"/>
    </row>
    <row r="130" ht="12" customFormat="1" customHeight="1" s="1577">
      <c r="N130" s="1525" t="n"/>
      <c r="O130" s="1525" t="n"/>
      <c r="P130" s="1525" t="n"/>
      <c r="Q130" s="1525" t="n"/>
      <c r="R130" s="1525" t="n"/>
      <c r="S130" s="1525" t="n"/>
      <c r="T130" s="1525" t="n"/>
      <c r="U130" s="1525" t="n"/>
      <c r="V130" s="1525" t="n"/>
      <c r="W130" s="1525" t="n"/>
      <c r="X130" s="1525" t="n"/>
      <c r="Y130" s="1525" t="n"/>
      <c r="Z130" s="1525" t="n"/>
      <c r="AA130" s="1525" t="n"/>
      <c r="AB130" s="1525" t="n"/>
      <c r="AC130" s="1525" t="n"/>
      <c r="AD130" s="1525" t="n"/>
      <c r="AE130" s="1525" t="n"/>
      <c r="AF130" s="1525" t="n"/>
      <c r="AG130" s="1525" t="n"/>
      <c r="AH130" s="1525" t="n"/>
      <c r="AI130" s="1525" t="n"/>
      <c r="AJ130" s="1525" t="n"/>
      <c r="AK130" s="1525" t="n"/>
      <c r="AL130" s="1525" t="n"/>
      <c r="AM130" s="1525" t="n"/>
      <c r="AN130" s="1525" t="n"/>
      <c r="AO130" s="1525" t="n"/>
    </row>
    <row r="131" ht="12" customFormat="1" customHeight="1" s="1577">
      <c r="A131" s="1578" t="n"/>
      <c r="B131" s="1525" t="n"/>
      <c r="C131" s="1525" t="n"/>
      <c r="D131" s="1525" t="n"/>
      <c r="E131" s="1525" t="n"/>
      <c r="F131" s="1525" t="n"/>
      <c r="G131" s="1525" t="n"/>
      <c r="H131" s="1525" t="n"/>
      <c r="I131" s="1525" t="n"/>
      <c r="J131" s="1525" t="n"/>
      <c r="K131" s="1525" t="n"/>
      <c r="L131" s="1525" t="n"/>
      <c r="M131" s="1525" t="n"/>
      <c r="N131" s="1525" t="n"/>
      <c r="O131" s="1525" t="n"/>
      <c r="P131" s="1525" t="n"/>
      <c r="Q131" s="1525" t="n"/>
      <c r="R131" s="1525" t="n"/>
      <c r="S131" s="1525" t="n"/>
      <c r="T131" s="1525" t="n"/>
      <c r="U131" s="1525" t="n"/>
      <c r="V131" s="1525" t="n"/>
      <c r="W131" s="1525" t="n"/>
      <c r="X131" s="1525" t="n"/>
      <c r="Y131" s="1525" t="n"/>
      <c r="Z131" s="1525" t="n"/>
      <c r="AA131" s="1525" t="n"/>
      <c r="AB131" s="1525" t="n"/>
      <c r="AC131" s="1525" t="n"/>
      <c r="AD131" s="1525" t="n"/>
      <c r="AE131" s="1525" t="n"/>
      <c r="AF131" s="1525" t="n"/>
      <c r="AG131" s="1525" t="n"/>
      <c r="AH131" s="1525" t="n"/>
      <c r="AI131" s="1525" t="n"/>
      <c r="AJ131" s="1525" t="n"/>
      <c r="AK131" s="1525" t="n"/>
      <c r="AL131" s="1525" t="n"/>
      <c r="AM131" s="1525" t="n"/>
      <c r="AN131" s="1525" t="n"/>
      <c r="AO131" s="1525" t="n"/>
    </row>
    <row r="132" ht="12" customFormat="1" customHeight="1" s="1577">
      <c r="A132" s="1578" t="n"/>
      <c r="B132" s="1525" t="n"/>
      <c r="C132" s="1525" t="n"/>
      <c r="D132" s="1525" t="n"/>
      <c r="E132" s="1525" t="n"/>
      <c r="F132" s="1525" t="n"/>
      <c r="G132" s="1525" t="n"/>
      <c r="H132" s="1525" t="n"/>
      <c r="I132" s="1525" t="n"/>
      <c r="J132" s="1525" t="n"/>
      <c r="K132" s="1525" t="n"/>
      <c r="L132" s="1525" t="n"/>
      <c r="M132" s="1525" t="n"/>
      <c r="N132" s="1525" t="n"/>
      <c r="O132" s="1525" t="n"/>
      <c r="P132" s="1525" t="n"/>
      <c r="Q132" s="1525" t="n"/>
      <c r="R132" s="1525" t="n"/>
      <c r="S132" s="1525" t="n"/>
      <c r="T132" s="1525" t="n"/>
      <c r="U132" s="1525" t="n"/>
      <c r="V132" s="1525" t="n"/>
      <c r="W132" s="1525" t="n"/>
      <c r="X132" s="1525" t="n"/>
      <c r="Y132" s="1525" t="n"/>
      <c r="Z132" s="1525" t="n"/>
      <c r="AA132" s="1525" t="n"/>
      <c r="AB132" s="1525" t="n"/>
      <c r="AC132" s="1525" t="n"/>
      <c r="AD132" s="1525" t="n"/>
      <c r="AE132" s="1525" t="n"/>
      <c r="AF132" s="1525" t="n"/>
      <c r="AG132" s="1525" t="n"/>
      <c r="AH132" s="1525" t="n"/>
      <c r="AI132" s="1525" t="n"/>
      <c r="AJ132" s="1525" t="n"/>
      <c r="AK132" s="1525" t="n"/>
      <c r="AL132" s="1525" t="n"/>
      <c r="AM132" s="1525" t="n"/>
      <c r="AN132" s="1525" t="n"/>
      <c r="AO132" s="1525" t="n"/>
    </row>
    <row r="133" ht="12" customFormat="1" customHeight="1" s="1577">
      <c r="A133" s="1578" t="n"/>
      <c r="D133" s="1525" t="n"/>
      <c r="E133" s="1525" t="n"/>
      <c r="H133" s="1525" t="n"/>
      <c r="I133" s="1525" t="n"/>
      <c r="L133" s="1525" t="n"/>
      <c r="M133" s="1525" t="n"/>
      <c r="N133" s="1525" t="n"/>
      <c r="O133" s="1525" t="n"/>
      <c r="P133" s="1525" t="n"/>
      <c r="Q133" s="1525" t="n"/>
      <c r="R133" s="1525" t="n"/>
      <c r="S133" s="1525" t="n"/>
      <c r="T133" s="1525" t="n"/>
      <c r="U133" s="1525" t="n"/>
      <c r="V133" s="1525" t="n"/>
      <c r="W133" s="1525" t="n"/>
      <c r="X133" s="1525" t="n"/>
      <c r="Y133" s="1525" t="n"/>
      <c r="Z133" s="1525" t="n"/>
      <c r="AA133" s="1525" t="n"/>
      <c r="AB133" s="1525" t="n"/>
      <c r="AC133" s="1525" t="n"/>
      <c r="AD133" s="1525" t="n"/>
      <c r="AE133" s="1525" t="n"/>
      <c r="AF133" s="1525" t="n"/>
      <c r="AG133" s="1525" t="n"/>
      <c r="AH133" s="1525" t="n"/>
      <c r="AI133" s="1525" t="n"/>
      <c r="AJ133" s="1525" t="n"/>
      <c r="AK133" s="1525" t="n"/>
      <c r="AL133" s="1525" t="n"/>
      <c r="AM133" s="1525" t="n"/>
      <c r="AN133" s="1525" t="n"/>
      <c r="AO133" s="1525" t="n"/>
    </row>
    <row r="134" ht="12" customFormat="1" customHeight="1" s="1577">
      <c r="A134" s="1578" t="n"/>
      <c r="B134" s="1525" t="n"/>
      <c r="C134" s="1525" t="n"/>
      <c r="D134" s="1525" t="n"/>
      <c r="E134" s="1525" t="n"/>
      <c r="F134" s="1525" t="n"/>
      <c r="G134" s="1525" t="n"/>
      <c r="H134" s="1525" t="n"/>
      <c r="I134" s="1525" t="n"/>
      <c r="J134" s="1525" t="n"/>
      <c r="K134" s="1525" t="n"/>
      <c r="L134" s="1525" t="n"/>
      <c r="M134" s="1525" t="n"/>
      <c r="N134" s="1525" t="n"/>
      <c r="O134" s="1525" t="n"/>
      <c r="P134" s="1525" t="n"/>
      <c r="Q134" s="1525" t="n"/>
      <c r="R134" s="1525" t="n"/>
      <c r="S134" s="1525" t="n"/>
      <c r="T134" s="1525" t="n"/>
      <c r="U134" s="1525" t="n"/>
      <c r="V134" s="1525" t="n"/>
      <c r="W134" s="1525" t="n"/>
      <c r="X134" s="1525" t="n"/>
      <c r="Y134" s="1525" t="n"/>
      <c r="Z134" s="1525" t="n"/>
      <c r="AA134" s="1525" t="n"/>
      <c r="AB134" s="1525" t="n"/>
      <c r="AC134" s="1525" t="n"/>
      <c r="AD134" s="1525" t="n"/>
      <c r="AE134" s="1525" t="n"/>
      <c r="AF134" s="1525" t="n"/>
      <c r="AG134" s="1525" t="n"/>
      <c r="AH134" s="1525" t="n"/>
      <c r="AI134" s="1525" t="n"/>
      <c r="AJ134" s="1525" t="n"/>
      <c r="AK134" s="1525" t="n"/>
      <c r="AL134" s="1525" t="n"/>
      <c r="AM134" s="1525" t="n"/>
      <c r="AN134" s="1525" t="n"/>
      <c r="AO134" s="1525" t="n"/>
    </row>
    <row r="135" ht="12" customFormat="1" customHeight="1" s="1577">
      <c r="A135" s="1578" t="n"/>
      <c r="B135" s="1525" t="n"/>
      <c r="C135" s="1525" t="n"/>
      <c r="D135" s="1525" t="n"/>
      <c r="E135" s="1525" t="n"/>
      <c r="F135" s="1525" t="n"/>
      <c r="G135" s="1525" t="n"/>
      <c r="H135" s="1525" t="n"/>
      <c r="I135" s="1525" t="n"/>
      <c r="J135" s="1525" t="n"/>
      <c r="K135" s="1525" t="n"/>
      <c r="L135" s="1525" t="n"/>
      <c r="M135" s="1525" t="n"/>
      <c r="N135" s="1525" t="n"/>
      <c r="O135" s="1525" t="n"/>
      <c r="P135" s="1525" t="n"/>
      <c r="Q135" s="1525" t="n"/>
      <c r="R135" s="1525" t="n"/>
      <c r="S135" s="1525" t="n"/>
      <c r="T135" s="1525" t="n"/>
      <c r="U135" s="1525" t="n"/>
      <c r="V135" s="1525" t="n"/>
      <c r="W135" s="1525" t="n"/>
      <c r="X135" s="1525" t="n"/>
      <c r="Y135" s="1525" t="n"/>
      <c r="Z135" s="1525" t="n"/>
      <c r="AA135" s="1525" t="n"/>
      <c r="AB135" s="1525" t="n"/>
      <c r="AC135" s="1525" t="n"/>
      <c r="AD135" s="1525" t="n"/>
      <c r="AE135" s="1525" t="n"/>
      <c r="AF135" s="1525" t="n"/>
      <c r="AG135" s="1525" t="n"/>
      <c r="AH135" s="1525" t="n"/>
      <c r="AI135" s="1525" t="n"/>
      <c r="AJ135" s="1525" t="n"/>
      <c r="AK135" s="1525" t="n"/>
      <c r="AL135" s="1525" t="n"/>
      <c r="AM135" s="1525" t="n"/>
      <c r="AN135" s="1525" t="n"/>
      <c r="AO135" s="1525" t="n"/>
    </row>
    <row r="136" ht="12" customFormat="1" customHeight="1" s="1577">
      <c r="A136" s="1578" t="n"/>
      <c r="B136" s="1525" t="n"/>
      <c r="C136" s="1525" t="n"/>
      <c r="D136" s="1525" t="n"/>
      <c r="E136" s="1525" t="n"/>
      <c r="F136" s="1525" t="n"/>
      <c r="G136" s="1525" t="n"/>
      <c r="H136" s="1525" t="n"/>
      <c r="I136" s="1525" t="n"/>
      <c r="J136" s="1525" t="n"/>
      <c r="K136" s="1525" t="n"/>
      <c r="L136" s="1525" t="n"/>
      <c r="M136" s="1525" t="n"/>
      <c r="N136" s="1525" t="n"/>
      <c r="O136" s="1525" t="n"/>
      <c r="P136" s="1525" t="n"/>
      <c r="Q136" s="1525" t="n"/>
      <c r="R136" s="1525" t="n"/>
      <c r="S136" s="1525" t="n"/>
      <c r="T136" s="1525" t="n"/>
      <c r="U136" s="1525" t="n"/>
      <c r="V136" s="1525" t="n"/>
      <c r="W136" s="1525" t="n"/>
      <c r="X136" s="1525" t="n"/>
      <c r="Y136" s="1525" t="n"/>
      <c r="Z136" s="1525" t="n"/>
      <c r="AA136" s="1525" t="n"/>
      <c r="AB136" s="1525" t="n"/>
      <c r="AC136" s="1525" t="n"/>
      <c r="AD136" s="1525" t="n"/>
      <c r="AE136" s="1525" t="n"/>
      <c r="AF136" s="1525" t="n"/>
      <c r="AG136" s="1525" t="n"/>
      <c r="AH136" s="1525" t="n"/>
      <c r="AI136" s="1525" t="n"/>
      <c r="AJ136" s="1525" t="n"/>
      <c r="AK136" s="1525" t="n"/>
      <c r="AL136" s="1525" t="n"/>
      <c r="AM136" s="1525" t="n"/>
      <c r="AN136" s="1525" t="n"/>
      <c r="AO136" s="1525" t="n"/>
    </row>
    <row r="137" ht="12" customFormat="1" customHeight="1" s="1577">
      <c r="A137" s="1578" t="n"/>
      <c r="D137" s="1525" t="n"/>
      <c r="E137" s="1525" t="n"/>
      <c r="H137" s="1525" t="n"/>
      <c r="I137" s="1525" t="n"/>
      <c r="L137" s="1525" t="n"/>
      <c r="M137" s="1525" t="n"/>
      <c r="N137" s="1525" t="n"/>
      <c r="O137" s="1525" t="n"/>
      <c r="P137" s="1525" t="n"/>
      <c r="Q137" s="1525" t="n"/>
      <c r="R137" s="1525" t="n"/>
      <c r="S137" s="1525" t="n"/>
      <c r="T137" s="1525" t="n"/>
      <c r="U137" s="1525" t="n"/>
      <c r="V137" s="1525" t="n"/>
      <c r="W137" s="1525" t="n"/>
      <c r="X137" s="1525" t="n"/>
      <c r="Y137" s="1525" t="n"/>
      <c r="Z137" s="1525" t="n"/>
      <c r="AA137" s="1525" t="n"/>
      <c r="AB137" s="1525" t="n"/>
      <c r="AC137" s="1525" t="n"/>
      <c r="AD137" s="1525" t="n"/>
      <c r="AE137" s="1525" t="n"/>
      <c r="AF137" s="1525" t="n"/>
      <c r="AG137" s="1525" t="n"/>
      <c r="AH137" s="1525" t="n"/>
      <c r="AI137" s="1525" t="n"/>
      <c r="AJ137" s="1525" t="n"/>
      <c r="AK137" s="1525" t="n"/>
      <c r="AL137" s="1525" t="n"/>
      <c r="AM137" s="1525" t="n"/>
      <c r="AN137" s="1525" t="n"/>
      <c r="AO137" s="1525" t="n"/>
    </row>
    <row r="138" ht="12" customFormat="1" customHeight="1" s="1577">
      <c r="A138" s="1578" t="n"/>
      <c r="B138" s="1525" t="n"/>
      <c r="C138" s="1525" t="n"/>
      <c r="D138" s="1525" t="n"/>
      <c r="E138" s="1525" t="n"/>
      <c r="F138" s="1525" t="n"/>
      <c r="G138" s="1525" t="n"/>
      <c r="H138" s="1525" t="n"/>
      <c r="I138" s="1525" t="n"/>
      <c r="J138" s="1525" t="n"/>
      <c r="K138" s="1525" t="n"/>
      <c r="L138" s="1525" t="n"/>
      <c r="M138" s="1525" t="n"/>
      <c r="N138" s="1525" t="n"/>
      <c r="O138" s="1525" t="n"/>
      <c r="P138" s="1525" t="n"/>
      <c r="Q138" s="1525" t="n"/>
      <c r="R138" s="1525" t="n"/>
      <c r="S138" s="1525" t="n"/>
      <c r="T138" s="1525" t="n"/>
      <c r="U138" s="1525" t="n"/>
      <c r="V138" s="1525" t="n"/>
      <c r="W138" s="1525" t="n"/>
      <c r="X138" s="1525" t="n"/>
      <c r="Y138" s="1525" t="n"/>
      <c r="Z138" s="1525" t="n"/>
      <c r="AA138" s="1525" t="n"/>
      <c r="AB138" s="1525" t="n"/>
      <c r="AC138" s="1525" t="n"/>
      <c r="AD138" s="1525" t="n"/>
      <c r="AE138" s="1525" t="n"/>
      <c r="AF138" s="1525" t="n"/>
      <c r="AG138" s="1525" t="n"/>
      <c r="AH138" s="1525" t="n"/>
      <c r="AI138" s="1525" t="n"/>
      <c r="AJ138" s="1525" t="n"/>
      <c r="AK138" s="1525" t="n"/>
      <c r="AL138" s="1525" t="n"/>
      <c r="AM138" s="1525" t="n"/>
      <c r="AN138" s="1525" t="n"/>
      <c r="AO138" s="1525" t="n"/>
    </row>
    <row r="139" ht="12" customFormat="1" customHeight="1" s="1577">
      <c r="A139" s="1578" t="n"/>
      <c r="B139" s="1525" t="n"/>
      <c r="C139" s="1525" t="n"/>
      <c r="D139" s="1525" t="n"/>
      <c r="E139" s="1525" t="n"/>
      <c r="F139" s="1525" t="n"/>
      <c r="G139" s="1525" t="n"/>
      <c r="H139" s="1525" t="n"/>
      <c r="I139" s="1525" t="n"/>
      <c r="J139" s="1525" t="n"/>
      <c r="K139" s="1525" t="n"/>
      <c r="L139" s="1525" t="n"/>
      <c r="M139" s="1525" t="n"/>
      <c r="N139" s="1525" t="n"/>
      <c r="O139" s="1525" t="n"/>
      <c r="P139" s="1525" t="n"/>
      <c r="Q139" s="1525" t="n"/>
      <c r="R139" s="1525" t="n"/>
      <c r="S139" s="1525" t="n"/>
      <c r="T139" s="1525" t="n"/>
      <c r="U139" s="1525" t="n"/>
      <c r="V139" s="1525" t="n"/>
      <c r="W139" s="1525" t="n"/>
      <c r="X139" s="1525" t="n"/>
      <c r="Y139" s="1525" t="n"/>
      <c r="Z139" s="1525" t="n"/>
      <c r="AA139" s="1525" t="n"/>
      <c r="AB139" s="1525" t="n"/>
      <c r="AC139" s="1525" t="n"/>
      <c r="AD139" s="1525" t="n"/>
      <c r="AE139" s="1525" t="n"/>
      <c r="AF139" s="1525" t="n"/>
      <c r="AG139" s="1525" t="n"/>
      <c r="AH139" s="1525" t="n"/>
      <c r="AI139" s="1525" t="n"/>
      <c r="AJ139" s="1525" t="n"/>
      <c r="AK139" s="1525" t="n"/>
      <c r="AL139" s="1525" t="n"/>
      <c r="AM139" s="1525" t="n"/>
      <c r="AN139" s="1525" t="n"/>
      <c r="AO139" s="1525" t="n"/>
    </row>
    <row r="140" ht="12" customFormat="1" customHeight="1" s="1577">
      <c r="A140" s="1578" t="n"/>
      <c r="B140" s="1525" t="n"/>
      <c r="C140" s="1525" t="n"/>
      <c r="D140" s="1525" t="n"/>
      <c r="E140" s="1525" t="n"/>
      <c r="F140" s="1525" t="n"/>
      <c r="G140" s="1525" t="n"/>
      <c r="H140" s="1525" t="n"/>
      <c r="I140" s="1525" t="n"/>
      <c r="J140" s="1525" t="n"/>
      <c r="K140" s="1525" t="n"/>
      <c r="L140" s="1525" t="n"/>
      <c r="M140" s="1525" t="n"/>
      <c r="N140" s="1525" t="n"/>
      <c r="O140" s="1525" t="n"/>
      <c r="P140" s="1525" t="n"/>
      <c r="Q140" s="1525" t="n"/>
      <c r="R140" s="1525" t="n"/>
      <c r="S140" s="1525" t="n"/>
      <c r="T140" s="1525" t="n"/>
      <c r="U140" s="1525" t="n"/>
      <c r="V140" s="1525" t="n"/>
      <c r="W140" s="1525" t="n"/>
      <c r="X140" s="1525" t="n"/>
      <c r="Y140" s="1525" t="n"/>
      <c r="Z140" s="1525" t="n"/>
      <c r="AA140" s="1525" t="n"/>
      <c r="AB140" s="1525" t="n"/>
      <c r="AC140" s="1525" t="n"/>
      <c r="AD140" s="1525" t="n"/>
      <c r="AE140" s="1525" t="n"/>
      <c r="AF140" s="1525" t="n"/>
      <c r="AG140" s="1525" t="n"/>
      <c r="AH140" s="1525" t="n"/>
      <c r="AI140" s="1525" t="n"/>
      <c r="AJ140" s="1525" t="n"/>
      <c r="AK140" s="1525" t="n"/>
      <c r="AL140" s="1525" t="n"/>
      <c r="AM140" s="1525" t="n"/>
      <c r="AN140" s="1525" t="n"/>
      <c r="AO140" s="1525" t="n"/>
    </row>
    <row r="141" ht="12" customFormat="1" customHeight="1" s="1577">
      <c r="A141" s="1578" t="n"/>
      <c r="B141" s="1525" t="n"/>
      <c r="C141" s="1525" t="n"/>
      <c r="D141" s="1525" t="n"/>
      <c r="E141" s="1525" t="n"/>
      <c r="F141" s="1525" t="n"/>
      <c r="G141" s="1525" t="n"/>
      <c r="H141" s="1525" t="n"/>
      <c r="I141" s="1525" t="n"/>
      <c r="J141" s="1525" t="n"/>
      <c r="K141" s="1525" t="n"/>
      <c r="L141" s="1525" t="n"/>
      <c r="M141" s="1525" t="n"/>
      <c r="N141" s="1525" t="n"/>
      <c r="O141" s="1525" t="n"/>
      <c r="P141" s="1525" t="n"/>
      <c r="Q141" s="1525" t="n"/>
      <c r="R141" s="1525" t="n"/>
      <c r="S141" s="1525" t="n"/>
      <c r="T141" s="1525" t="n"/>
      <c r="U141" s="1525" t="n"/>
      <c r="V141" s="1525" t="n"/>
      <c r="W141" s="1525" t="n"/>
      <c r="X141" s="1525" t="n"/>
      <c r="Y141" s="1525" t="n"/>
      <c r="Z141" s="1525" t="n"/>
      <c r="AA141" s="1525" t="n"/>
      <c r="AB141" s="1525" t="n"/>
      <c r="AC141" s="1525" t="n"/>
      <c r="AD141" s="1525" t="n"/>
      <c r="AE141" s="1525" t="n"/>
      <c r="AF141" s="1525" t="n"/>
      <c r="AG141" s="1525" t="n"/>
      <c r="AH141" s="1525" t="n"/>
      <c r="AI141" s="1525" t="n"/>
      <c r="AJ141" s="1525" t="n"/>
      <c r="AK141" s="1525" t="n"/>
      <c r="AL141" s="1525" t="n"/>
      <c r="AM141" s="1525" t="n"/>
      <c r="AN141" s="1525" t="n"/>
      <c r="AO141" s="1525" t="n"/>
    </row>
    <row r="142" ht="12" customFormat="1" customHeight="1" s="1577">
      <c r="A142" s="1578" t="n"/>
      <c r="B142" s="1525" t="n"/>
      <c r="C142" s="1525" t="n"/>
      <c r="D142" s="1525" t="n"/>
      <c r="E142" s="1525" t="n"/>
      <c r="F142" s="1525" t="n"/>
      <c r="G142" s="1525" t="n"/>
      <c r="H142" s="1525" t="n"/>
      <c r="I142" s="1525" t="n"/>
      <c r="J142" s="1525" t="n"/>
      <c r="K142" s="1525" t="n"/>
      <c r="L142" s="1525" t="n"/>
      <c r="M142" s="1525" t="n"/>
      <c r="N142" s="1525" t="n"/>
      <c r="O142" s="1525" t="n"/>
      <c r="P142" s="1525" t="n"/>
      <c r="Q142" s="1525" t="n"/>
      <c r="R142" s="1525" t="n"/>
      <c r="S142" s="1525" t="n"/>
      <c r="T142" s="1525" t="n"/>
      <c r="U142" s="1525" t="n"/>
      <c r="V142" s="1525" t="n"/>
      <c r="W142" s="1525" t="n"/>
      <c r="X142" s="1525" t="n"/>
      <c r="Y142" s="1525" t="n"/>
      <c r="Z142" s="1525" t="n"/>
      <c r="AA142" s="1525" t="n"/>
      <c r="AB142" s="1525" t="n"/>
      <c r="AC142" s="1525" t="n"/>
      <c r="AD142" s="1525" t="n"/>
      <c r="AE142" s="1525" t="n"/>
      <c r="AF142" s="1525" t="n"/>
      <c r="AG142" s="1525" t="n"/>
      <c r="AH142" s="1525" t="n"/>
      <c r="AI142" s="1525" t="n"/>
      <c r="AJ142" s="1525" t="n"/>
      <c r="AK142" s="1525" t="n"/>
      <c r="AL142" s="1525" t="n"/>
      <c r="AM142" s="1525" t="n"/>
      <c r="AN142" s="1525" t="n"/>
      <c r="AO142" s="1525" t="n"/>
    </row>
    <row r="143" ht="12" customFormat="1" customHeight="1" s="1577">
      <c r="A143" s="1578" t="n"/>
      <c r="B143" s="1525" t="n"/>
      <c r="C143" s="1525" t="n"/>
      <c r="D143" s="1525" t="n"/>
      <c r="E143" s="1525" t="n"/>
      <c r="F143" s="1525" t="n"/>
      <c r="G143" s="1525" t="n"/>
      <c r="H143" s="1525" t="n"/>
      <c r="I143" s="1525" t="n"/>
      <c r="J143" s="1525" t="n"/>
      <c r="K143" s="1525" t="n"/>
      <c r="L143" s="1525" t="n"/>
      <c r="M143" s="1525" t="n"/>
      <c r="N143" s="1525" t="n"/>
      <c r="O143" s="1525" t="n"/>
      <c r="P143" s="1525" t="n"/>
      <c r="Q143" s="1525" t="n"/>
      <c r="R143" s="1525" t="n"/>
      <c r="S143" s="1525" t="n"/>
      <c r="T143" s="1525" t="n"/>
      <c r="U143" s="1525" t="n"/>
      <c r="V143" s="1525" t="n"/>
      <c r="W143" s="1525" t="n"/>
      <c r="X143" s="1525" t="n"/>
      <c r="Y143" s="1525" t="n"/>
      <c r="Z143" s="1525" t="n"/>
      <c r="AA143" s="1525" t="n"/>
      <c r="AB143" s="1525" t="n"/>
      <c r="AC143" s="1525" t="n"/>
      <c r="AD143" s="1525" t="n"/>
      <c r="AE143" s="1525" t="n"/>
      <c r="AF143" s="1525" t="n"/>
      <c r="AG143" s="1525" t="n"/>
      <c r="AH143" s="1525" t="n"/>
      <c r="AI143" s="1525" t="n"/>
      <c r="AJ143" s="1525" t="n"/>
      <c r="AK143" s="1525" t="n"/>
      <c r="AL143" s="1525" t="n"/>
      <c r="AM143" s="1525" t="n"/>
      <c r="AN143" s="1525" t="n"/>
      <c r="AO143" s="1525" t="n"/>
    </row>
    <row r="144" ht="12" customFormat="1" customHeight="1" s="1577">
      <c r="A144" s="1578" t="n"/>
      <c r="B144" s="1525" t="n"/>
      <c r="C144" s="1525" t="n"/>
      <c r="D144" s="1525" t="n"/>
      <c r="E144" s="1525" t="n"/>
      <c r="F144" s="1525" t="n"/>
      <c r="G144" s="1525" t="n"/>
      <c r="H144" s="1525" t="n"/>
      <c r="I144" s="1525" t="n"/>
      <c r="J144" s="1525" t="n"/>
      <c r="K144" s="1525" t="n"/>
      <c r="L144" s="1525" t="n"/>
      <c r="M144" s="1525" t="n"/>
      <c r="N144" s="1525" t="n"/>
      <c r="O144" s="1525" t="n"/>
      <c r="P144" s="1525" t="n"/>
      <c r="Q144" s="1525" t="n"/>
      <c r="R144" s="1525" t="n"/>
      <c r="S144" s="1525" t="n"/>
      <c r="T144" s="1525" t="n"/>
      <c r="U144" s="1525" t="n"/>
      <c r="V144" s="1525" t="n"/>
      <c r="W144" s="1525" t="n"/>
      <c r="X144" s="1525" t="n"/>
      <c r="Y144" s="1525" t="n"/>
      <c r="Z144" s="1525" t="n"/>
      <c r="AA144" s="1525" t="n"/>
      <c r="AB144" s="1525" t="n"/>
      <c r="AC144" s="1525" t="n"/>
      <c r="AD144" s="1525" t="n"/>
      <c r="AE144" s="1525" t="n"/>
      <c r="AF144" s="1525" t="n"/>
      <c r="AG144" s="1525" t="n"/>
      <c r="AH144" s="1525" t="n"/>
      <c r="AI144" s="1525" t="n"/>
      <c r="AJ144" s="1525" t="n"/>
      <c r="AK144" s="1525" t="n"/>
      <c r="AL144" s="1525" t="n"/>
      <c r="AM144" s="1525" t="n"/>
      <c r="AN144" s="1525" t="n"/>
      <c r="AO144" s="1525" t="n"/>
    </row>
    <row r="145" ht="12" customFormat="1" customHeight="1" s="1577">
      <c r="A145" s="1578" t="n"/>
      <c r="B145" s="1525" t="n"/>
      <c r="C145" s="1525" t="n"/>
      <c r="D145" s="1525" t="n"/>
      <c r="E145" s="1525" t="n"/>
      <c r="F145" s="1525" t="n"/>
      <c r="G145" s="1525" t="n"/>
      <c r="H145" s="1525" t="n"/>
      <c r="I145" s="1525" t="n"/>
      <c r="J145" s="1525" t="n"/>
      <c r="K145" s="1525" t="n"/>
      <c r="L145" s="1525" t="n"/>
      <c r="M145" s="1525" t="n"/>
      <c r="N145" s="1525" t="n"/>
      <c r="O145" s="1525" t="n"/>
      <c r="P145" s="1525" t="n"/>
      <c r="Q145" s="1525" t="n"/>
      <c r="R145" s="1525" t="n"/>
      <c r="S145" s="1525" t="n"/>
      <c r="T145" s="1525" t="n"/>
      <c r="U145" s="1525" t="n"/>
      <c r="V145" s="1525" t="n"/>
      <c r="W145" s="1525" t="n"/>
      <c r="X145" s="1525" t="n"/>
      <c r="Y145" s="1525" t="n"/>
      <c r="Z145" s="1525" t="n"/>
      <c r="AA145" s="1525" t="n"/>
      <c r="AB145" s="1525" t="n"/>
      <c r="AC145" s="1525" t="n"/>
      <c r="AD145" s="1525" t="n"/>
      <c r="AE145" s="1525" t="n"/>
      <c r="AF145" s="1525" t="n"/>
      <c r="AG145" s="1525" t="n"/>
      <c r="AH145" s="1525" t="n"/>
      <c r="AI145" s="1525" t="n"/>
      <c r="AJ145" s="1525" t="n"/>
      <c r="AK145" s="1525" t="n"/>
      <c r="AL145" s="1525" t="n"/>
      <c r="AM145" s="1525" t="n"/>
      <c r="AN145" s="1525" t="n"/>
      <c r="AO145" s="1525" t="n"/>
    </row>
    <row r="146" ht="12" customFormat="1" customHeight="1" s="1577">
      <c r="A146" s="1578" t="n"/>
      <c r="B146" s="1525" t="n"/>
      <c r="C146" s="1525" t="n"/>
      <c r="D146" s="1525" t="n"/>
      <c r="E146" s="1525" t="n"/>
      <c r="F146" s="1525" t="n"/>
      <c r="G146" s="1525" t="n"/>
      <c r="H146" s="1525" t="n"/>
      <c r="I146" s="1525" t="n"/>
      <c r="J146" s="1525" t="n"/>
      <c r="K146" s="1525" t="n"/>
      <c r="L146" s="1525" t="n"/>
      <c r="M146" s="1525" t="n"/>
      <c r="N146" s="1525" t="n"/>
      <c r="O146" s="1525" t="n"/>
      <c r="P146" s="1525" t="n"/>
      <c r="Q146" s="1525" t="n"/>
      <c r="R146" s="1525" t="n"/>
      <c r="S146" s="1525" t="n"/>
      <c r="T146" s="1525" t="n"/>
      <c r="U146" s="1525" t="n"/>
      <c r="V146" s="1525" t="n"/>
      <c r="W146" s="1525" t="n"/>
      <c r="X146" s="1525" t="n"/>
      <c r="Y146" s="1525" t="n"/>
      <c r="Z146" s="1525" t="n"/>
      <c r="AA146" s="1525" t="n"/>
      <c r="AB146" s="1525" t="n"/>
      <c r="AC146" s="1525" t="n"/>
      <c r="AD146" s="1525" t="n"/>
      <c r="AE146" s="1525" t="n"/>
      <c r="AF146" s="1525" t="n"/>
      <c r="AG146" s="1525" t="n"/>
      <c r="AH146" s="1525" t="n"/>
      <c r="AI146" s="1525" t="n"/>
      <c r="AJ146" s="1525" t="n"/>
      <c r="AK146" s="1525" t="n"/>
      <c r="AL146" s="1525" t="n"/>
      <c r="AM146" s="1525" t="n"/>
      <c r="AN146" s="1525" t="n"/>
      <c r="AO146" s="1525" t="n"/>
    </row>
    <row r="147" ht="12" customFormat="1" customHeight="1" s="1577">
      <c r="A147" s="1578" t="n"/>
      <c r="B147" s="1525" t="n"/>
      <c r="C147" s="1525" t="n"/>
      <c r="D147" s="1525" t="n"/>
      <c r="E147" s="1525" t="n"/>
      <c r="F147" s="1525" t="n"/>
      <c r="G147" s="1525" t="n"/>
      <c r="H147" s="1525" t="n"/>
      <c r="I147" s="1525" t="n"/>
      <c r="J147" s="1525" t="n"/>
      <c r="K147" s="1525" t="n"/>
      <c r="L147" s="1525" t="n"/>
      <c r="M147" s="1525" t="n"/>
      <c r="N147" s="1525" t="n"/>
      <c r="O147" s="1525" t="n"/>
      <c r="P147" s="1525" t="n"/>
      <c r="Q147" s="1525" t="n"/>
      <c r="R147" s="1525" t="n"/>
      <c r="S147" s="1525" t="n"/>
      <c r="T147" s="1525" t="n"/>
      <c r="U147" s="1525" t="n"/>
      <c r="V147" s="1525" t="n"/>
      <c r="W147" s="1525" t="n"/>
      <c r="X147" s="1525" t="n"/>
      <c r="Y147" s="1525" t="n"/>
      <c r="Z147" s="1525" t="n"/>
      <c r="AA147" s="1525" t="n"/>
      <c r="AB147" s="1525" t="n"/>
      <c r="AC147" s="1525" t="n"/>
      <c r="AD147" s="1525" t="n"/>
      <c r="AE147" s="1525" t="n"/>
      <c r="AF147" s="1525" t="n"/>
      <c r="AG147" s="1525" t="n"/>
      <c r="AH147" s="1525" t="n"/>
      <c r="AI147" s="1525" t="n"/>
      <c r="AJ147" s="1525" t="n"/>
      <c r="AK147" s="1525" t="n"/>
      <c r="AL147" s="1525" t="n"/>
      <c r="AM147" s="1525" t="n"/>
      <c r="AN147" s="1525" t="n"/>
      <c r="AO147" s="1525" t="n"/>
    </row>
    <row r="148" ht="12" customFormat="1" customHeight="1" s="1577">
      <c r="A148" s="1578" t="n"/>
      <c r="B148" s="1525" t="n"/>
      <c r="C148" s="1525" t="n"/>
      <c r="D148" s="1525" t="n"/>
      <c r="E148" s="1525" t="n"/>
      <c r="F148" s="1525" t="n"/>
      <c r="G148" s="1525" t="n"/>
      <c r="H148" s="1525" t="n"/>
      <c r="I148" s="1525" t="n"/>
      <c r="J148" s="1525" t="n"/>
      <c r="K148" s="1525" t="n"/>
      <c r="L148" s="1525" t="n"/>
      <c r="M148" s="1525" t="n"/>
      <c r="N148" s="1525" t="n"/>
      <c r="O148" s="1525" t="n"/>
      <c r="P148" s="1525" t="n"/>
      <c r="Q148" s="1525" t="n"/>
      <c r="R148" s="1525" t="n"/>
      <c r="S148" s="1525" t="n"/>
      <c r="T148" s="1525" t="n"/>
      <c r="U148" s="1525" t="n"/>
      <c r="V148" s="1525" t="n"/>
      <c r="W148" s="1525" t="n"/>
      <c r="X148" s="1525" t="n"/>
      <c r="Y148" s="1525" t="n"/>
      <c r="Z148" s="1525" t="n"/>
      <c r="AA148" s="1525" t="n"/>
      <c r="AB148" s="1525" t="n"/>
      <c r="AC148" s="1525" t="n"/>
      <c r="AD148" s="1525" t="n"/>
      <c r="AE148" s="1525" t="n"/>
      <c r="AF148" s="1525" t="n"/>
      <c r="AG148" s="1525" t="n"/>
      <c r="AH148" s="1525" t="n"/>
      <c r="AI148" s="1525" t="n"/>
      <c r="AJ148" s="1525" t="n"/>
      <c r="AK148" s="1525" t="n"/>
      <c r="AL148" s="1525" t="n"/>
      <c r="AM148" s="1525" t="n"/>
      <c r="AN148" s="1525" t="n"/>
      <c r="AO148" s="1525" t="n"/>
    </row>
    <row r="149" ht="12" customFormat="1" customHeight="1" s="1577">
      <c r="H149" s="1594" t="n"/>
    </row>
    <row r="150" ht="12" customFormat="1" customHeight="1" s="1577">
      <c r="A150" s="1578" t="n"/>
      <c r="B150" s="1525" t="n"/>
      <c r="C150" s="1525" t="n"/>
      <c r="D150" s="1525" t="n"/>
      <c r="E150" s="1525" t="n"/>
      <c r="F150" s="1525" t="n"/>
      <c r="G150" s="1525" t="n"/>
      <c r="H150" s="1525" t="n"/>
      <c r="I150" s="1525" t="n"/>
      <c r="J150" s="1525" t="n"/>
      <c r="K150" s="1525" t="n"/>
      <c r="L150" s="1525" t="n"/>
      <c r="M150" s="1525" t="n"/>
      <c r="N150" s="1525" t="n"/>
      <c r="O150" s="1525" t="n"/>
      <c r="P150" s="1525" t="n"/>
      <c r="Q150" s="1525" t="n"/>
      <c r="R150" s="1525" t="n"/>
      <c r="S150" s="1525" t="n"/>
      <c r="T150" s="1525" t="n"/>
      <c r="U150" s="1525" t="n"/>
      <c r="V150" s="1525" t="n"/>
      <c r="W150" s="1525" t="n"/>
      <c r="X150" s="1525" t="n"/>
      <c r="Y150" s="1525" t="n"/>
      <c r="Z150" s="1525" t="n"/>
      <c r="AA150" s="1525" t="n"/>
      <c r="AB150" s="1525" t="n"/>
      <c r="AC150" s="1525" t="n"/>
      <c r="AD150" s="1525" t="n"/>
      <c r="AE150" s="1525" t="n"/>
      <c r="AF150" s="1525" t="n"/>
      <c r="AG150" s="1525" t="n"/>
      <c r="AH150" s="1525" t="n"/>
      <c r="AI150" s="1525" t="n"/>
      <c r="AJ150" s="1525" t="n"/>
      <c r="AK150" s="1525" t="n"/>
      <c r="AL150" s="1525" t="n"/>
      <c r="AM150" s="1525" t="n"/>
      <c r="AN150" s="1525" t="n"/>
      <c r="AO150" s="1525" t="n"/>
    </row>
    <row r="151" ht="12" customFormat="1" customHeight="1" s="1577">
      <c r="A151" s="1578" t="n"/>
      <c r="B151" s="1525" t="n"/>
      <c r="C151" s="1525" t="n"/>
      <c r="D151" s="1525" t="n"/>
      <c r="E151" s="1525" t="n"/>
      <c r="F151" s="1525" t="n"/>
      <c r="G151" s="1525" t="n"/>
      <c r="H151" s="1525" t="n"/>
      <c r="I151" s="1525" t="n"/>
      <c r="J151" s="1525" t="n"/>
      <c r="K151" s="1525" t="n"/>
      <c r="L151" s="1525" t="n"/>
      <c r="M151" s="1525" t="n"/>
      <c r="N151" s="1525" t="n"/>
      <c r="O151" s="1525" t="n"/>
      <c r="P151" s="1525" t="n"/>
      <c r="Q151" s="1525" t="n"/>
      <c r="R151" s="1525" t="n"/>
      <c r="S151" s="1525" t="n"/>
      <c r="T151" s="1525" t="n"/>
      <c r="U151" s="1525" t="n"/>
      <c r="V151" s="1525" t="n"/>
      <c r="W151" s="1525" t="n"/>
      <c r="X151" s="1525" t="n"/>
      <c r="Y151" s="1525" t="n"/>
      <c r="Z151" s="1525" t="n"/>
      <c r="AA151" s="1525" t="n"/>
      <c r="AB151" s="1525" t="n"/>
      <c r="AC151" s="1525" t="n"/>
      <c r="AD151" s="1525" t="n"/>
      <c r="AE151" s="1525" t="n"/>
      <c r="AF151" s="1525" t="n"/>
      <c r="AG151" s="1525" t="n"/>
      <c r="AH151" s="1525" t="n"/>
      <c r="AI151" s="1525" t="n"/>
      <c r="AJ151" s="1525" t="n"/>
      <c r="AK151" s="1525" t="n"/>
      <c r="AL151" s="1525" t="n"/>
      <c r="AM151" s="1525" t="n"/>
      <c r="AN151" s="1525" t="n"/>
      <c r="AO151" s="1525" t="n"/>
    </row>
    <row r="152" ht="12" customFormat="1" customHeight="1" s="1577">
      <c r="A152" s="1578" t="n"/>
      <c r="B152" s="1525" t="n"/>
      <c r="C152" s="1525" t="n"/>
      <c r="D152" s="1525" t="n"/>
      <c r="E152" s="1525" t="n"/>
      <c r="F152" s="1525" t="n"/>
      <c r="G152" s="1525" t="n"/>
      <c r="H152" s="1525" t="n"/>
      <c r="I152" s="1525" t="n"/>
      <c r="J152" s="1525" t="n"/>
      <c r="K152" s="1525" t="n"/>
      <c r="L152" s="1525" t="n"/>
      <c r="M152" s="1525" t="n"/>
      <c r="N152" s="1525" t="n"/>
      <c r="O152" s="1525" t="n"/>
      <c r="P152" s="1525" t="n"/>
      <c r="Q152" s="1525" t="n"/>
      <c r="R152" s="1525" t="n"/>
      <c r="S152" s="1525" t="n"/>
      <c r="T152" s="1525" t="n"/>
      <c r="U152" s="1525" t="n"/>
      <c r="V152" s="1525" t="n"/>
      <c r="W152" s="1525" t="n"/>
      <c r="X152" s="1525" t="n"/>
      <c r="Y152" s="1525" t="n"/>
      <c r="Z152" s="1525" t="n"/>
      <c r="AA152" s="1525" t="n"/>
      <c r="AB152" s="1525" t="n"/>
      <c r="AC152" s="1525" t="n"/>
      <c r="AD152" s="1525" t="n"/>
      <c r="AE152" s="1525" t="n"/>
      <c r="AF152" s="1525" t="n"/>
      <c r="AG152" s="1525" t="n"/>
      <c r="AH152" s="1525" t="n"/>
      <c r="AI152" s="1525" t="n"/>
      <c r="AJ152" s="1525" t="n"/>
      <c r="AK152" s="1525" t="n"/>
      <c r="AL152" s="1525" t="n"/>
      <c r="AM152" s="1525" t="n"/>
      <c r="AN152" s="1525" t="n"/>
      <c r="AO152" s="1525" t="n"/>
    </row>
    <row r="153" ht="12" customFormat="1" customHeight="1" s="1577">
      <c r="A153" s="1578" t="n"/>
      <c r="B153" s="1525" t="n"/>
      <c r="C153" s="1525" t="n"/>
      <c r="D153" s="1525" t="n"/>
      <c r="E153" s="1525" t="n"/>
      <c r="F153" s="1525" t="n"/>
      <c r="G153" s="1525" t="n"/>
      <c r="H153" s="1525" t="n"/>
      <c r="I153" s="1525" t="n"/>
      <c r="J153" s="1525" t="n"/>
      <c r="K153" s="1525" t="n"/>
      <c r="L153" s="1525" t="n"/>
      <c r="M153" s="1525" t="n"/>
      <c r="N153" s="1525" t="n"/>
      <c r="O153" s="1525" t="n"/>
      <c r="P153" s="1525" t="n"/>
      <c r="Q153" s="1525" t="n"/>
      <c r="R153" s="1525" t="n"/>
      <c r="S153" s="1525" t="n"/>
      <c r="T153" s="1525" t="n"/>
      <c r="U153" s="1525" t="n"/>
      <c r="V153" s="1525" t="n"/>
      <c r="W153" s="1525" t="n"/>
      <c r="X153" s="1525" t="n"/>
      <c r="Y153" s="1525" t="n"/>
      <c r="Z153" s="1525" t="n"/>
      <c r="AA153" s="1525" t="n"/>
      <c r="AB153" s="1525" t="n"/>
      <c r="AC153" s="1525" t="n"/>
      <c r="AD153" s="1525" t="n"/>
      <c r="AE153" s="1525" t="n"/>
      <c r="AF153" s="1525" t="n"/>
      <c r="AG153" s="1525" t="n"/>
      <c r="AH153" s="1525" t="n"/>
      <c r="AI153" s="1525" t="n"/>
      <c r="AJ153" s="1525" t="n"/>
      <c r="AK153" s="1525" t="n"/>
      <c r="AL153" s="1525" t="n"/>
      <c r="AM153" s="1525" t="n"/>
      <c r="AN153" s="1525" t="n"/>
      <c r="AO153" s="1525" t="n"/>
    </row>
    <row r="154" ht="12" customFormat="1" customHeight="1" s="1577">
      <c r="A154" s="1578" t="n"/>
      <c r="B154" s="1525" t="n"/>
      <c r="C154" s="1525" t="n"/>
      <c r="D154" s="1525" t="n"/>
      <c r="E154" s="1525" t="n"/>
      <c r="F154" s="1525" t="n"/>
      <c r="G154" s="1525" t="n"/>
      <c r="H154" s="1525" t="n"/>
      <c r="I154" s="1525" t="n"/>
      <c r="J154" s="1525" t="n"/>
      <c r="K154" s="1525" t="n"/>
      <c r="L154" s="1525" t="n"/>
      <c r="M154" s="1525" t="n"/>
      <c r="N154" s="1525" t="n"/>
      <c r="O154" s="1525" t="n"/>
      <c r="P154" s="1525" t="n"/>
      <c r="Q154" s="1525" t="n"/>
      <c r="R154" s="1525" t="n"/>
      <c r="S154" s="1525" t="n"/>
      <c r="T154" s="1525" t="n"/>
      <c r="U154" s="1525" t="n"/>
      <c r="V154" s="1525" t="n"/>
      <c r="W154" s="1525" t="n"/>
      <c r="X154" s="1525" t="n"/>
      <c r="Y154" s="1525" t="n"/>
      <c r="Z154" s="1525" t="n"/>
      <c r="AA154" s="1525" t="n"/>
      <c r="AB154" s="1525" t="n"/>
      <c r="AC154" s="1525" t="n"/>
      <c r="AD154" s="1525" t="n"/>
      <c r="AE154" s="1525" t="n"/>
      <c r="AF154" s="1525" t="n"/>
      <c r="AG154" s="1525" t="n"/>
      <c r="AH154" s="1525" t="n"/>
      <c r="AI154" s="1525" t="n"/>
      <c r="AJ154" s="1525" t="n"/>
      <c r="AK154" s="1525" t="n"/>
      <c r="AL154" s="1525" t="n"/>
      <c r="AM154" s="1525" t="n"/>
      <c r="AN154" s="1525" t="n"/>
      <c r="AO154" s="1525" t="n"/>
    </row>
    <row r="155" ht="12" customFormat="1" customHeight="1" s="1577">
      <c r="A155" s="1578" t="n"/>
      <c r="B155" s="1525" t="n"/>
      <c r="C155" s="1525" t="n"/>
      <c r="D155" s="1525" t="n"/>
      <c r="E155" s="1525" t="n"/>
      <c r="F155" s="1525" t="n"/>
      <c r="G155" s="1525" t="n"/>
      <c r="H155" s="1525" t="n"/>
      <c r="I155" s="1525" t="n"/>
      <c r="J155" s="1525" t="n"/>
      <c r="K155" s="1525" t="n"/>
      <c r="L155" s="1525" t="n"/>
      <c r="M155" s="1525" t="n"/>
      <c r="N155" s="1525" t="n"/>
      <c r="O155" s="1525" t="n"/>
      <c r="P155" s="1525" t="n"/>
      <c r="Q155" s="1525" t="n"/>
      <c r="R155" s="1525" t="n"/>
      <c r="S155" s="1525" t="n"/>
      <c r="T155" s="1525" t="n"/>
      <c r="U155" s="1525" t="n"/>
      <c r="V155" s="1525" t="n"/>
      <c r="W155" s="1525" t="n"/>
      <c r="X155" s="1525" t="n"/>
      <c r="Y155" s="1525" t="n"/>
      <c r="Z155" s="1525" t="n"/>
      <c r="AA155" s="1525" t="n"/>
      <c r="AB155" s="1525" t="n"/>
      <c r="AC155" s="1525" t="n"/>
      <c r="AD155" s="1525" t="n"/>
      <c r="AE155" s="1525" t="n"/>
      <c r="AF155" s="1525" t="n"/>
      <c r="AG155" s="1525" t="n"/>
      <c r="AH155" s="1525" t="n"/>
      <c r="AI155" s="1525" t="n"/>
      <c r="AJ155" s="1525" t="n"/>
      <c r="AK155" s="1525" t="n"/>
      <c r="AL155" s="1525" t="n"/>
      <c r="AM155" s="1525" t="n"/>
      <c r="AN155" s="1525" t="n"/>
      <c r="AO155" s="1525" t="n"/>
    </row>
    <row r="156" ht="12" customFormat="1" customHeight="1" s="1577">
      <c r="A156" s="1578" t="n"/>
      <c r="B156" s="1525" t="n"/>
      <c r="C156" s="1525" t="n"/>
      <c r="D156" s="1525" t="n"/>
      <c r="E156" s="1525" t="n"/>
      <c r="F156" s="1525" t="n"/>
      <c r="G156" s="1525" t="n"/>
      <c r="H156" s="1525" t="n"/>
      <c r="I156" s="1525" t="n"/>
      <c r="J156" s="1525" t="n"/>
      <c r="K156" s="1525" t="n"/>
      <c r="L156" s="1525" t="n"/>
      <c r="M156" s="1525" t="n"/>
      <c r="N156" s="1525" t="n"/>
      <c r="O156" s="1525" t="n"/>
      <c r="P156" s="1525" t="n"/>
      <c r="Q156" s="1525" t="n"/>
      <c r="R156" s="1525" t="n"/>
      <c r="S156" s="1525" t="n"/>
      <c r="T156" s="1525" t="n"/>
      <c r="U156" s="1525" t="n"/>
      <c r="V156" s="1525" t="n"/>
      <c r="W156" s="1525" t="n"/>
      <c r="X156" s="1525" t="n"/>
      <c r="Y156" s="1525" t="n"/>
      <c r="Z156" s="1525" t="n"/>
      <c r="AA156" s="1525" t="n"/>
      <c r="AB156" s="1525" t="n"/>
      <c r="AC156" s="1525" t="n"/>
      <c r="AD156" s="1525" t="n"/>
      <c r="AE156" s="1525" t="n"/>
      <c r="AF156" s="1525" t="n"/>
      <c r="AG156" s="1525" t="n"/>
      <c r="AH156" s="1525" t="n"/>
      <c r="AI156" s="1525" t="n"/>
      <c r="AJ156" s="1525" t="n"/>
      <c r="AK156" s="1525" t="n"/>
      <c r="AL156" s="1525" t="n"/>
      <c r="AM156" s="1525" t="n"/>
      <c r="AN156" s="1525" t="n"/>
      <c r="AO156" s="1525" t="n"/>
    </row>
    <row r="157" ht="12" customFormat="1" customHeight="1" s="1577">
      <c r="A157" s="1578" t="n"/>
      <c r="B157" s="1525" t="n"/>
      <c r="C157" s="1525" t="n"/>
      <c r="D157" s="1525" t="n"/>
      <c r="E157" s="1525" t="n"/>
      <c r="F157" s="1525" t="n"/>
      <c r="G157" s="1525" t="n"/>
      <c r="H157" s="1525" t="n"/>
      <c r="I157" s="1525" t="n"/>
      <c r="J157" s="1525" t="n"/>
      <c r="K157" s="1525" t="n"/>
      <c r="L157" s="1525" t="n"/>
      <c r="M157" s="1525" t="n"/>
      <c r="N157" s="1525" t="n"/>
      <c r="O157" s="1525" t="n"/>
      <c r="P157" s="1525" t="n"/>
      <c r="Q157" s="1525" t="n"/>
      <c r="R157" s="1525" t="n"/>
      <c r="S157" s="1525" t="n"/>
      <c r="T157" s="1525" t="n"/>
      <c r="U157" s="1525" t="n"/>
      <c r="V157" s="1525" t="n"/>
      <c r="W157" s="1525" t="n"/>
      <c r="X157" s="1525" t="n"/>
      <c r="Y157" s="1525" t="n"/>
      <c r="Z157" s="1525" t="n"/>
      <c r="AA157" s="1525" t="n"/>
      <c r="AB157" s="1525" t="n"/>
      <c r="AC157" s="1525" t="n"/>
      <c r="AD157" s="1525" t="n"/>
      <c r="AE157" s="1525" t="n"/>
      <c r="AF157" s="1525" t="n"/>
      <c r="AG157" s="1525" t="n"/>
      <c r="AH157" s="1525" t="n"/>
      <c r="AI157" s="1525" t="n"/>
      <c r="AJ157" s="1525" t="n"/>
      <c r="AK157" s="1525" t="n"/>
      <c r="AL157" s="1525" t="n"/>
      <c r="AM157" s="1525" t="n"/>
      <c r="AN157" s="1525" t="n"/>
      <c r="AO157" s="1525" t="n"/>
    </row>
    <row r="158" ht="12" customFormat="1" customHeight="1" s="1577">
      <c r="A158" s="1578" t="n"/>
      <c r="B158" s="1525" t="n"/>
      <c r="C158" s="1525" t="n"/>
      <c r="D158" s="1525" t="n"/>
      <c r="E158" s="1525" t="n"/>
      <c r="F158" s="1525" t="n"/>
      <c r="G158" s="1525" t="n"/>
      <c r="H158" s="1525" t="n"/>
      <c r="I158" s="1525" t="n"/>
      <c r="J158" s="1525" t="n"/>
      <c r="K158" s="1525" t="n"/>
      <c r="L158" s="1525" t="n"/>
      <c r="M158" s="1525" t="n"/>
      <c r="N158" s="1525" t="n"/>
      <c r="O158" s="1525" t="n"/>
      <c r="P158" s="1525" t="n"/>
      <c r="Q158" s="1525" t="n"/>
      <c r="R158" s="1525" t="n"/>
      <c r="S158" s="1525" t="n"/>
      <c r="T158" s="1525" t="n"/>
      <c r="U158" s="1525" t="n"/>
      <c r="V158" s="1525" t="n"/>
      <c r="W158" s="1525" t="n"/>
      <c r="X158" s="1525" t="n"/>
      <c r="Y158" s="1525" t="n"/>
      <c r="Z158" s="1525" t="n"/>
      <c r="AA158" s="1525" t="n"/>
      <c r="AB158" s="1525" t="n"/>
      <c r="AC158" s="1525" t="n"/>
      <c r="AD158" s="1525" t="n"/>
      <c r="AE158" s="1525" t="n"/>
      <c r="AF158" s="1525" t="n"/>
      <c r="AG158" s="1525" t="n"/>
      <c r="AH158" s="1525" t="n"/>
      <c r="AI158" s="1525" t="n"/>
      <c r="AJ158" s="1525" t="n"/>
      <c r="AK158" s="1525" t="n"/>
      <c r="AL158" s="1525" t="n"/>
      <c r="AM158" s="1525" t="n"/>
      <c r="AN158" s="1525" t="n"/>
      <c r="AO158" s="1525" t="n"/>
    </row>
    <row r="159" ht="12" customFormat="1" customHeight="1" s="1577">
      <c r="A159" s="1578" t="n"/>
      <c r="B159" s="1525" t="n"/>
      <c r="C159" s="1525" t="n"/>
      <c r="D159" s="1525" t="n"/>
      <c r="E159" s="1525" t="n"/>
      <c r="F159" s="1525" t="n"/>
      <c r="G159" s="1525" t="n"/>
      <c r="H159" s="1525" t="n"/>
      <c r="I159" s="1525" t="n"/>
      <c r="J159" s="1525" t="n"/>
      <c r="K159" s="1525" t="n"/>
      <c r="L159" s="1525" t="n"/>
      <c r="M159" s="1525" t="n"/>
      <c r="N159" s="1525" t="n"/>
      <c r="O159" s="1525" t="n"/>
      <c r="P159" s="1525" t="n"/>
      <c r="Q159" s="1525" t="n"/>
      <c r="R159" s="1525" t="n"/>
      <c r="S159" s="1525" t="n"/>
      <c r="T159" s="1525" t="n"/>
      <c r="U159" s="1525" t="n"/>
      <c r="V159" s="1525" t="n"/>
      <c r="W159" s="1525" t="n"/>
      <c r="X159" s="1525" t="n"/>
      <c r="Y159" s="1525" t="n"/>
      <c r="Z159" s="1525" t="n"/>
      <c r="AA159" s="1525" t="n"/>
      <c r="AB159" s="1525" t="n"/>
      <c r="AC159" s="1525" t="n"/>
      <c r="AD159" s="1525" t="n"/>
      <c r="AE159" s="1525" t="n"/>
      <c r="AF159" s="1525" t="n"/>
      <c r="AG159" s="1525" t="n"/>
      <c r="AH159" s="1525" t="n"/>
      <c r="AI159" s="1525" t="n"/>
      <c r="AJ159" s="1525" t="n"/>
      <c r="AK159" s="1525" t="n"/>
      <c r="AL159" s="1525" t="n"/>
      <c r="AM159" s="1525" t="n"/>
      <c r="AN159" s="1525" t="n"/>
      <c r="AO159" s="1525" t="n"/>
    </row>
    <row r="160" ht="12" customFormat="1" customHeight="1" s="1577">
      <c r="A160" s="1578" t="n"/>
      <c r="B160" s="1525" t="n"/>
      <c r="C160" s="1525" t="n"/>
      <c r="D160" s="1525" t="n"/>
      <c r="E160" s="1525" t="n"/>
      <c r="F160" s="1525" t="n"/>
      <c r="G160" s="1525" t="n"/>
      <c r="H160" s="1525" t="n"/>
      <c r="I160" s="1525" t="n"/>
      <c r="J160" s="1525" t="n"/>
      <c r="K160" s="1525" t="n"/>
      <c r="L160" s="1525" t="n"/>
      <c r="M160" s="1525" t="n"/>
      <c r="N160" s="1525" t="n"/>
      <c r="O160" s="1525" t="n"/>
      <c r="P160" s="1525" t="n"/>
      <c r="Q160" s="1525" t="n"/>
      <c r="R160" s="1525" t="n"/>
      <c r="S160" s="1525" t="n"/>
      <c r="T160" s="1525" t="n"/>
      <c r="U160" s="1525" t="n"/>
      <c r="V160" s="1525" t="n"/>
      <c r="W160" s="1525" t="n"/>
      <c r="X160" s="1525" t="n"/>
      <c r="Y160" s="1525" t="n"/>
      <c r="Z160" s="1525" t="n"/>
      <c r="AA160" s="1525" t="n"/>
      <c r="AB160" s="1525" t="n"/>
      <c r="AC160" s="1525" t="n"/>
      <c r="AD160" s="1525" t="n"/>
      <c r="AE160" s="1525" t="n"/>
      <c r="AF160" s="1525" t="n"/>
      <c r="AG160" s="1525" t="n"/>
      <c r="AH160" s="1525" t="n"/>
      <c r="AI160" s="1525" t="n"/>
      <c r="AJ160" s="1525" t="n"/>
      <c r="AK160" s="1525" t="n"/>
      <c r="AL160" s="1525" t="n"/>
      <c r="AM160" s="1525" t="n"/>
      <c r="AN160" s="1525" t="n"/>
      <c r="AO160" s="1525" t="n"/>
    </row>
    <row r="161" ht="12" customFormat="1" customHeight="1" s="1577">
      <c r="A161" s="1578" t="n"/>
      <c r="B161" s="1525" t="n"/>
      <c r="C161" s="1525" t="n"/>
      <c r="D161" s="1525" t="n"/>
      <c r="E161" s="1525" t="n"/>
      <c r="F161" s="1525" t="n"/>
      <c r="G161" s="1525" t="n"/>
      <c r="H161" s="1525" t="n"/>
      <c r="I161" s="1525" t="n"/>
      <c r="J161" s="1525" t="n"/>
      <c r="K161" s="1525" t="n"/>
      <c r="L161" s="1525" t="n"/>
      <c r="M161" s="1525" t="n"/>
      <c r="N161" s="1525" t="n"/>
      <c r="O161" s="1525" t="n"/>
      <c r="P161" s="1525" t="n"/>
      <c r="Q161" s="1525" t="n"/>
      <c r="R161" s="1525" t="n"/>
      <c r="S161" s="1525" t="n"/>
      <c r="T161" s="1525" t="n"/>
      <c r="U161" s="1525" t="n"/>
      <c r="V161" s="1525" t="n"/>
      <c r="W161" s="1525" t="n"/>
      <c r="X161" s="1525" t="n"/>
      <c r="Y161" s="1525" t="n"/>
      <c r="Z161" s="1525" t="n"/>
      <c r="AA161" s="1525" t="n"/>
      <c r="AB161" s="1525" t="n"/>
      <c r="AC161" s="1525" t="n"/>
      <c r="AD161" s="1525" t="n"/>
      <c r="AE161" s="1525" t="n"/>
      <c r="AF161" s="1525" t="n"/>
      <c r="AG161" s="1525" t="n"/>
      <c r="AH161" s="1525" t="n"/>
      <c r="AI161" s="1525" t="n"/>
      <c r="AJ161" s="1525" t="n"/>
      <c r="AK161" s="1525" t="n"/>
      <c r="AL161" s="1525" t="n"/>
      <c r="AM161" s="1525" t="n"/>
      <c r="AN161" s="1525" t="n"/>
      <c r="AO161" s="1525" t="n"/>
    </row>
    <row r="162" ht="12" customFormat="1" customHeight="1" s="1577">
      <c r="A162" s="1578" t="n"/>
      <c r="B162" s="1525" t="n"/>
      <c r="C162" s="1525" t="n"/>
      <c r="D162" s="1525" t="n"/>
      <c r="E162" s="1525" t="n"/>
      <c r="F162" s="1525" t="n"/>
      <c r="G162" s="1525" t="n"/>
      <c r="H162" s="1525" t="n"/>
      <c r="I162" s="1525" t="n"/>
      <c r="J162" s="1525" t="n"/>
      <c r="K162" s="1525" t="n"/>
      <c r="L162" s="1525" t="n"/>
      <c r="M162" s="1525" t="n"/>
      <c r="N162" s="1525" t="n"/>
      <c r="O162" s="1525" t="n"/>
      <c r="P162" s="1525" t="n"/>
      <c r="Q162" s="1525" t="n"/>
      <c r="R162" s="1525" t="n"/>
      <c r="S162" s="1525" t="n"/>
      <c r="T162" s="1525" t="n"/>
      <c r="U162" s="1525" t="n"/>
      <c r="V162" s="1525" t="n"/>
      <c r="W162" s="1525" t="n"/>
      <c r="X162" s="1525" t="n"/>
      <c r="Y162" s="1525" t="n"/>
      <c r="Z162" s="1525" t="n"/>
      <c r="AA162" s="1525" t="n"/>
      <c r="AB162" s="1525" t="n"/>
      <c r="AC162" s="1525" t="n"/>
      <c r="AD162" s="1525" t="n"/>
      <c r="AE162" s="1525" t="n"/>
      <c r="AF162" s="1525" t="n"/>
      <c r="AG162" s="1525" t="n"/>
      <c r="AH162" s="1525" t="n"/>
      <c r="AI162" s="1525" t="n"/>
      <c r="AJ162" s="1525" t="n"/>
      <c r="AK162" s="1525" t="n"/>
      <c r="AL162" s="1525" t="n"/>
      <c r="AM162" s="1525" t="n"/>
      <c r="AN162" s="1525" t="n"/>
      <c r="AO162" s="1525" t="n"/>
    </row>
    <row r="163" ht="12" customFormat="1" customHeight="1" s="1577">
      <c r="A163" s="1578" t="n"/>
      <c r="B163" s="1525" t="n"/>
      <c r="C163" s="1525" t="n"/>
      <c r="D163" s="1525" t="n"/>
      <c r="E163" s="1525" t="n"/>
      <c r="F163" s="1525" t="n"/>
      <c r="G163" s="1525" t="n"/>
      <c r="H163" s="1525" t="n"/>
      <c r="I163" s="1525" t="n"/>
      <c r="J163" s="1525" t="n"/>
      <c r="K163" s="1525" t="n"/>
      <c r="L163" s="1525" t="n"/>
      <c r="M163" s="1525" t="n"/>
      <c r="N163" s="1525" t="n"/>
      <c r="O163" s="1525" t="n"/>
      <c r="P163" s="1525" t="n"/>
      <c r="Q163" s="1525" t="n"/>
      <c r="R163" s="1525" t="n"/>
      <c r="S163" s="1525" t="n"/>
      <c r="T163" s="1525" t="n"/>
      <c r="U163" s="1525" t="n"/>
      <c r="V163" s="1525" t="n"/>
      <c r="W163" s="1525" t="n"/>
      <c r="X163" s="1525" t="n"/>
      <c r="Y163" s="1525" t="n"/>
      <c r="Z163" s="1525" t="n"/>
      <c r="AA163" s="1525" t="n"/>
      <c r="AB163" s="1525" t="n"/>
      <c r="AC163" s="1525" t="n"/>
      <c r="AD163" s="1525" t="n"/>
      <c r="AE163" s="1525" t="n"/>
      <c r="AF163" s="1525" t="n"/>
      <c r="AG163" s="1525" t="n"/>
      <c r="AH163" s="1525" t="n"/>
      <c r="AI163" s="1525" t="n"/>
      <c r="AJ163" s="1525" t="n"/>
      <c r="AK163" s="1525" t="n"/>
      <c r="AL163" s="1525" t="n"/>
      <c r="AM163" s="1525" t="n"/>
      <c r="AN163" s="1525" t="n"/>
      <c r="AO163" s="1525" t="n"/>
    </row>
    <row r="164" ht="12" customFormat="1" customHeight="1" s="1577">
      <c r="A164" s="1578" t="n"/>
      <c r="B164" s="1525" t="n"/>
      <c r="C164" s="1525" t="n"/>
      <c r="D164" s="1525" t="n"/>
      <c r="E164" s="1525" t="n"/>
      <c r="F164" s="1525" t="n"/>
      <c r="G164" s="1525" t="n"/>
      <c r="H164" s="1525" t="n"/>
      <c r="I164" s="1525" t="n"/>
      <c r="J164" s="1525" t="n"/>
      <c r="K164" s="1525" t="n"/>
      <c r="L164" s="1525" t="n"/>
      <c r="M164" s="1525" t="n"/>
      <c r="N164" s="1525" t="n"/>
      <c r="O164" s="1525" t="n"/>
      <c r="P164" s="1525" t="n"/>
      <c r="Q164" s="1525" t="n"/>
      <c r="R164" s="1525" t="n"/>
      <c r="S164" s="1525" t="n"/>
      <c r="T164" s="1525" t="n"/>
      <c r="U164" s="1525" t="n"/>
      <c r="V164" s="1525" t="n"/>
      <c r="W164" s="1525" t="n"/>
      <c r="X164" s="1525" t="n"/>
      <c r="Y164" s="1525" t="n"/>
      <c r="Z164" s="1525" t="n"/>
      <c r="AA164" s="1525" t="n"/>
      <c r="AB164" s="1525" t="n"/>
      <c r="AC164" s="1525" t="n"/>
      <c r="AD164" s="1525" t="n"/>
      <c r="AE164" s="1525" t="n"/>
      <c r="AF164" s="1525" t="n"/>
      <c r="AG164" s="1525" t="n"/>
      <c r="AH164" s="1525" t="n"/>
      <c r="AI164" s="1525" t="n"/>
      <c r="AJ164" s="1525" t="n"/>
      <c r="AK164" s="1525" t="n"/>
      <c r="AL164" s="1525" t="n"/>
      <c r="AM164" s="1525" t="n"/>
      <c r="AN164" s="1525" t="n"/>
      <c r="AO164" s="1525" t="n"/>
    </row>
    <row r="165" ht="12" customFormat="1" customHeight="1" s="1577">
      <c r="A165" s="1578" t="n"/>
      <c r="B165" s="1525" t="n"/>
      <c r="C165" s="1525" t="n"/>
      <c r="D165" s="1525" t="n"/>
      <c r="E165" s="1525" t="n"/>
      <c r="F165" s="1525" t="n"/>
      <c r="G165" s="1525" t="n"/>
      <c r="H165" s="1525" t="n"/>
      <c r="I165" s="1525" t="n"/>
      <c r="J165" s="1525" t="n"/>
      <c r="K165" s="1525" t="n"/>
      <c r="L165" s="1525" t="n"/>
      <c r="M165" s="1525" t="n"/>
      <c r="N165" s="1525" t="n"/>
      <c r="O165" s="1525" t="n"/>
      <c r="P165" s="1525" t="n"/>
      <c r="Q165" s="1525" t="n"/>
      <c r="R165" s="1525" t="n"/>
      <c r="S165" s="1525" t="n"/>
      <c r="T165" s="1525" t="n"/>
      <c r="U165" s="1525" t="n"/>
      <c r="V165" s="1525" t="n"/>
      <c r="W165" s="1525" t="n"/>
      <c r="X165" s="1525" t="n"/>
      <c r="Y165" s="1525" t="n"/>
      <c r="Z165" s="1525" t="n"/>
      <c r="AA165" s="1525" t="n"/>
      <c r="AB165" s="1525" t="n"/>
      <c r="AC165" s="1525" t="n"/>
      <c r="AD165" s="1525" t="n"/>
      <c r="AE165" s="1525" t="n"/>
      <c r="AF165" s="1525" t="n"/>
      <c r="AG165" s="1525" t="n"/>
      <c r="AH165" s="1525" t="n"/>
      <c r="AI165" s="1525" t="n"/>
      <c r="AJ165" s="1525" t="n"/>
      <c r="AK165" s="1525" t="n"/>
      <c r="AL165" s="1525" t="n"/>
      <c r="AM165" s="1525" t="n"/>
      <c r="AN165" s="1525" t="n"/>
      <c r="AO165" s="1525" t="n"/>
    </row>
    <row r="166" ht="12" customFormat="1" customHeight="1" s="1577">
      <c r="A166" s="1578" t="n"/>
      <c r="B166" s="1525" t="n"/>
      <c r="C166" s="1525" t="n"/>
      <c r="D166" s="1525" t="n"/>
      <c r="E166" s="1525" t="n"/>
      <c r="F166" s="1525" t="n"/>
      <c r="G166" s="1525" t="n"/>
      <c r="H166" s="1525" t="n"/>
      <c r="I166" s="1525" t="n"/>
      <c r="J166" s="1525" t="n"/>
      <c r="K166" s="1525" t="n"/>
      <c r="L166" s="1525" t="n"/>
      <c r="M166" s="1525" t="n"/>
      <c r="N166" s="1525" t="n"/>
      <c r="O166" s="1525" t="n"/>
      <c r="P166" s="1525" t="n"/>
      <c r="Q166" s="1525" t="n"/>
      <c r="R166" s="1525" t="n"/>
      <c r="S166" s="1525" t="n"/>
      <c r="T166" s="1525" t="n"/>
      <c r="U166" s="1525" t="n"/>
      <c r="V166" s="1525" t="n"/>
      <c r="W166" s="1525" t="n"/>
      <c r="X166" s="1525" t="n"/>
      <c r="Y166" s="1525" t="n"/>
      <c r="Z166" s="1525" t="n"/>
      <c r="AA166" s="1525" t="n"/>
      <c r="AB166" s="1525" t="n"/>
      <c r="AC166" s="1525" t="n"/>
      <c r="AD166" s="1525" t="n"/>
      <c r="AE166" s="1525" t="n"/>
      <c r="AF166" s="1525" t="n"/>
      <c r="AG166" s="1525" t="n"/>
      <c r="AH166" s="1525" t="n"/>
      <c r="AI166" s="1525" t="n"/>
      <c r="AJ166" s="1525" t="n"/>
      <c r="AK166" s="1525" t="n"/>
      <c r="AL166" s="1525" t="n"/>
      <c r="AM166" s="1525" t="n"/>
      <c r="AN166" s="1525" t="n"/>
      <c r="AO166" s="1525" t="n"/>
    </row>
    <row r="167" ht="12" customFormat="1" customHeight="1" s="1577">
      <c r="A167" s="1578" t="n"/>
      <c r="B167" s="1525" t="n"/>
      <c r="C167" s="1525" t="n"/>
      <c r="D167" s="1525" t="n"/>
      <c r="E167" s="1525" t="n"/>
      <c r="F167" s="1525" t="n"/>
      <c r="G167" s="1525" t="n"/>
      <c r="H167" s="1525" t="n"/>
      <c r="I167" s="1525" t="n"/>
      <c r="J167" s="1525" t="n"/>
      <c r="K167" s="1525" t="n"/>
      <c r="L167" s="1525" t="n"/>
      <c r="M167" s="1525" t="n"/>
      <c r="N167" s="1525" t="n"/>
      <c r="O167" s="1525" t="n"/>
      <c r="P167" s="1525" t="n"/>
      <c r="Q167" s="1525" t="n"/>
      <c r="R167" s="1525" t="n"/>
      <c r="S167" s="1525" t="n"/>
      <c r="T167" s="1525" t="n"/>
      <c r="U167" s="1525" t="n"/>
      <c r="V167" s="1525" t="n"/>
      <c r="W167" s="1525" t="n"/>
      <c r="X167" s="1525" t="n"/>
      <c r="Y167" s="1525" t="n"/>
      <c r="Z167" s="1525" t="n"/>
      <c r="AA167" s="1525" t="n"/>
      <c r="AB167" s="1525" t="n"/>
      <c r="AC167" s="1525" t="n"/>
      <c r="AD167" s="1525" t="n"/>
      <c r="AE167" s="1525" t="n"/>
      <c r="AF167" s="1525" t="n"/>
      <c r="AG167" s="1525" t="n"/>
      <c r="AH167" s="1525" t="n"/>
      <c r="AI167" s="1525" t="n"/>
      <c r="AJ167" s="1525" t="n"/>
      <c r="AK167" s="1525" t="n"/>
      <c r="AL167" s="1525" t="n"/>
      <c r="AM167" s="1525" t="n"/>
      <c r="AN167" s="1525" t="n"/>
      <c r="AO167" s="1525" t="n"/>
    </row>
    <row r="168" ht="12" customFormat="1" customHeight="1" s="1577">
      <c r="A168" s="1578" t="n"/>
      <c r="B168" s="1525" t="n"/>
      <c r="C168" s="1525" t="n"/>
      <c r="D168" s="1525" t="n"/>
      <c r="E168" s="1525" t="n"/>
      <c r="F168" s="1525" t="n"/>
      <c r="G168" s="1525" t="n"/>
      <c r="H168" s="1525" t="n"/>
      <c r="I168" s="1525" t="n"/>
      <c r="J168" s="1525" t="n"/>
      <c r="K168" s="1525" t="n"/>
      <c r="L168" s="1525" t="n"/>
      <c r="M168" s="1525" t="n"/>
      <c r="N168" s="1525" t="n"/>
      <c r="O168" s="1525" t="n"/>
      <c r="P168" s="1525" t="n"/>
      <c r="Q168" s="1525" t="n"/>
      <c r="R168" s="1525" t="n"/>
      <c r="S168" s="1525" t="n"/>
      <c r="T168" s="1525" t="n"/>
      <c r="U168" s="1525" t="n"/>
      <c r="V168" s="1525" t="n"/>
      <c r="W168" s="1525" t="n"/>
      <c r="X168" s="1525" t="n"/>
      <c r="Y168" s="1525" t="n"/>
      <c r="Z168" s="1525" t="n"/>
      <c r="AA168" s="1525" t="n"/>
      <c r="AB168" s="1525" t="n"/>
      <c r="AC168" s="1525" t="n"/>
      <c r="AD168" s="1525" t="n"/>
      <c r="AE168" s="1525" t="n"/>
      <c r="AF168" s="1525" t="n"/>
      <c r="AG168" s="1525" t="n"/>
      <c r="AH168" s="1525" t="n"/>
      <c r="AI168" s="1525" t="n"/>
      <c r="AJ168" s="1525" t="n"/>
      <c r="AK168" s="1525" t="n"/>
      <c r="AL168" s="1525" t="n"/>
      <c r="AM168" s="1525" t="n"/>
      <c r="AN168" s="1525" t="n"/>
      <c r="AO168" s="1525" t="n"/>
    </row>
    <row r="169" ht="12" customFormat="1" customHeight="1" s="1577">
      <c r="A169" s="1578" t="n"/>
      <c r="B169" s="1525" t="n"/>
      <c r="C169" s="1525" t="n"/>
      <c r="D169" s="1525" t="n"/>
      <c r="E169" s="1525" t="n"/>
      <c r="F169" s="1525" t="n"/>
      <c r="G169" s="1525" t="n"/>
      <c r="H169" s="1525" t="n"/>
      <c r="I169" s="1525" t="n"/>
      <c r="J169" s="1525" t="n"/>
      <c r="K169" s="1525" t="n"/>
      <c r="L169" s="1525" t="n"/>
      <c r="M169" s="1525" t="n"/>
      <c r="N169" s="1525" t="n"/>
      <c r="O169" s="1525" t="n"/>
      <c r="P169" s="1525" t="n"/>
      <c r="Q169" s="1525" t="n"/>
      <c r="R169" s="1525" t="n"/>
      <c r="S169" s="1525" t="n"/>
      <c r="T169" s="1525" t="n"/>
      <c r="U169" s="1525" t="n"/>
      <c r="V169" s="1525" t="n"/>
      <c r="W169" s="1525" t="n"/>
      <c r="X169" s="1525" t="n"/>
      <c r="Y169" s="1525" t="n"/>
      <c r="Z169" s="1525" t="n"/>
      <c r="AA169" s="1525" t="n"/>
      <c r="AB169" s="1525" t="n"/>
      <c r="AC169" s="1525" t="n"/>
      <c r="AD169" s="1525" t="n"/>
      <c r="AE169" s="1525" t="n"/>
      <c r="AF169" s="1525" t="n"/>
      <c r="AG169" s="1525" t="n"/>
      <c r="AH169" s="1525" t="n"/>
      <c r="AI169" s="1525" t="n"/>
      <c r="AJ169" s="1525" t="n"/>
      <c r="AK169" s="1525" t="n"/>
      <c r="AL169" s="1525" t="n"/>
      <c r="AM169" s="1525" t="n"/>
      <c r="AN169" s="1525" t="n"/>
      <c r="AO169" s="1525" t="n"/>
    </row>
    <row r="170" ht="12" customFormat="1" customHeight="1" s="1577">
      <c r="A170" s="1578" t="n"/>
      <c r="B170" s="1525" t="n"/>
      <c r="C170" s="1525" t="n"/>
      <c r="D170" s="1525" t="n"/>
      <c r="E170" s="1525" t="n"/>
      <c r="F170" s="1525" t="n"/>
      <c r="G170" s="1525" t="n"/>
      <c r="H170" s="1525" t="n"/>
      <c r="I170" s="1525" t="n"/>
      <c r="J170" s="1525" t="n"/>
      <c r="K170" s="1525" t="n"/>
      <c r="L170" s="1525" t="n"/>
      <c r="M170" s="1525" t="n"/>
      <c r="N170" s="1525" t="n"/>
      <c r="O170" s="1525" t="n"/>
      <c r="P170" s="1525" t="n"/>
      <c r="Q170" s="1525" t="n"/>
      <c r="R170" s="1525" t="n"/>
      <c r="S170" s="1525" t="n"/>
      <c r="T170" s="1525" t="n"/>
      <c r="U170" s="1525" t="n"/>
      <c r="V170" s="1525" t="n"/>
      <c r="W170" s="1525" t="n"/>
      <c r="X170" s="1525" t="n"/>
      <c r="Y170" s="1525" t="n"/>
      <c r="Z170" s="1525" t="n"/>
      <c r="AA170" s="1525" t="n"/>
      <c r="AB170" s="1525" t="n"/>
      <c r="AC170" s="1525" t="n"/>
      <c r="AD170" s="1525" t="n"/>
      <c r="AE170" s="1525" t="n"/>
      <c r="AF170" s="1525" t="n"/>
      <c r="AG170" s="1525" t="n"/>
      <c r="AH170" s="1525" t="n"/>
      <c r="AI170" s="1525" t="n"/>
      <c r="AJ170" s="1525" t="n"/>
      <c r="AK170" s="1525" t="n"/>
      <c r="AL170" s="1525" t="n"/>
      <c r="AM170" s="1525" t="n"/>
      <c r="AN170" s="1525" t="n"/>
      <c r="AO170" s="1525" t="n"/>
    </row>
    <row r="171" ht="12" customFormat="1" customHeight="1" s="1577">
      <c r="A171" s="1578" t="n"/>
      <c r="B171" s="1525" t="n"/>
      <c r="C171" s="1525" t="n"/>
      <c r="D171" s="1525" t="n"/>
      <c r="E171" s="1525" t="n"/>
      <c r="F171" s="1525" t="n"/>
      <c r="G171" s="1525" t="n"/>
      <c r="H171" s="1525" t="n"/>
      <c r="I171" s="1525" t="n"/>
      <c r="J171" s="1525" t="n"/>
      <c r="K171" s="1525" t="n"/>
      <c r="L171" s="1525" t="n"/>
      <c r="M171" s="1525" t="n"/>
      <c r="N171" s="1525" t="n"/>
      <c r="O171" s="1525" t="n"/>
      <c r="P171" s="1525" t="n"/>
      <c r="Q171" s="1525" t="n"/>
      <c r="R171" s="1525" t="n"/>
      <c r="S171" s="1525" t="n"/>
      <c r="T171" s="1525" t="n"/>
      <c r="U171" s="1525" t="n"/>
      <c r="V171" s="1525" t="n"/>
      <c r="W171" s="1525" t="n"/>
      <c r="X171" s="1525" t="n"/>
      <c r="Y171" s="1525" t="n"/>
      <c r="Z171" s="1525" t="n"/>
      <c r="AA171" s="1525" t="n"/>
      <c r="AB171" s="1525" t="n"/>
      <c r="AC171" s="1525" t="n"/>
      <c r="AD171" s="1525" t="n"/>
      <c r="AE171" s="1525" t="n"/>
      <c r="AF171" s="1525" t="n"/>
      <c r="AG171" s="1525" t="n"/>
      <c r="AH171" s="1525" t="n"/>
      <c r="AI171" s="1525" t="n"/>
      <c r="AJ171" s="1525" t="n"/>
      <c r="AK171" s="1525" t="n"/>
      <c r="AL171" s="1525" t="n"/>
      <c r="AM171" s="1525" t="n"/>
      <c r="AN171" s="1525" t="n"/>
      <c r="AO171" s="1525" t="n"/>
    </row>
    <row r="172" ht="12" customFormat="1" customHeight="1" s="1577">
      <c r="A172" s="1578" t="n"/>
      <c r="B172" s="1525" t="n"/>
      <c r="C172" s="1525" t="n"/>
      <c r="D172" s="1525" t="n"/>
      <c r="E172" s="1525" t="n"/>
      <c r="F172" s="1525" t="n"/>
      <c r="G172" s="1525" t="n"/>
      <c r="H172" s="1525" t="n"/>
      <c r="I172" s="1525" t="n"/>
      <c r="J172" s="1525" t="n"/>
      <c r="K172" s="1525" t="n"/>
      <c r="L172" s="1525" t="n"/>
      <c r="M172" s="1525" t="n"/>
      <c r="N172" s="1525" t="n"/>
      <c r="O172" s="1525" t="n"/>
      <c r="P172" s="1525" t="n"/>
      <c r="Q172" s="1525" t="n"/>
      <c r="R172" s="1525" t="n"/>
      <c r="S172" s="1525" t="n"/>
      <c r="T172" s="1525" t="n"/>
      <c r="U172" s="1525" t="n"/>
      <c r="V172" s="1525" t="n"/>
      <c r="W172" s="1525" t="n"/>
      <c r="X172" s="1525" t="n"/>
      <c r="Y172" s="1525" t="n"/>
      <c r="Z172" s="1525" t="n"/>
      <c r="AA172" s="1525" t="n"/>
      <c r="AB172" s="1525" t="n"/>
      <c r="AC172" s="1525" t="n"/>
      <c r="AD172" s="1525" t="n"/>
      <c r="AE172" s="1525" t="n"/>
      <c r="AF172" s="1525" t="n"/>
      <c r="AG172" s="1525" t="n"/>
      <c r="AH172" s="1525" t="n"/>
      <c r="AI172" s="1525" t="n"/>
      <c r="AJ172" s="1525" t="n"/>
      <c r="AK172" s="1525" t="n"/>
      <c r="AL172" s="1525" t="n"/>
      <c r="AM172" s="1525" t="n"/>
      <c r="AN172" s="1525" t="n"/>
      <c r="AO172" s="1525" t="n"/>
    </row>
    <row r="173" ht="12" customFormat="1" customHeight="1" s="1577">
      <c r="A173" s="1578" t="n"/>
      <c r="B173" s="1525" t="n"/>
      <c r="C173" s="1525" t="n"/>
      <c r="D173" s="1525" t="n"/>
      <c r="E173" s="1525" t="n"/>
      <c r="F173" s="1525" t="n"/>
      <c r="G173" s="1525" t="n"/>
      <c r="H173" s="1525" t="n"/>
      <c r="I173" s="1525" t="n"/>
      <c r="J173" s="1525" t="n"/>
      <c r="K173" s="1525" t="n"/>
      <c r="L173" s="1525" t="n"/>
      <c r="M173" s="1525" t="n"/>
      <c r="N173" s="1525" t="n"/>
      <c r="O173" s="1525" t="n"/>
      <c r="P173" s="1525" t="n"/>
      <c r="Q173" s="1525" t="n"/>
      <c r="R173" s="1525" t="n"/>
      <c r="S173" s="1525" t="n"/>
      <c r="T173" s="1525" t="n"/>
      <c r="U173" s="1525" t="n"/>
      <c r="V173" s="1525" t="n"/>
      <c r="W173" s="1525" t="n"/>
      <c r="X173" s="1525" t="n"/>
      <c r="Y173" s="1525" t="n"/>
      <c r="Z173" s="1525" t="n"/>
      <c r="AA173" s="1525" t="n"/>
      <c r="AB173" s="1525" t="n"/>
      <c r="AC173" s="1525" t="n"/>
      <c r="AD173" s="1525" t="n"/>
      <c r="AE173" s="1525" t="n"/>
      <c r="AF173" s="1525" t="n"/>
      <c r="AG173" s="1525" t="n"/>
      <c r="AH173" s="1525" t="n"/>
      <c r="AI173" s="1525" t="n"/>
      <c r="AJ173" s="1525" t="n"/>
      <c r="AK173" s="1525" t="n"/>
      <c r="AL173" s="1525" t="n"/>
      <c r="AM173" s="1525" t="n"/>
      <c r="AN173" s="1525" t="n"/>
      <c r="AO173" s="1525" t="n"/>
    </row>
    <row r="174" ht="12" customFormat="1" customHeight="1" s="1577">
      <c r="A174" s="1578" t="n"/>
      <c r="B174" s="1525" t="n"/>
      <c r="C174" s="1525" t="n"/>
      <c r="D174" s="1525" t="n"/>
      <c r="E174" s="1525" t="n"/>
      <c r="F174" s="1525" t="n"/>
      <c r="G174" s="1525" t="n"/>
      <c r="H174" s="1525" t="n"/>
      <c r="I174" s="1525" t="n"/>
      <c r="J174" s="1525" t="n"/>
      <c r="K174" s="1525" t="n"/>
      <c r="L174" s="1525" t="n"/>
      <c r="M174" s="1525" t="n"/>
      <c r="N174" s="1525" t="n"/>
      <c r="O174" s="1525" t="n"/>
      <c r="P174" s="1525" t="n"/>
      <c r="Q174" s="1525" t="n"/>
      <c r="R174" s="1525" t="n"/>
      <c r="S174" s="1525" t="n"/>
      <c r="T174" s="1525" t="n"/>
      <c r="U174" s="1525" t="n"/>
      <c r="V174" s="1525" t="n"/>
      <c r="W174" s="1525" t="n"/>
      <c r="X174" s="1525" t="n"/>
      <c r="Y174" s="1525" t="n"/>
      <c r="Z174" s="1525" t="n"/>
      <c r="AA174" s="1525" t="n"/>
      <c r="AB174" s="1525" t="n"/>
      <c r="AC174" s="1525" t="n"/>
      <c r="AD174" s="1525" t="n"/>
      <c r="AE174" s="1525" t="n"/>
      <c r="AF174" s="1525" t="n"/>
      <c r="AG174" s="1525" t="n"/>
      <c r="AH174" s="1525" t="n"/>
      <c r="AI174" s="1525" t="n"/>
      <c r="AJ174" s="1525" t="n"/>
      <c r="AK174" s="1525" t="n"/>
      <c r="AL174" s="1525" t="n"/>
      <c r="AM174" s="1525" t="n"/>
      <c r="AN174" s="1525" t="n"/>
      <c r="AO174" s="1525" t="n"/>
    </row>
    <row r="175" ht="12" customFormat="1" customHeight="1" s="1577">
      <c r="A175" s="1578" t="n"/>
      <c r="B175" s="1525" t="n"/>
      <c r="C175" s="1525" t="n"/>
      <c r="D175" s="1525" t="n"/>
      <c r="E175" s="1525" t="n"/>
      <c r="F175" s="1525" t="n"/>
      <c r="G175" s="1525" t="n"/>
      <c r="H175" s="1525" t="n"/>
      <c r="I175" s="1525" t="n"/>
      <c r="J175" s="1525" t="n"/>
      <c r="K175" s="1525" t="n"/>
      <c r="L175" s="1525" t="n"/>
      <c r="M175" s="1525" t="n"/>
      <c r="N175" s="1525" t="n"/>
      <c r="O175" s="1525" t="n"/>
      <c r="P175" s="1525" t="n"/>
      <c r="Q175" s="1525" t="n"/>
      <c r="R175" s="1525" t="n"/>
      <c r="S175" s="1525" t="n"/>
      <c r="T175" s="1525" t="n"/>
      <c r="U175" s="1525" t="n"/>
      <c r="V175" s="1525" t="n"/>
      <c r="W175" s="1525" t="n"/>
      <c r="X175" s="1525" t="n"/>
      <c r="Y175" s="1525" t="n"/>
      <c r="Z175" s="1525" t="n"/>
      <c r="AA175" s="1525" t="n"/>
      <c r="AB175" s="1525" t="n"/>
      <c r="AC175" s="1525" t="n"/>
      <c r="AD175" s="1525" t="n"/>
      <c r="AE175" s="1525" t="n"/>
      <c r="AF175" s="1525" t="n"/>
      <c r="AG175" s="1525" t="n"/>
      <c r="AH175" s="1525" t="n"/>
      <c r="AI175" s="1525" t="n"/>
      <c r="AJ175" s="1525" t="n"/>
      <c r="AK175" s="1525" t="n"/>
      <c r="AL175" s="1525" t="n"/>
      <c r="AM175" s="1525" t="n"/>
      <c r="AN175" s="1525" t="n"/>
      <c r="AO175" s="1525" t="n"/>
    </row>
    <row r="176" ht="12" customFormat="1" customHeight="1" s="1577">
      <c r="A176" s="1578" t="n"/>
      <c r="B176" s="1525" t="n"/>
      <c r="C176" s="1525" t="n"/>
      <c r="D176" s="1525" t="n"/>
      <c r="E176" s="1525" t="n"/>
      <c r="F176" s="1525" t="n"/>
      <c r="G176" s="1525" t="n"/>
      <c r="H176" s="1525" t="n"/>
      <c r="I176" s="1525" t="n"/>
      <c r="J176" s="1525" t="n"/>
      <c r="K176" s="1525" t="n"/>
      <c r="L176" s="1525" t="n"/>
      <c r="M176" s="1525" t="n"/>
      <c r="N176" s="1525" t="n"/>
      <c r="O176" s="1525" t="n"/>
      <c r="P176" s="1525" t="n"/>
      <c r="Q176" s="1525" t="n"/>
      <c r="R176" s="1525" t="n"/>
      <c r="S176" s="1525" t="n"/>
      <c r="T176" s="1525" t="n"/>
      <c r="U176" s="1525" t="n"/>
      <c r="V176" s="1525" t="n"/>
      <c r="W176" s="1525" t="n"/>
      <c r="X176" s="1525" t="n"/>
      <c r="Y176" s="1525" t="n"/>
      <c r="Z176" s="1525" t="n"/>
      <c r="AA176" s="1525" t="n"/>
      <c r="AB176" s="1525" t="n"/>
      <c r="AC176" s="1525" t="n"/>
      <c r="AD176" s="1525" t="n"/>
      <c r="AE176" s="1525" t="n"/>
      <c r="AF176" s="1525" t="n"/>
      <c r="AG176" s="1525" t="n"/>
      <c r="AH176" s="1525" t="n"/>
      <c r="AI176" s="1525" t="n"/>
      <c r="AJ176" s="1525" t="n"/>
      <c r="AK176" s="1525" t="n"/>
      <c r="AL176" s="1525" t="n"/>
      <c r="AM176" s="1525" t="n"/>
      <c r="AN176" s="1525" t="n"/>
      <c r="AO176" s="1525" t="n"/>
    </row>
    <row r="177" ht="12" customFormat="1" customHeight="1" s="1577">
      <c r="A177" s="1578" t="n"/>
      <c r="B177" s="1525" t="n"/>
      <c r="C177" s="1525" t="n"/>
      <c r="D177" s="1525" t="n"/>
      <c r="E177" s="1525" t="n"/>
      <c r="F177" s="1525" t="n"/>
      <c r="G177" s="1525" t="n"/>
      <c r="H177" s="1525" t="n"/>
      <c r="I177" s="1525" t="n"/>
      <c r="J177" s="1525" t="n"/>
      <c r="K177" s="1525" t="n"/>
      <c r="L177" s="1525" t="n"/>
      <c r="M177" s="1525" t="n"/>
      <c r="N177" s="1525" t="n"/>
      <c r="O177" s="1525" t="n"/>
      <c r="P177" s="1525" t="n"/>
      <c r="Q177" s="1525" t="n"/>
      <c r="R177" s="1525" t="n"/>
      <c r="S177" s="1525" t="n"/>
      <c r="T177" s="1525" t="n"/>
      <c r="U177" s="1525" t="n"/>
      <c r="V177" s="1525" t="n"/>
      <c r="W177" s="1525" t="n"/>
      <c r="X177" s="1525" t="n"/>
      <c r="Y177" s="1525" t="n"/>
      <c r="Z177" s="1525" t="n"/>
      <c r="AA177" s="1525" t="n"/>
      <c r="AB177" s="1525" t="n"/>
      <c r="AC177" s="1525" t="n"/>
      <c r="AD177" s="1525" t="n"/>
      <c r="AE177" s="1525" t="n"/>
      <c r="AF177" s="1525" t="n"/>
      <c r="AG177" s="1525" t="n"/>
      <c r="AH177" s="1525" t="n"/>
      <c r="AI177" s="1525" t="n"/>
      <c r="AJ177" s="1525" t="n"/>
      <c r="AK177" s="1525" t="n"/>
      <c r="AL177" s="1525" t="n"/>
      <c r="AM177" s="1525" t="n"/>
      <c r="AN177" s="1525" t="n"/>
      <c r="AO177" s="1525" t="n"/>
    </row>
    <row r="178" ht="12" customFormat="1" customHeight="1" s="1577">
      <c r="A178" s="1578" t="n"/>
      <c r="B178" s="1525" t="n"/>
      <c r="C178" s="1525" t="n"/>
      <c r="D178" s="1525" t="n"/>
      <c r="E178" s="1525" t="n"/>
      <c r="F178" s="1525" t="n"/>
      <c r="G178" s="1525" t="n"/>
      <c r="H178" s="1525" t="n"/>
      <c r="I178" s="1525" t="n"/>
      <c r="J178" s="1525" t="n"/>
      <c r="K178" s="1525" t="n"/>
      <c r="L178" s="1525" t="n"/>
      <c r="M178" s="1525" t="n"/>
      <c r="N178" s="1525" t="n"/>
      <c r="O178" s="1525" t="n"/>
      <c r="P178" s="1525" t="n"/>
      <c r="Q178" s="1525" t="n"/>
      <c r="R178" s="1525" t="n"/>
      <c r="S178" s="1525" t="n"/>
      <c r="T178" s="1525" t="n"/>
      <c r="U178" s="1525" t="n"/>
      <c r="V178" s="1525" t="n"/>
      <c r="W178" s="1525" t="n"/>
      <c r="X178" s="1525" t="n"/>
      <c r="Y178" s="1525" t="n"/>
      <c r="Z178" s="1525" t="n"/>
      <c r="AA178" s="1525" t="n"/>
      <c r="AB178" s="1525" t="n"/>
      <c r="AC178" s="1525" t="n"/>
      <c r="AD178" s="1525" t="n"/>
      <c r="AE178" s="1525" t="n"/>
      <c r="AF178" s="1525" t="n"/>
      <c r="AG178" s="1525" t="n"/>
      <c r="AH178" s="1525" t="n"/>
      <c r="AI178" s="1525" t="n"/>
      <c r="AJ178" s="1525" t="n"/>
      <c r="AK178" s="1525" t="n"/>
      <c r="AL178" s="1525" t="n"/>
      <c r="AM178" s="1525" t="n"/>
      <c r="AN178" s="1525" t="n"/>
      <c r="AO178" s="1525" t="n"/>
    </row>
    <row r="179" ht="20.25" customFormat="1" customHeight="1" s="1577">
      <c r="A179" s="1578" t="n"/>
      <c r="B179" s="1525" t="n"/>
      <c r="C179" s="1525" t="n"/>
      <c r="D179" s="1525" t="n"/>
      <c r="E179" s="1525" t="n"/>
      <c r="F179" s="1525" t="n"/>
      <c r="G179" s="1525" t="n"/>
      <c r="H179" s="1525" t="n"/>
      <c r="I179" s="1525" t="n"/>
      <c r="J179" s="1525" t="n"/>
      <c r="K179" s="1525" t="n"/>
      <c r="L179" s="1525" t="n"/>
      <c r="M179" s="1525" t="n"/>
      <c r="N179" s="1525" t="n"/>
      <c r="O179" s="1525" t="n"/>
      <c r="P179" s="1525" t="n"/>
      <c r="Q179" s="1525" t="n"/>
      <c r="R179" s="1525" t="n"/>
      <c r="S179" s="1525" t="n"/>
      <c r="T179" s="1525" t="n"/>
      <c r="U179" s="1525" t="n"/>
      <c r="V179" s="1525" t="n"/>
      <c r="W179" s="1525" t="n"/>
      <c r="X179" s="1525" t="n"/>
      <c r="Y179" s="1525" t="n"/>
      <c r="Z179" s="1525" t="n"/>
      <c r="AA179" s="1525" t="n"/>
      <c r="AB179" s="1525" t="n"/>
      <c r="AC179" s="1525" t="n"/>
      <c r="AD179" s="1525" t="n"/>
      <c r="AE179" s="1525" t="n"/>
      <c r="AF179" s="1525" t="n"/>
      <c r="AG179" s="1525" t="n"/>
      <c r="AH179" s="1525" t="n"/>
      <c r="AI179" s="1525" t="n"/>
      <c r="AJ179" s="1525" t="n"/>
      <c r="AK179" s="1525" t="n"/>
      <c r="AL179" s="1525" t="n"/>
      <c r="AM179" s="1525" t="n"/>
      <c r="AN179" s="1525" t="n"/>
      <c r="AO179" s="1525" t="n"/>
    </row>
    <row r="180" ht="12" customFormat="1" customHeight="1" s="1577">
      <c r="A180" s="1578" t="n"/>
      <c r="B180" s="1525" t="n"/>
      <c r="C180" s="1525" t="n"/>
      <c r="D180" s="1525" t="n"/>
      <c r="E180" s="1525" t="n"/>
      <c r="F180" s="1525" t="n"/>
      <c r="G180" s="1525" t="n"/>
      <c r="H180" s="1525" t="n"/>
      <c r="I180" s="1525" t="n"/>
      <c r="J180" s="1525" t="n"/>
      <c r="K180" s="1525" t="n"/>
      <c r="L180" s="1525" t="n"/>
      <c r="M180" s="1525" t="n"/>
      <c r="N180" s="1525" t="n"/>
      <c r="O180" s="1525" t="n"/>
      <c r="P180" s="1525" t="n"/>
      <c r="Q180" s="1525" t="n"/>
      <c r="R180" s="1525" t="n"/>
      <c r="S180" s="1525" t="n"/>
      <c r="T180" s="1525" t="n"/>
      <c r="U180" s="1525" t="n"/>
      <c r="V180" s="1525" t="n"/>
      <c r="W180" s="1525" t="n"/>
      <c r="X180" s="1525" t="n"/>
      <c r="Y180" s="1525" t="n"/>
      <c r="Z180" s="1525" t="n"/>
      <c r="AA180" s="1525" t="n"/>
      <c r="AB180" s="1525" t="n"/>
      <c r="AC180" s="1525" t="n"/>
      <c r="AD180" s="1525" t="n"/>
      <c r="AE180" s="1525" t="n"/>
      <c r="AF180" s="1525" t="n"/>
      <c r="AG180" s="1525" t="n"/>
      <c r="AH180" s="1525" t="n"/>
      <c r="AI180" s="1525" t="n"/>
      <c r="AJ180" s="1525" t="n"/>
      <c r="AK180" s="1525" t="n"/>
      <c r="AL180" s="1525" t="n"/>
      <c r="AM180" s="1525" t="n"/>
      <c r="AN180" s="1525" t="n"/>
      <c r="AO180" s="1525" t="n"/>
    </row>
    <row r="181" ht="12" customFormat="1" customHeight="1" s="1577">
      <c r="A181" s="1578" t="n"/>
      <c r="B181" s="1525" t="n"/>
      <c r="C181" s="1525" t="n"/>
      <c r="D181" s="1525" t="n"/>
      <c r="E181" s="1525" t="n"/>
      <c r="F181" s="1525" t="n"/>
      <c r="G181" s="1525" t="n"/>
      <c r="H181" s="1525" t="n"/>
      <c r="I181" s="1525" t="n"/>
      <c r="J181" s="1525" t="n"/>
      <c r="K181" s="1525" t="n"/>
      <c r="L181" s="1525" t="n"/>
      <c r="M181" s="1525" t="n"/>
      <c r="N181" s="1525" t="n"/>
      <c r="O181" s="1525" t="n"/>
      <c r="P181" s="1525" t="n"/>
      <c r="Q181" s="1525" t="n"/>
      <c r="R181" s="1525" t="n"/>
      <c r="S181" s="1525" t="n"/>
      <c r="T181" s="1525" t="n"/>
      <c r="U181" s="1525" t="n"/>
      <c r="V181" s="1525" t="n"/>
      <c r="W181" s="1525" t="n"/>
      <c r="X181" s="1525" t="n"/>
      <c r="Y181" s="1525" t="n"/>
      <c r="Z181" s="1525" t="n"/>
      <c r="AA181" s="1525" t="n"/>
      <c r="AB181" s="1525" t="n"/>
      <c r="AC181" s="1525" t="n"/>
      <c r="AD181" s="1525" t="n"/>
      <c r="AE181" s="1525" t="n"/>
      <c r="AF181" s="1525" t="n"/>
      <c r="AG181" s="1525" t="n"/>
      <c r="AH181" s="1525" t="n"/>
      <c r="AI181" s="1525" t="n"/>
      <c r="AJ181" s="1525" t="n"/>
      <c r="AK181" s="1525" t="n"/>
      <c r="AL181" s="1525" t="n"/>
      <c r="AM181" s="1525" t="n"/>
      <c r="AN181" s="1525" t="n"/>
      <c r="AO181" s="1525" t="n"/>
    </row>
    <row r="182" ht="12" customFormat="1" customHeight="1" s="1577">
      <c r="A182" s="1578" t="n"/>
      <c r="B182" s="1525" t="n"/>
      <c r="C182" s="1525" t="n"/>
      <c r="D182" s="1525" t="n"/>
      <c r="E182" s="1525" t="n"/>
      <c r="F182" s="1525" t="n"/>
      <c r="G182" s="1525" t="n"/>
      <c r="H182" s="1525" t="n"/>
      <c r="I182" s="1525" t="n"/>
      <c r="J182" s="1525" t="n"/>
      <c r="K182" s="1525" t="n"/>
      <c r="L182" s="1525" t="n"/>
      <c r="M182" s="1525" t="n"/>
      <c r="N182" s="1525" t="n"/>
      <c r="O182" s="1525" t="n"/>
      <c r="P182" s="1525" t="n"/>
      <c r="Q182" s="1525" t="n"/>
      <c r="R182" s="1525" t="n"/>
      <c r="S182" s="1525" t="n"/>
      <c r="T182" s="1525" t="n"/>
      <c r="U182" s="1525" t="n"/>
      <c r="V182" s="1525" t="n"/>
      <c r="W182" s="1525" t="n"/>
      <c r="X182" s="1525" t="n"/>
      <c r="Y182" s="1525" t="n"/>
      <c r="Z182" s="1525" t="n"/>
      <c r="AA182" s="1525" t="n"/>
      <c r="AB182" s="1525" t="n"/>
      <c r="AC182" s="1525" t="n"/>
      <c r="AD182" s="1525" t="n"/>
      <c r="AE182" s="1525" t="n"/>
      <c r="AF182" s="1525" t="n"/>
      <c r="AG182" s="1525" t="n"/>
      <c r="AH182" s="1525" t="n"/>
      <c r="AI182" s="1525" t="n"/>
      <c r="AJ182" s="1525" t="n"/>
      <c r="AK182" s="1525" t="n"/>
      <c r="AL182" s="1525" t="n"/>
      <c r="AM182" s="1525" t="n"/>
      <c r="AN182" s="1525" t="n"/>
      <c r="AO182" s="1525" t="n"/>
    </row>
    <row r="183" ht="12" customFormat="1" customHeight="1" s="1577">
      <c r="A183" s="1578" t="n"/>
      <c r="B183" s="1525" t="n"/>
      <c r="C183" s="1525" t="n"/>
      <c r="D183" s="1525" t="n"/>
      <c r="E183" s="1525" t="n"/>
      <c r="F183" s="1525" t="n"/>
      <c r="G183" s="1525" t="n"/>
      <c r="H183" s="1525" t="n"/>
      <c r="I183" s="1525" t="n"/>
      <c r="J183" s="1525" t="n"/>
      <c r="K183" s="1525" t="n"/>
      <c r="L183" s="1525" t="n"/>
      <c r="M183" s="1525" t="n"/>
      <c r="N183" s="1525" t="n"/>
      <c r="O183" s="1525" t="n"/>
      <c r="P183" s="1525" t="n"/>
      <c r="Q183" s="1525" t="n"/>
      <c r="R183" s="1525" t="n"/>
      <c r="S183" s="1525" t="n"/>
      <c r="T183" s="1525" t="n"/>
      <c r="U183" s="1525" t="n"/>
      <c r="V183" s="1525" t="n"/>
      <c r="W183" s="1525" t="n"/>
      <c r="X183" s="1525" t="n"/>
      <c r="Y183" s="1525" t="n"/>
      <c r="Z183" s="1525" t="n"/>
      <c r="AA183" s="1525" t="n"/>
      <c r="AB183" s="1525" t="n"/>
      <c r="AC183" s="1525" t="n"/>
      <c r="AD183" s="1525" t="n"/>
      <c r="AE183" s="1525" t="n"/>
      <c r="AF183" s="1525" t="n"/>
      <c r="AG183" s="1525" t="n"/>
      <c r="AH183" s="1525" t="n"/>
      <c r="AI183" s="1525" t="n"/>
      <c r="AJ183" s="1525" t="n"/>
      <c r="AK183" s="1525" t="n"/>
      <c r="AL183" s="1525" t="n"/>
      <c r="AM183" s="1525" t="n"/>
      <c r="AN183" s="1525" t="n"/>
      <c r="AO183" s="1525" t="n"/>
    </row>
    <row r="184" ht="12" customFormat="1" customHeight="1" s="1577">
      <c r="A184" s="1578" t="n"/>
      <c r="B184" s="1525" t="n"/>
      <c r="C184" s="1525" t="n"/>
      <c r="D184" s="1525" t="n"/>
      <c r="E184" s="1525" t="n"/>
      <c r="F184" s="1525" t="n"/>
      <c r="G184" s="1525" t="n"/>
      <c r="H184" s="1525" t="n"/>
      <c r="I184" s="1525" t="n"/>
      <c r="J184" s="1525" t="n"/>
      <c r="K184" s="1525" t="n"/>
      <c r="L184" s="1525" t="n"/>
      <c r="M184" s="1525" t="n"/>
      <c r="N184" s="1525" t="n"/>
      <c r="O184" s="1525" t="n"/>
      <c r="P184" s="1525" t="n"/>
      <c r="Q184" s="1525" t="n"/>
      <c r="R184" s="1525" t="n"/>
      <c r="S184" s="1525" t="n"/>
      <c r="T184" s="1525" t="n"/>
      <c r="U184" s="1525" t="n"/>
      <c r="V184" s="1525" t="n"/>
      <c r="W184" s="1525" t="n"/>
      <c r="X184" s="1525" t="n"/>
      <c r="Y184" s="1525" t="n"/>
      <c r="Z184" s="1525" t="n"/>
      <c r="AA184" s="1525" t="n"/>
      <c r="AB184" s="1525" t="n"/>
      <c r="AC184" s="1525" t="n"/>
      <c r="AD184" s="1525" t="n"/>
      <c r="AE184" s="1525" t="n"/>
      <c r="AF184" s="1525" t="n"/>
      <c r="AG184" s="1525" t="n"/>
      <c r="AH184" s="1525" t="n"/>
      <c r="AI184" s="1525" t="n"/>
      <c r="AJ184" s="1525" t="n"/>
      <c r="AK184" s="1525" t="n"/>
      <c r="AL184" s="1525" t="n"/>
      <c r="AM184" s="1525" t="n"/>
      <c r="AN184" s="1525" t="n"/>
      <c r="AO184" s="1525" t="n"/>
    </row>
    <row r="185" ht="12" customFormat="1" customHeight="1" s="1577">
      <c r="A185" s="1578" t="n"/>
      <c r="B185" s="1525" t="n"/>
      <c r="C185" s="1525" t="n"/>
      <c r="D185" s="1525" t="n"/>
      <c r="E185" s="1525" t="n"/>
      <c r="F185" s="1525" t="n"/>
      <c r="G185" s="1525" t="n"/>
      <c r="H185" s="1525" t="n"/>
      <c r="I185" s="1525" t="n"/>
      <c r="J185" s="1525" t="n"/>
      <c r="K185" s="1525" t="n"/>
      <c r="L185" s="1525" t="n"/>
      <c r="M185" s="1525" t="n"/>
      <c r="N185" s="1525" t="n"/>
      <c r="O185" s="1525" t="n"/>
      <c r="P185" s="1525" t="n"/>
      <c r="Q185" s="1525" t="n"/>
      <c r="R185" s="1525" t="n"/>
      <c r="S185" s="1525" t="n"/>
      <c r="T185" s="1525" t="n"/>
      <c r="U185" s="1525" t="n"/>
      <c r="V185" s="1525" t="n"/>
      <c r="W185" s="1525" t="n"/>
      <c r="X185" s="1525" t="n"/>
      <c r="Y185" s="1525" t="n"/>
      <c r="Z185" s="1525" t="n"/>
      <c r="AA185" s="1525" t="n"/>
      <c r="AB185" s="1525" t="n"/>
      <c r="AC185" s="1525" t="n"/>
      <c r="AD185" s="1525" t="n"/>
      <c r="AE185" s="1525" t="n"/>
      <c r="AF185" s="1525" t="n"/>
      <c r="AG185" s="1525" t="n"/>
      <c r="AH185" s="1525" t="n"/>
      <c r="AI185" s="1525" t="n"/>
      <c r="AJ185" s="1525" t="n"/>
      <c r="AK185" s="1525" t="n"/>
      <c r="AL185" s="1525" t="n"/>
      <c r="AM185" s="1525" t="n"/>
      <c r="AN185" s="1525" t="n"/>
      <c r="AO185" s="1525" t="n"/>
    </row>
    <row r="186" ht="12" customFormat="1" customHeight="1" s="1577">
      <c r="A186" s="1578" t="n"/>
      <c r="B186" s="1525" t="n"/>
      <c r="C186" s="1525" t="n"/>
      <c r="D186" s="1525" t="n"/>
      <c r="E186" s="1525" t="n"/>
      <c r="F186" s="1525" t="n"/>
      <c r="G186" s="1525" t="n"/>
      <c r="H186" s="1525" t="n"/>
      <c r="I186" s="1525" t="n"/>
      <c r="J186" s="1525" t="n"/>
      <c r="K186" s="1525" t="n"/>
      <c r="L186" s="1525" t="n"/>
      <c r="M186" s="1525" t="n"/>
      <c r="N186" s="1525" t="n"/>
      <c r="O186" s="1525" t="n"/>
      <c r="P186" s="1525" t="n"/>
      <c r="Q186" s="1525" t="n"/>
      <c r="R186" s="1525" t="n"/>
      <c r="S186" s="1525" t="n"/>
      <c r="T186" s="1525" t="n"/>
      <c r="U186" s="1525" t="n"/>
      <c r="V186" s="1525" t="n"/>
      <c r="W186" s="1525" t="n"/>
      <c r="X186" s="1525" t="n"/>
      <c r="Y186" s="1525" t="n"/>
      <c r="Z186" s="1525" t="n"/>
      <c r="AA186" s="1525" t="n"/>
      <c r="AB186" s="1525" t="n"/>
      <c r="AC186" s="1525" t="n"/>
      <c r="AD186" s="1525" t="n"/>
      <c r="AE186" s="1525" t="n"/>
      <c r="AF186" s="1525" t="n"/>
      <c r="AG186" s="1525" t="n"/>
      <c r="AH186" s="1525" t="n"/>
      <c r="AI186" s="1525" t="n"/>
      <c r="AJ186" s="1525" t="n"/>
      <c r="AK186" s="1525" t="n"/>
      <c r="AL186" s="1525" t="n"/>
      <c r="AM186" s="1525" t="n"/>
      <c r="AN186" s="1525" t="n"/>
      <c r="AO186" s="1525" t="n"/>
    </row>
  </sheetData>
  <mergeCells count="4">
    <mergeCell ref="A109:O109"/>
    <mergeCell ref="F18:I18"/>
    <mergeCell ref="B18:E18"/>
    <mergeCell ref="J18:M18"/>
  </mergeCells>
  <hyperlinks>
    <hyperlink ref="B5" location="'Wafer Fab Equipment'!R1C1" tooltip="" display="Quarterly Semiconductor Wafer Fab Equipment Forecast Scenarios (Millions of U.S. Dollars)"/>
    <hyperlink ref="B6" location="'Wafer Fab Equipment'!R1C1" tooltip="" display="Semiconductor Wafer Fab Equipment by Region (Millions of US Dollars)"/>
    <hyperlink ref="B7" location="'Wafer Fab Equipment'!R1C1" tooltip="" display="Worldwide Semiconductor Wafer Fab Equipment Shipped by Linewidth"/>
    <hyperlink ref="B8" location="'Wafer Fab Equipment'!R1C1" tooltip="" display="Worldwide Semiconductor Wafer Fab Equipment by Wafer Size"/>
    <hyperlink ref="B11" location="'Wafer Fab Equipment'!R1C1" tooltip="" display="Quarterly Semiconductor Wafer Fab Equipment Forecast Scenarios (Millions of U.S. Dollars)"/>
    <hyperlink ref="B16" location="'Wafer Fab Equipment'!R1C1" tooltip="" display="(Top)"/>
    <hyperlink ref="B40" location="'Wafer Fab Equipment'!R1C1" tooltip="" display="(Top)"/>
    <hyperlink ref="B72" location="'Wafer Fab Equipment'!R1C1" tooltip="" display="(Top)"/>
    <hyperlink ref="B96" location="'Wafer Fab Equipment'!R1C1" tooltip="" display="(Top)"/>
    <hyperlink ref="B113" location="'Wafer Fab Equipment'!R1C1" tooltip="" display="(Top)"/>
  </hyperlinks>
  <pageMargins left="0.708661" right="0.708661" top="0.748031" bottom="0.748031" header="0.314961" footer="0.314961"/>
  <pageSetup orientation="portrait" scale="100" fitToHeight="1" fitToWidth="1" firstPageNumber="1" useFirstPageNumber="0" pageOrder="downThenOver"/>
  <headerFooter>
    <oddHeader/>
    <oddFooter>&amp;C&amp;"Calibri,Regular"&amp;11 &amp;K000000© 2023 Gartner, Inc. and/or its Affiliates. All Rights Reserved.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323"/>
  <sheetViews>
    <sheetView defaultGridColor="0" colorId="41" workbookViewId="0">
      <selection activeCell="A1" sqref="A1"/>
    </sheetView>
  </sheetViews>
  <sheetFormatPr baseColWidth="8" defaultColWidth="9.83333" defaultRowHeight="12" customHeight="1" outlineLevelRow="0"/>
  <cols>
    <col width="47.5" customWidth="1" style="1577" min="1" max="1"/>
    <col width="11.5" customWidth="1" style="1624" min="2" max="4"/>
    <col width="12" customWidth="1" style="1624" min="5" max="7"/>
    <col width="11.5" customWidth="1" style="1624" min="8" max="10"/>
    <col width="12" customWidth="1" style="1624" min="11" max="15"/>
    <col width="13" customWidth="1" style="1624" min="16" max="16"/>
    <col width="11.5" customWidth="1" style="1624" min="17" max="17"/>
    <col width="12" customWidth="1" style="1624" min="18" max="18"/>
    <col width="13.3516" customWidth="1" style="1624" min="19" max="19"/>
    <col width="9.851559999999999" customWidth="1" style="1624" min="20" max="52"/>
    <col width="9.851559999999999" customWidth="1" style="1577" min="53" max="253"/>
    <col width="9.851559999999999" customWidth="1" style="1623" min="254" max="16384"/>
  </cols>
  <sheetData>
    <row r="1" ht="20.25" customFormat="1" customHeight="1" s="1573">
      <c r="A1" s="1625" t="inlineStr">
        <is>
          <t>Text_907</t>
        </is>
      </c>
      <c r="B1" s="1626" t="n"/>
      <c r="C1" s="1627" t="n"/>
      <c r="D1" s="1627" t="n"/>
      <c r="E1" s="1627" t="n"/>
      <c r="F1" s="1627" t="n"/>
      <c r="G1" s="1627" t="n"/>
      <c r="H1" s="1627" t="n"/>
      <c r="I1" s="1627" t="n"/>
      <c r="J1" s="1627" t="n"/>
    </row>
    <row r="2" ht="20.25" customFormat="1" customHeight="1" s="1573">
      <c r="A2" s="1628" t="inlineStr">
        <is>
          <t>Text_908</t>
        </is>
      </c>
      <c r="B2" s="1629" t="n"/>
      <c r="C2" s="1630" t="n"/>
      <c r="D2" s="1630" t="n"/>
      <c r="E2" s="1630" t="n"/>
      <c r="F2" s="1630" t="n"/>
      <c r="G2" s="1630" t="n"/>
      <c r="H2" s="1630" t="n"/>
      <c r="I2" s="1630" t="n"/>
      <c r="J2" s="1630" t="n"/>
    </row>
    <row r="3" ht="15" customFormat="1" customHeight="1" s="1573">
      <c r="A3" s="1631" t="n"/>
      <c r="B3" s="1632" t="n"/>
      <c r="C3" s="1632" t="n"/>
      <c r="D3" s="1632" t="n"/>
      <c r="E3" s="1632" t="n"/>
      <c r="F3" s="1632" t="n"/>
      <c r="G3" s="1632" t="n"/>
      <c r="H3" s="1632" t="n"/>
      <c r="I3" s="1632" t="n"/>
      <c r="J3" s="1632" t="n"/>
    </row>
    <row r="4" ht="13.55" customFormat="1" customHeight="1" s="1573">
      <c r="A4" s="1595" t="n"/>
      <c r="B4" s="1457" t="inlineStr">
        <is>
          <t>Text_777</t>
        </is>
      </c>
      <c r="C4" s="1209" t="n"/>
      <c r="D4" s="1209" t="n"/>
      <c r="E4" s="1209" t="n"/>
      <c r="F4" s="1209" t="n"/>
      <c r="G4" s="1209" t="n"/>
      <c r="H4" s="1209" t="n"/>
      <c r="I4" s="1209" t="n"/>
      <c r="J4" s="1209" t="n"/>
    </row>
    <row r="5" ht="13.55" customFormat="1" customHeight="1" s="1573">
      <c r="A5" s="1458" t="inlineStr">
        <is>
          <t>5-1</t>
        </is>
      </c>
      <c r="B5" s="1459" t="inlineStr">
        <is>
          <t>Text_909</t>
        </is>
      </c>
      <c r="C5" s="1468" t="n"/>
      <c r="D5" s="1468" t="n"/>
      <c r="E5" s="1468" t="n"/>
      <c r="F5" s="1468" t="n"/>
      <c r="G5" s="1468" t="n"/>
      <c r="H5" s="1468" t="n"/>
      <c r="I5" s="1468" t="n"/>
      <c r="J5" s="1468" t="n"/>
    </row>
    <row r="6" ht="13.55" customFormat="1" customHeight="1" s="1573">
      <c r="A6" s="1458" t="inlineStr">
        <is>
          <t>5-2</t>
        </is>
      </c>
      <c r="B6" s="1459" t="inlineStr">
        <is>
          <t>Text_910</t>
        </is>
      </c>
      <c r="C6" s="1468" t="n"/>
      <c r="D6" s="1468" t="n"/>
      <c r="E6" s="1468" t="n"/>
      <c r="F6" s="1468" t="n"/>
      <c r="G6" s="1468" t="n"/>
      <c r="H6" s="1468" t="n"/>
      <c r="I6" s="1468" t="n"/>
      <c r="J6" s="1468" t="n"/>
    </row>
    <row r="7" ht="13.55" customFormat="1" customHeight="1" s="1573">
      <c r="A7" s="1458" t="inlineStr">
        <is>
          <t>5-3</t>
        </is>
      </c>
      <c r="B7" s="1459" t="inlineStr">
        <is>
          <t>Text_911</t>
        </is>
      </c>
      <c r="C7" s="1209" t="n"/>
      <c r="D7" s="1209" t="n"/>
      <c r="E7" s="1209" t="n"/>
      <c r="F7" s="1209" t="n"/>
      <c r="G7" s="1209" t="n"/>
      <c r="H7" s="1209" t="n"/>
      <c r="I7" s="1209" t="n"/>
      <c r="J7" s="1209" t="n"/>
    </row>
    <row r="8" ht="13.55" customFormat="1" customHeight="1" s="1573">
      <c r="A8" s="1595" t="n"/>
      <c r="B8" s="1209" t="n"/>
      <c r="C8" s="1209" t="n"/>
      <c r="D8" s="1209" t="n"/>
      <c r="E8" s="1209" t="n"/>
      <c r="F8" s="1209" t="n"/>
      <c r="G8" s="1209" t="n"/>
      <c r="H8" s="1209" t="n"/>
      <c r="I8" s="1209" t="n"/>
      <c r="J8" s="1209" t="n"/>
    </row>
    <row r="9" ht="13.55" customFormat="1" customHeight="1" s="1573">
      <c r="A9" s="1595" t="n"/>
      <c r="B9" s="1209" t="n"/>
      <c r="C9" s="1209" t="n"/>
      <c r="D9" s="1209" t="n"/>
      <c r="E9" s="1209" t="n"/>
      <c r="F9" s="1209" t="n"/>
      <c r="G9" s="1209" t="n"/>
      <c r="H9" s="1209" t="n"/>
      <c r="I9" s="1209" t="n"/>
      <c r="J9" s="1209" t="n"/>
    </row>
    <row r="10" ht="13.55" customFormat="1" customHeight="1" s="1573">
      <c r="A10" s="1458" t="n"/>
      <c r="B10" s="1468" t="n"/>
      <c r="C10" s="1633" t="n"/>
      <c r="D10" s="1633" t="n"/>
      <c r="E10" s="1633" t="n"/>
      <c r="F10" s="1633" t="n"/>
      <c r="G10" s="1633" t="n"/>
      <c r="H10" s="1633" t="n"/>
      <c r="I10" s="1633" t="n"/>
      <c r="J10" s="1633" t="n"/>
    </row>
    <row r="11" ht="13.55" customFormat="1" customHeight="1" s="1573">
      <c r="A11" s="1634" t="n"/>
      <c r="B11" s="1209" t="n"/>
      <c r="C11" s="1209" t="n"/>
      <c r="D11" s="1209" t="n"/>
      <c r="E11" s="1209" t="n"/>
      <c r="F11" s="1209" t="n"/>
      <c r="G11" s="1209" t="n"/>
      <c r="H11" s="1209" t="n"/>
      <c r="I11" s="1209" t="n"/>
      <c r="J11" s="1209" t="n"/>
    </row>
    <row r="12" ht="12" customFormat="1" customHeight="1" s="1573">
      <c r="A12" s="1466" t="inlineStr">
        <is>
          <t>Text_912</t>
        </is>
      </c>
      <c r="B12" s="1467" t="inlineStr">
        <is>
          <t>Text_784</t>
        </is>
      </c>
      <c r="C12" s="1583" t="inlineStr">
        <is>
          <t>Text_785</t>
        </is>
      </c>
      <c r="D12" s="1209" t="n"/>
      <c r="E12" s="1209" t="n"/>
      <c r="F12" s="1209" t="n"/>
      <c r="G12" s="1209" t="n"/>
      <c r="H12" s="1209" t="n"/>
      <c r="I12" s="1209" t="n"/>
      <c r="J12" s="1209" t="n"/>
    </row>
    <row r="13" ht="12" customFormat="1" customHeight="1" s="1573">
      <c r="A13" s="1469" t="inlineStr">
        <is>
          <t>Text_909</t>
        </is>
      </c>
      <c r="J13" s="1529" t="n"/>
    </row>
    <row r="14" ht="27" customFormat="1" customHeight="1" s="1573">
      <c r="A14" s="1635" t="n"/>
      <c r="B14" s="1602" t="n">
        <v>1919.40030346532</v>
      </c>
      <c r="C14" s="1602" t="n">
        <v>1910.10242739026</v>
      </c>
      <c r="D14" s="1602" t="n">
        <v>1784.25987433262</v>
      </c>
      <c r="E14" s="1602" t="n">
        <v>1943.11994029641</v>
      </c>
      <c r="F14" s="1602" t="n">
        <v>1781.69301134033</v>
      </c>
      <c r="G14" s="1602" t="n">
        <v>2188.03701519599</v>
      </c>
      <c r="H14" s="1602" t="n">
        <v>2310.54140046067</v>
      </c>
      <c r="I14" s="1475" t="inlineStr">
        <is>
          <t>Text_886</t>
        </is>
      </c>
      <c r="AZ14" s="1633" t="n"/>
    </row>
    <row r="15" ht="12" customFormat="1" customHeight="1" s="1573">
      <c r="A15" s="1636" t="n"/>
      <c r="B15" s="1637" t="n"/>
      <c r="C15" s="1637" t="n"/>
      <c r="D15" s="1637" t="n"/>
      <c r="E15" s="1637" t="n"/>
      <c r="F15" s="1637" t="n"/>
      <c r="G15" s="1637" t="n"/>
      <c r="H15" s="1637" t="n"/>
      <c r="I15" s="1638" t="n"/>
      <c r="M15" s="1633" t="n"/>
      <c r="N15" s="1633" t="n"/>
      <c r="AZ15" s="1633" t="n"/>
    </row>
    <row r="16" ht="12" customFormat="1" customHeight="1" s="1573">
      <c r="A16" s="1466" t="inlineStr">
        <is>
          <t>Text_913</t>
        </is>
      </c>
      <c r="B16" s="1633" t="n"/>
      <c r="C16" s="1633" t="n"/>
      <c r="D16" s="1633" t="n"/>
      <c r="E16" s="1633" t="n"/>
      <c r="F16" s="1633" t="n"/>
      <c r="G16" s="1633" t="n"/>
      <c r="H16" s="1633" t="n"/>
      <c r="I16" s="1639" t="n"/>
      <c r="J16" s="1640" t="n"/>
      <c r="K16" s="1633" t="n"/>
      <c r="L16" s="1633" t="n"/>
      <c r="M16" s="1633" t="n"/>
      <c r="N16" s="1633" t="n"/>
      <c r="AZ16" s="1633" t="n"/>
    </row>
    <row r="17" ht="12" customFormat="1" customHeight="1" s="1573">
      <c r="A17" s="1508" t="inlineStr">
        <is>
          <t>Text_914</t>
        </is>
      </c>
      <c r="B17" s="2401" t="n">
        <v>18567.0645853995</v>
      </c>
      <c r="C17" s="2401" t="n">
        <v>18247.7869316164</v>
      </c>
      <c r="D17" s="2401" t="n">
        <v>21233.007032968</v>
      </c>
      <c r="E17" s="2401" t="n">
        <v>18562.1316851051</v>
      </c>
      <c r="F17" s="2401" t="n">
        <v>18044.6130070009</v>
      </c>
      <c r="G17" s="2401" t="n">
        <v>21759.8002980701</v>
      </c>
      <c r="H17" s="2401" t="n">
        <v>21117.241388855</v>
      </c>
      <c r="I17" s="2402" t="n">
        <v>0.0539885183257482</v>
      </c>
      <c r="J17" s="1640" t="n"/>
      <c r="K17" s="1633" t="n"/>
      <c r="AY17" s="1633" t="n"/>
      <c r="AZ17" s="1633" t="n"/>
    </row>
    <row r="18" ht="12" customFormat="1" customHeight="1" s="1573">
      <c r="A18" s="1508" t="inlineStr">
        <is>
          <t>Text_915</t>
        </is>
      </c>
      <c r="B18" s="2401" t="n">
        <v>0</v>
      </c>
      <c r="C18" s="2401" t="n">
        <v>0</v>
      </c>
      <c r="D18" s="2401" t="n">
        <v>0</v>
      </c>
      <c r="E18" s="2401" t="n">
        <v>0</v>
      </c>
      <c r="F18" s="2401" t="n">
        <v>0</v>
      </c>
      <c r="G18" s="2401" t="n">
        <v>0</v>
      </c>
      <c r="H18" s="2401" t="n">
        <v>0</v>
      </c>
      <c r="I18" s="2402" t="n">
        <v>0</v>
      </c>
      <c r="J18" s="1640" t="n"/>
      <c r="K18" s="1633" t="n"/>
      <c r="AY18" s="1633" t="n"/>
      <c r="AZ18" s="1633" t="n"/>
    </row>
    <row r="19" ht="12" customFormat="1" customHeight="1" s="1573">
      <c r="A19" s="1508" t="inlineStr">
        <is>
          <t>Text_916</t>
        </is>
      </c>
      <c r="B19" s="2401" t="n">
        <v>400.25252642398</v>
      </c>
      <c r="C19" s="2401" t="n">
        <v>382.363273108025</v>
      </c>
      <c r="D19" s="2401" t="n">
        <v>327.977207965407</v>
      </c>
      <c r="E19" s="2401" t="n">
        <v>373.955878621936</v>
      </c>
      <c r="F19" s="2401" t="n">
        <v>372.803102845606</v>
      </c>
      <c r="G19" s="2401" t="n">
        <v>419.742005091949</v>
      </c>
      <c r="H19" s="2401" t="n">
        <v>379.947222828194</v>
      </c>
      <c r="I19" s="2402" t="n">
        <v>0.008332988203308951</v>
      </c>
      <c r="AY19" s="1633" t="n"/>
      <c r="AZ19" s="1633" t="n"/>
    </row>
    <row r="20" ht="12" customFormat="1" customHeight="1" s="1573">
      <c r="A20" s="1508" t="inlineStr">
        <is>
          <t>Text_917</t>
        </is>
      </c>
      <c r="B20" s="2401" t="n">
        <v>528.744799942624</v>
      </c>
      <c r="C20" s="2401" t="n">
        <v>658.8538711122779</v>
      </c>
      <c r="D20" s="2401" t="n">
        <v>688.560489870297</v>
      </c>
      <c r="E20" s="2401" t="n">
        <v>588.325314992061</v>
      </c>
      <c r="F20" s="2401" t="n">
        <v>764.353438706964</v>
      </c>
      <c r="G20" s="2401" t="n">
        <v>900.329274479707</v>
      </c>
      <c r="H20" s="2401" t="n">
        <v>825.376684689155</v>
      </c>
      <c r="I20" s="2402" t="n">
        <v>0.0323538402601384</v>
      </c>
      <c r="AY20" s="1633" t="n"/>
      <c r="AZ20" s="1633" t="n"/>
    </row>
    <row r="21" ht="12" customFormat="1" customHeight="1" s="1573">
      <c r="A21" s="1466" t="inlineStr">
        <is>
          <t>Text_918</t>
        </is>
      </c>
      <c r="B21" s="2403" t="n">
        <v>17551.2353474153</v>
      </c>
      <c r="C21" s="2403" t="n">
        <v>18945.881848179</v>
      </c>
      <c r="D21" s="2403" t="n">
        <v>21014.819322443</v>
      </c>
      <c r="E21" s="2403" t="n">
        <v>20628.8145641422</v>
      </c>
      <c r="F21" s="2403" t="n">
        <v>21287.2822402085</v>
      </c>
      <c r="G21" s="2403" t="n">
        <v>24806.5612594199</v>
      </c>
      <c r="H21" s="2403" t="n">
        <v>23479.7552647129</v>
      </c>
      <c r="I21" s="2396" t="n">
        <v>0.0504023205490406</v>
      </c>
      <c r="AY21" s="1633" t="n"/>
      <c r="AZ21" s="1633" t="n"/>
    </row>
    <row r="22" ht="12" customFormat="1" customHeight="1" s="1573">
      <c r="A22" s="1644" t="n"/>
      <c r="B22" s="2401" t="n"/>
      <c r="C22" s="2401" t="n"/>
      <c r="D22" s="2401" t="n"/>
      <c r="E22" s="2401" t="n"/>
      <c r="F22" s="2401" t="n"/>
      <c r="G22" s="2401" t="n"/>
      <c r="H22" s="2401" t="n"/>
      <c r="I22" s="2402" t="n"/>
      <c r="J22" s="1640" t="n"/>
      <c r="K22" s="1580" t="n"/>
      <c r="L22" s="1633" t="n"/>
      <c r="M22" s="1645" t="n"/>
      <c r="N22" s="1645" t="n"/>
      <c r="O22" s="1750" t="n"/>
      <c r="AV22" s="1633" t="n"/>
      <c r="AW22" s="1633" t="n"/>
      <c r="AX22" s="1633" t="n"/>
      <c r="AY22" s="1633" t="n"/>
      <c r="AZ22" s="1633" t="n"/>
    </row>
    <row r="23" ht="12" customFormat="1" customHeight="1" s="1573">
      <c r="A23" s="1466" t="inlineStr">
        <is>
          <t>Text_919</t>
        </is>
      </c>
      <c r="B23" s="2403" t="n">
        <v>3536.61220274644</v>
      </c>
      <c r="C23" s="2403" t="n">
        <v>3338.38008871215</v>
      </c>
      <c r="D23" s="2403" t="n">
        <v>4542.81825697045</v>
      </c>
      <c r="E23" s="2403" t="n">
        <v>3778.36664677699</v>
      </c>
      <c r="F23" s="2403" t="n">
        <v>4120.19002194497</v>
      </c>
      <c r="G23" s="2403" t="n">
        <v>3929.41321140961</v>
      </c>
      <c r="H23" s="2403" t="n">
        <v>3908.89335292516</v>
      </c>
      <c r="I23" s="2396" t="n">
        <v>0.034121385450796</v>
      </c>
      <c r="J23" s="1640" t="n"/>
      <c r="K23" s="1580" t="n"/>
      <c r="L23" s="1633" t="n"/>
      <c r="M23" s="1645" t="n"/>
      <c r="N23" s="1645" t="n"/>
      <c r="O23" s="1750" t="n"/>
      <c r="AV23" s="1633" t="n"/>
      <c r="AW23" s="1633" t="n"/>
      <c r="AX23" s="1633" t="n"/>
      <c r="AY23" s="1633" t="n"/>
      <c r="AZ23" s="1633" t="n"/>
    </row>
    <row r="24" ht="12" customFormat="1" customHeight="1" s="1573">
      <c r="B24" s="2401" t="n"/>
      <c r="C24" s="2401" t="n"/>
      <c r="D24" s="2401" t="n"/>
      <c r="E24" s="2401" t="n"/>
      <c r="F24" s="2401" t="n"/>
      <c r="G24" s="2401" t="n"/>
      <c r="H24" s="2401" t="n"/>
      <c r="I24" s="2402" t="n"/>
      <c r="J24" s="1640" t="n"/>
      <c r="K24" s="1580" t="n"/>
      <c r="L24" s="1633" t="n"/>
      <c r="M24" s="1645" t="n"/>
      <c r="N24" s="1645" t="n"/>
      <c r="O24" s="1750" t="n"/>
      <c r="AV24" s="1633" t="n"/>
      <c r="AW24" s="1633" t="n"/>
      <c r="AX24" s="1633" t="n"/>
      <c r="AY24" s="1633" t="n"/>
      <c r="AZ24" s="1633" t="n"/>
    </row>
    <row r="25" ht="12" customFormat="1" customHeight="1" s="1573">
      <c r="A25" s="1466" t="inlineStr">
        <is>
          <t>Text_920</t>
        </is>
      </c>
      <c r="B25" s="2401" t="n"/>
      <c r="C25" s="2401" t="n"/>
      <c r="D25" s="2401" t="n"/>
      <c r="E25" s="2401" t="n"/>
      <c r="F25" s="2401" t="n"/>
      <c r="G25" s="2401" t="n"/>
      <c r="H25" s="2401" t="n"/>
      <c r="I25" s="2402" t="n"/>
      <c r="J25" s="1640" t="n"/>
      <c r="K25" s="1580" t="n"/>
      <c r="L25" s="1633" t="n"/>
      <c r="M25" s="1645" t="n"/>
      <c r="N25" s="1645" t="n"/>
      <c r="O25" s="1750" t="n"/>
      <c r="AV25" s="1633" t="n"/>
      <c r="AW25" s="1633" t="n"/>
      <c r="AX25" s="1633" t="n"/>
      <c r="AY25" s="1633" t="n"/>
      <c r="AZ25" s="1633" t="n"/>
    </row>
    <row r="26" ht="12" customFormat="1" customHeight="1" s="1573">
      <c r="A26" s="1508" t="inlineStr">
        <is>
          <t>Text_921</t>
        </is>
      </c>
      <c r="B26" s="2401" t="n">
        <v>609.107985866199</v>
      </c>
      <c r="C26" s="2401" t="n">
        <v>703.720628576731</v>
      </c>
      <c r="D26" s="2401" t="n">
        <v>629.700884786803</v>
      </c>
      <c r="E26" s="2401" t="n">
        <v>515.01625147962</v>
      </c>
      <c r="F26" s="2401" t="n">
        <v>607.248695417679</v>
      </c>
      <c r="G26" s="2401" t="n">
        <v>689.815384262133</v>
      </c>
      <c r="H26" s="2401" t="n">
        <v>653.254502065446</v>
      </c>
      <c r="I26" s="2402" t="n">
        <v>-0.0101506581394501</v>
      </c>
      <c r="J26" s="1640" t="n"/>
      <c r="K26" s="1580" t="n"/>
      <c r="L26" s="1633" t="n"/>
      <c r="M26" s="1645" t="n"/>
      <c r="N26" s="1645" t="n"/>
      <c r="O26" s="1750" t="n"/>
      <c r="AV26" s="1633" t="n"/>
      <c r="AW26" s="1633" t="n"/>
      <c r="AX26" s="1633" t="n"/>
      <c r="AY26" s="1633" t="n"/>
      <c r="AZ26" s="1633" t="n"/>
    </row>
    <row r="27" ht="12" customFormat="1" customHeight="1" s="1573">
      <c r="A27" s="1508" t="inlineStr">
        <is>
          <t>Text_922</t>
        </is>
      </c>
      <c r="B27" s="2401" t="n">
        <v>983.069779665648</v>
      </c>
      <c r="C27" s="2401" t="n">
        <v>1039.36484270617</v>
      </c>
      <c r="D27" s="2401" t="n">
        <v>1043.05961198949</v>
      </c>
      <c r="E27" s="2401" t="n">
        <v>1148.76211832254</v>
      </c>
      <c r="F27" s="2401" t="n">
        <v>1110.00781325668</v>
      </c>
      <c r="G27" s="2401" t="n">
        <v>1243.33444758354</v>
      </c>
      <c r="H27" s="2401" t="n">
        <v>1103.13303570502</v>
      </c>
      <c r="I27" s="2402" t="n">
        <v>0.0187040086928797</v>
      </c>
      <c r="J27" s="1640" t="n"/>
      <c r="K27" s="1580" t="n"/>
      <c r="L27" s="1633" t="n"/>
      <c r="M27" s="1645" t="n"/>
      <c r="N27" s="1645" t="n"/>
      <c r="O27" s="1750" t="n"/>
      <c r="AV27" s="1633" t="n"/>
      <c r="AW27" s="1633" t="n"/>
      <c r="AX27" s="1633" t="n"/>
      <c r="AY27" s="1633" t="n"/>
      <c r="AZ27" s="1633" t="n"/>
    </row>
    <row r="28" ht="12" customFormat="1" customHeight="1" s="1573">
      <c r="A28" s="1508" t="inlineStr">
        <is>
          <t>Text_923</t>
        </is>
      </c>
      <c r="B28" s="2401" t="n">
        <v>338.914606561818</v>
      </c>
      <c r="C28" s="2401" t="n">
        <v>565.0182316476109</v>
      </c>
      <c r="D28" s="2401" t="n">
        <v>624.142517320979</v>
      </c>
      <c r="E28" s="2401" t="n">
        <v>488.514842885416</v>
      </c>
      <c r="F28" s="2401" t="n">
        <v>603.706713239638</v>
      </c>
      <c r="G28" s="2401" t="n">
        <v>702.838425923885</v>
      </c>
      <c r="H28" s="2401" t="n">
        <v>692.88179995491</v>
      </c>
      <c r="I28" s="2402" t="n">
        <v>0.0702410175005536</v>
      </c>
      <c r="J28" s="1640" t="n"/>
      <c r="K28" s="1580" t="n"/>
      <c r="L28" s="1633" t="n"/>
      <c r="M28" s="1645" t="n"/>
      <c r="N28" s="1645" t="n"/>
      <c r="O28" s="1750" t="n"/>
      <c r="AV28" s="1633" t="n"/>
      <c r="AW28" s="1633" t="n"/>
      <c r="AX28" s="1633" t="n"/>
      <c r="AY28" s="1633" t="n"/>
      <c r="AZ28" s="1633" t="n"/>
    </row>
    <row r="29" ht="12" customFormat="1" customHeight="1" s="1573">
      <c r="A29" s="1508" t="inlineStr">
        <is>
          <t>Text_924</t>
        </is>
      </c>
      <c r="B29" s="2401" t="n">
        <v>47.4427928347479</v>
      </c>
      <c r="C29" s="2401" t="n">
        <v>83.326572166555</v>
      </c>
      <c r="D29" s="2401" t="n">
        <v>56.4162109385376</v>
      </c>
      <c r="E29" s="2401" t="n">
        <v>59.211272195573</v>
      </c>
      <c r="F29" s="2401" t="n">
        <v>58.9271212442718</v>
      </c>
      <c r="G29" s="2401" t="n">
        <v>57.9869207548147</v>
      </c>
      <c r="H29" s="2401" t="n">
        <v>67.9221856630725</v>
      </c>
      <c r="I29" s="2402" t="n">
        <v>-0.0392963095225371</v>
      </c>
      <c r="J29" s="1640" t="n"/>
      <c r="K29" s="1580" t="n"/>
      <c r="L29" s="1633" t="n"/>
      <c r="M29" s="1645" t="n"/>
      <c r="N29" s="1645" t="n"/>
      <c r="O29" s="1750" t="n"/>
      <c r="AV29" s="1633" t="n"/>
      <c r="AW29" s="1633" t="n"/>
      <c r="AX29" s="1633" t="n"/>
      <c r="AY29" s="1633" t="n"/>
      <c r="AZ29" s="1633" t="n"/>
    </row>
    <row r="30" ht="12" customFormat="1" customHeight="1" s="1573">
      <c r="A30" s="1466" t="inlineStr">
        <is>
          <t>Text_925</t>
        </is>
      </c>
      <c r="B30" s="2403" t="n">
        <v>1983.58227554849</v>
      </c>
      <c r="C30" s="2403" t="n">
        <v>2677.64249789902</v>
      </c>
      <c r="D30" s="2403" t="n">
        <v>2553.50240735857</v>
      </c>
      <c r="E30" s="2403" t="n">
        <v>2562.76791662628</v>
      </c>
      <c r="F30" s="2403" t="n">
        <v>2213.7434297734</v>
      </c>
      <c r="G30" s="2403" t="n">
        <v>2834.15024356682</v>
      </c>
      <c r="H30" s="2403" t="n">
        <v>2995.72095459576</v>
      </c>
      <c r="I30" s="2396" t="n">
        <v>0.0196376454643913</v>
      </c>
      <c r="J30" s="1640" t="n"/>
      <c r="K30" s="1580" t="n"/>
      <c r="L30" s="1633" t="n"/>
      <c r="M30" s="1645" t="n"/>
      <c r="N30" s="1645" t="n"/>
      <c r="O30" s="1750" t="n"/>
      <c r="AV30" s="1633" t="n"/>
      <c r="AW30" s="1633" t="n"/>
      <c r="AX30" s="1633" t="n"/>
      <c r="AY30" s="1633" t="n"/>
      <c r="AZ30" s="1633" t="n"/>
    </row>
    <row r="31" ht="12" customFormat="1" customHeight="1" s="1646">
      <c r="A31" s="1647" t="n"/>
      <c r="B31" s="2401" t="n"/>
      <c r="C31" s="2401" t="n"/>
      <c r="D31" s="2401" t="n"/>
      <c r="E31" s="2401" t="n"/>
      <c r="F31" s="2401" t="n"/>
      <c r="G31" s="2401" t="n"/>
      <c r="H31" s="2401" t="n"/>
      <c r="I31" s="2402" t="n"/>
      <c r="M31" s="1645" t="n"/>
      <c r="N31" s="1645" t="n"/>
      <c r="O31" s="2361" t="n"/>
      <c r="P31" s="1529" t="n"/>
      <c r="Q31" s="1529" t="n"/>
      <c r="R31" s="1529" t="n"/>
      <c r="S31" s="1529" t="n"/>
      <c r="T31" s="1529" t="n"/>
      <c r="U31" s="1529" t="n"/>
      <c r="V31" s="1529" t="n"/>
      <c r="W31" s="1529" t="n"/>
      <c r="X31" s="1529" t="n"/>
      <c r="Y31" s="1529" t="n"/>
      <c r="Z31" s="1529" t="n"/>
      <c r="AA31" s="1529" t="n"/>
      <c r="AB31" s="1529" t="n"/>
      <c r="AC31" s="1529" t="n"/>
      <c r="AD31" s="1529" t="n"/>
      <c r="AE31" s="1529" t="n"/>
      <c r="AF31" s="1529" t="n"/>
      <c r="AG31" s="1529" t="n"/>
      <c r="AH31" s="1529" t="n"/>
      <c r="AI31" s="1529" t="n"/>
      <c r="AJ31" s="1529" t="n"/>
      <c r="AK31" s="1529" t="n"/>
      <c r="AL31" s="1529" t="n"/>
      <c r="AM31" s="1529" t="n"/>
      <c r="AN31" s="1529" t="n"/>
      <c r="AO31" s="1529" t="n"/>
      <c r="AP31" s="1529" t="n"/>
      <c r="AQ31" s="1529" t="n"/>
      <c r="AR31" s="1529" t="n"/>
      <c r="AS31" s="1529" t="n"/>
      <c r="AT31" s="1529" t="n"/>
      <c r="AU31" s="1529" t="n"/>
    </row>
    <row r="32" ht="12" customFormat="1" customHeight="1" s="1573">
      <c r="A32" s="1466" t="inlineStr">
        <is>
          <t>Text_926</t>
        </is>
      </c>
      <c r="B32" s="2404" t="n"/>
      <c r="C32" s="2404" t="n"/>
      <c r="D32" s="2404" t="n"/>
      <c r="E32" s="2404" t="n"/>
      <c r="F32" s="2404" t="n"/>
      <c r="G32" s="2404" t="n"/>
      <c r="H32" s="2404" t="n"/>
      <c r="I32" s="2402" t="n"/>
      <c r="AW32" s="1633" t="n"/>
      <c r="AX32" s="1633" t="n"/>
      <c r="AY32" s="1633" t="n"/>
      <c r="AZ32" s="1633" t="n"/>
    </row>
    <row r="33" ht="12" customFormat="1" customHeight="1" s="1573">
      <c r="A33" s="1508" t="inlineStr">
        <is>
          <t>Text_927</t>
        </is>
      </c>
      <c r="B33" s="2401" t="n">
        <v>866.386439654364</v>
      </c>
      <c r="C33" s="2401" t="n">
        <v>905.133545099908</v>
      </c>
      <c r="D33" s="2401" t="n">
        <v>796.768634422816</v>
      </c>
      <c r="E33" s="2401" t="n">
        <v>940.724562005469</v>
      </c>
      <c r="F33" s="2401" t="n">
        <v>942.112784873176</v>
      </c>
      <c r="G33" s="2401" t="n">
        <v>1040.62951179575</v>
      </c>
      <c r="H33" s="2401" t="n">
        <v>1125.14148171317</v>
      </c>
      <c r="I33" s="2402" t="n">
        <v>0.00327419241387113</v>
      </c>
      <c r="AW33" s="1633" t="n"/>
      <c r="AX33" s="1633" t="n"/>
      <c r="AY33" s="1633" t="n"/>
      <c r="AZ33" s="1633" t="n"/>
    </row>
    <row r="34" ht="12" customFormat="1" customHeight="1" s="1573">
      <c r="A34" s="1508" t="inlineStr">
        <is>
          <t>Text_928</t>
        </is>
      </c>
      <c r="B34" s="2401" t="n">
        <v>1307.459660022</v>
      </c>
      <c r="C34" s="2401" t="n">
        <v>1324.2284657442</v>
      </c>
      <c r="D34" s="2401" t="n">
        <v>1242.10363756312</v>
      </c>
      <c r="E34" s="2401" t="n">
        <v>1007.33261750323</v>
      </c>
      <c r="F34" s="2401" t="n">
        <v>1389.37941656305</v>
      </c>
      <c r="G34" s="2401" t="n">
        <v>1204.25084567618</v>
      </c>
      <c r="H34" s="2401" t="n">
        <v>1258.44128523794</v>
      </c>
      <c r="I34" s="2402" t="n">
        <v>-0.00353235022910056</v>
      </c>
      <c r="AX34" s="1633" t="n"/>
      <c r="AY34" s="1633" t="n"/>
      <c r="AZ34" s="1633" t="n"/>
    </row>
    <row r="35" ht="12" customFormat="1" customHeight="1" s="1573">
      <c r="A35" s="1508" t="inlineStr">
        <is>
          <t>Text_929</t>
        </is>
      </c>
      <c r="B35" s="2401" t="n">
        <v>528.6010376448349</v>
      </c>
      <c r="C35" s="2401" t="n">
        <v>585.902016309564</v>
      </c>
      <c r="D35" s="2401" t="n">
        <v>501.264060728101</v>
      </c>
      <c r="E35" s="2401" t="n">
        <v>542.095947792878</v>
      </c>
      <c r="F35" s="2401" t="n">
        <v>509.316967597432</v>
      </c>
      <c r="G35" s="2401" t="n">
        <v>521.193932721974</v>
      </c>
      <c r="H35" s="2401" t="n">
        <v>550.510973135062</v>
      </c>
      <c r="I35" s="2402" t="n">
        <v>0.00631165344875653</v>
      </c>
      <c r="AX35" s="1633" t="n"/>
      <c r="AY35" s="1633" t="n"/>
      <c r="AZ35" s="1633" t="n"/>
    </row>
    <row r="36" ht="12" customFormat="1" customHeight="1" s="1573">
      <c r="A36" s="1466" t="inlineStr">
        <is>
          <t>Text_930</t>
        </is>
      </c>
      <c r="B36" s="2403" t="n">
        <v>2378.53643584275</v>
      </c>
      <c r="C36" s="2403" t="n">
        <v>2760.73464008908</v>
      </c>
      <c r="D36" s="2403" t="n">
        <v>2400.05748706347</v>
      </c>
      <c r="E36" s="2403" t="n">
        <v>2116.95692025115</v>
      </c>
      <c r="F36" s="2403" t="n">
        <v>2749.84731928677</v>
      </c>
      <c r="G36" s="2403" t="n">
        <v>3226.37823540354</v>
      </c>
      <c r="H36" s="2403" t="n">
        <v>2594.96446481019</v>
      </c>
      <c r="I36" s="2396" t="n">
        <v>0.000800202215600048</v>
      </c>
      <c r="AX36" s="1633" t="n"/>
      <c r="AY36" s="1633" t="n"/>
      <c r="AZ36" s="1633" t="n"/>
    </row>
    <row r="37" ht="12" customFormat="1" customHeight="1" s="1573">
      <c r="B37" s="2401" t="n"/>
      <c r="C37" s="2401" t="n"/>
      <c r="D37" s="2401" t="n"/>
      <c r="E37" s="2401" t="n"/>
      <c r="F37" s="2401" t="n"/>
      <c r="G37" s="2401" t="n"/>
      <c r="H37" s="2401" t="n"/>
      <c r="I37" s="2402" t="n"/>
      <c r="J37" s="1640" t="n"/>
      <c r="AU37" s="1633" t="n"/>
      <c r="AV37" s="1633" t="n"/>
      <c r="AW37" s="1633" t="n"/>
      <c r="AX37" s="1633" t="n"/>
      <c r="AY37" s="1633" t="n"/>
      <c r="AZ37" s="1633" t="n"/>
    </row>
    <row r="38" ht="12" customFormat="1" customHeight="1" s="1573">
      <c r="A38" s="1466" t="inlineStr">
        <is>
          <t>Text_931</t>
        </is>
      </c>
      <c r="B38" s="2401" t="n"/>
      <c r="C38" s="2401" t="n"/>
      <c r="D38" s="2401" t="n"/>
      <c r="E38" s="2401" t="n"/>
      <c r="F38" s="2401" t="n"/>
      <c r="G38" s="2401" t="n"/>
      <c r="H38" s="2401" t="n"/>
      <c r="I38" s="2402" t="n"/>
      <c r="J38" s="1640" t="n"/>
      <c r="AU38" s="1633" t="n"/>
      <c r="AV38" s="1633" t="n"/>
      <c r="AW38" s="1633" t="n"/>
      <c r="AX38" s="1633" t="n"/>
      <c r="AY38" s="1633" t="n"/>
      <c r="AZ38" s="1633" t="n"/>
    </row>
    <row r="39" ht="12" customFormat="1" customHeight="1" s="1573">
      <c r="A39" s="1508" t="inlineStr">
        <is>
          <t>Text_932</t>
        </is>
      </c>
      <c r="B39" s="2401" t="n">
        <v>2645.08225764685</v>
      </c>
      <c r="C39" s="2401" t="n">
        <v>1892.76004388279</v>
      </c>
      <c r="D39" s="2401" t="n">
        <v>2391.72781541041</v>
      </c>
      <c r="E39" s="2401" t="n">
        <v>2224.09691819395</v>
      </c>
      <c r="F39" s="2401" t="n">
        <v>2480.49991500829</v>
      </c>
      <c r="G39" s="2401" t="n">
        <v>2288.19900822237</v>
      </c>
      <c r="H39" s="2401" t="n">
        <v>2860.09008625642</v>
      </c>
      <c r="I39" s="2402" t="n">
        <v>0.0698480019148451</v>
      </c>
      <c r="J39" s="1640" t="n"/>
      <c r="AU39" s="1633" t="n"/>
      <c r="AV39" s="1633" t="n"/>
      <c r="AW39" s="1633" t="n"/>
      <c r="AX39" s="1633" t="n"/>
      <c r="AY39" s="1633" t="n"/>
      <c r="AZ39" s="1633" t="n"/>
    </row>
    <row r="40" ht="12" customFormat="1" customHeight="1" s="1573">
      <c r="A40" s="1508" t="inlineStr">
        <is>
          <t>Text_933</t>
        </is>
      </c>
      <c r="B40" s="2401" t="n">
        <v>1561.0095604817</v>
      </c>
      <c r="C40" s="2401" t="n">
        <v>1799.20024935306</v>
      </c>
      <c r="D40" s="2401" t="n">
        <v>1656.50600066994</v>
      </c>
      <c r="E40" s="2401" t="n">
        <v>1354.1870662606</v>
      </c>
      <c r="F40" s="2401" t="n">
        <v>1513.65898482467</v>
      </c>
      <c r="G40" s="2401" t="n">
        <v>1847.00843361348</v>
      </c>
      <c r="H40" s="2401" t="n">
        <v>1683.17549943347</v>
      </c>
      <c r="I40" s="2402" t="n">
        <v>-0.033728144008622</v>
      </c>
      <c r="J40" s="1640" t="n"/>
      <c r="AU40" s="1633" t="n"/>
      <c r="AV40" s="1633" t="n"/>
      <c r="AW40" s="1633" t="n"/>
      <c r="AX40" s="1633" t="n"/>
      <c r="AY40" s="1633" t="n"/>
      <c r="AZ40" s="1633" t="n"/>
    </row>
    <row r="41" ht="12" customFormat="1" customHeight="1" s="1573">
      <c r="A41" s="1466" t="inlineStr">
        <is>
          <t>Text_934</t>
        </is>
      </c>
      <c r="B41" s="2403" t="n">
        <v>2942.21030716903</v>
      </c>
      <c r="C41" s="2403" t="n">
        <v>3463.8948127034</v>
      </c>
      <c r="D41" s="2403" t="n">
        <v>2470.69909927226</v>
      </c>
      <c r="E41" s="2403" t="n">
        <v>2441.68058982472</v>
      </c>
      <c r="F41" s="2403" t="n">
        <v>2556.97909139198</v>
      </c>
      <c r="G41" s="2403" t="n">
        <v>3269.12059207247</v>
      </c>
      <c r="H41" s="2403" t="n">
        <v>3166.72677005069</v>
      </c>
      <c r="I41" s="2396" t="n">
        <v>-0.00828672967812135</v>
      </c>
      <c r="J41" s="1640" t="n"/>
      <c r="AU41" s="1633" t="n"/>
      <c r="AV41" s="1633" t="n"/>
      <c r="AW41" s="1633" t="n"/>
      <c r="AX41" s="1633" t="n"/>
      <c r="AY41" s="1633" t="n"/>
      <c r="AZ41" s="1633" t="n"/>
    </row>
    <row r="42" ht="12" customFormat="1" customHeight="1" s="1573">
      <c r="A42" s="1508" t="inlineStr">
        <is>
          <t>Text_935</t>
        </is>
      </c>
      <c r="B42" s="2401" t="n">
        <v>2134.59818744969</v>
      </c>
      <c r="C42" s="2401" t="n">
        <v>2502.58660265564</v>
      </c>
      <c r="D42" s="2401" t="n">
        <v>1571.67837539474</v>
      </c>
      <c r="E42" s="2401" t="n">
        <v>1785.60923775868</v>
      </c>
      <c r="F42" s="2401" t="n">
        <v>1841.08508840585</v>
      </c>
      <c r="G42" s="2401" t="n">
        <v>2285.32103943275</v>
      </c>
      <c r="H42" s="2401" t="n">
        <v>2010.27330131243</v>
      </c>
      <c r="I42" s="2402" t="n">
        <v>-0.0268867710149382</v>
      </c>
      <c r="J42" s="1640" t="n"/>
      <c r="AU42" s="1633" t="n"/>
      <c r="AV42" s="1633" t="n"/>
      <c r="AW42" s="1633" t="n"/>
      <c r="AX42" s="1633" t="n"/>
      <c r="AY42" s="1633" t="n"/>
      <c r="AZ42" s="1633" t="n"/>
    </row>
    <row r="43" ht="12" customFormat="1" customHeight="1" s="1573">
      <c r="A43" s="1508" t="inlineStr">
        <is>
          <t>Text_936</t>
        </is>
      </c>
      <c r="B43" s="2401" t="n">
        <v>789.345855460661</v>
      </c>
      <c r="C43" s="2401" t="n">
        <v>524.421684960534</v>
      </c>
      <c r="D43" s="2401" t="n">
        <v>796.627704959059</v>
      </c>
      <c r="E43" s="2401" t="n">
        <v>703.334829507316</v>
      </c>
      <c r="F43" s="2401" t="n">
        <v>711.83181065838</v>
      </c>
      <c r="G43" s="2401" t="n">
        <v>807.441293740846</v>
      </c>
      <c r="H43" s="2401" t="n">
        <v>867.824612695054</v>
      </c>
      <c r="I43" s="2402" t="n">
        <v>0.0519810334693715</v>
      </c>
      <c r="J43" s="1640" t="n"/>
      <c r="AU43" s="1633" t="n"/>
      <c r="AV43" s="1633" t="n"/>
      <c r="AW43" s="1633" t="n"/>
      <c r="AX43" s="1633" t="n"/>
      <c r="AY43" s="1633" t="n"/>
      <c r="AZ43" s="1633" t="n"/>
    </row>
    <row r="44" ht="12" customFormat="1" customHeight="1" s="1573">
      <c r="A44" s="1508" t="inlineStr">
        <is>
          <t>Text_937</t>
        </is>
      </c>
      <c r="B44" s="2401" t="n">
        <v>5829.73067191563</v>
      </c>
      <c r="C44" s="2401" t="n">
        <v>6467.29889153142</v>
      </c>
      <c r="D44" s="2401" t="n">
        <v>5409.23497733461</v>
      </c>
      <c r="E44" s="2401" t="n">
        <v>6387.73628183303</v>
      </c>
      <c r="F44" s="2401" t="n">
        <v>6288.7341743509</v>
      </c>
      <c r="G44" s="2401" t="n">
        <v>6344.86965391303</v>
      </c>
      <c r="H44" s="2401" t="n">
        <v>6326.0404901141</v>
      </c>
      <c r="I44" s="2402" t="n">
        <v>-0.00676795592106611</v>
      </c>
      <c r="J44" s="1640" t="n"/>
      <c r="AU44" s="1633" t="n"/>
      <c r="AV44" s="1633" t="n"/>
      <c r="AW44" s="1633" t="n"/>
      <c r="AX44" s="1633" t="n"/>
      <c r="AY44" s="1633" t="n"/>
      <c r="AZ44" s="1633" t="n"/>
    </row>
    <row r="45" ht="12" customFormat="1" customHeight="1" s="1573">
      <c r="A45" s="1466" t="inlineStr">
        <is>
          <t>Text_938</t>
        </is>
      </c>
      <c r="B45" s="2403" t="n">
        <v>12377.7574794406</v>
      </c>
      <c r="C45" s="2403" t="n">
        <v>11694.9352332037</v>
      </c>
      <c r="D45" s="2403" t="n">
        <v>11131.761621127</v>
      </c>
      <c r="E45" s="2403" t="n">
        <v>9696.73478790294</v>
      </c>
      <c r="F45" s="2403" t="n">
        <v>9492.061909880989</v>
      </c>
      <c r="G45" s="2403" t="n">
        <v>12762.4395818125</v>
      </c>
      <c r="H45" s="2403" t="n">
        <v>11462.1553782923</v>
      </c>
      <c r="I45" s="2396" t="n">
        <v>-0.0114472190318197</v>
      </c>
      <c r="J45" s="1640" t="n"/>
      <c r="AU45" s="1633" t="n"/>
      <c r="AV45" s="1633" t="n"/>
      <c r="AW45" s="1633" t="n"/>
      <c r="AX45" s="1633" t="n"/>
      <c r="AY45" s="1633" t="n"/>
      <c r="AZ45" s="1633" t="n"/>
    </row>
    <row r="46" ht="12" customFormat="1" customHeight="1" s="1573">
      <c r="A46" s="1466" t="inlineStr">
        <is>
          <t>Text_939</t>
        </is>
      </c>
      <c r="B46" s="2403" t="n">
        <v>15407.6711762893</v>
      </c>
      <c r="C46" s="2403" t="n">
        <v>12294.6380046613</v>
      </c>
      <c r="D46" s="2403" t="n">
        <v>10517.7929659158</v>
      </c>
      <c r="E46" s="2403" t="n">
        <v>12820.4995681408</v>
      </c>
      <c r="F46" s="2403" t="n">
        <v>12130.4606935665</v>
      </c>
      <c r="G46" s="2403" t="n">
        <v>12771.088479246</v>
      </c>
      <c r="H46" s="2403" t="n">
        <v>12327.8750577981</v>
      </c>
      <c r="I46" s="2396" t="n">
        <v>0.00123042429311803</v>
      </c>
      <c r="J46" s="1640" t="n"/>
      <c r="AU46" s="1633" t="n"/>
      <c r="AV46" s="1633" t="n"/>
      <c r="AW46" s="1633" t="n"/>
      <c r="AX46" s="1633" t="n"/>
      <c r="AY46" s="1633" t="n"/>
      <c r="AZ46" s="1633" t="n"/>
    </row>
    <row r="47" ht="12" customFormat="1" customHeight="1" s="1573">
      <c r="A47" s="1508" t="inlineStr">
        <is>
          <t>Text_940</t>
        </is>
      </c>
      <c r="B47" s="2401" t="n">
        <v>4717.10627614769</v>
      </c>
      <c r="C47" s="2401" t="n">
        <v>4409.12797890697</v>
      </c>
      <c r="D47" s="2401" t="n">
        <v>3870.18232903805</v>
      </c>
      <c r="E47" s="2401" t="n">
        <v>4097.51650424964</v>
      </c>
      <c r="F47" s="2401" t="n">
        <v>4212.03391871441</v>
      </c>
      <c r="G47" s="2401" t="n">
        <v>4028.13092597066</v>
      </c>
      <c r="H47" s="2401" t="n">
        <v>5137.51376693841</v>
      </c>
      <c r="I47" s="2402" t="n">
        <v>-0.008501685572805289</v>
      </c>
      <c r="AY47" s="1633" t="n"/>
      <c r="AZ47" s="1633" t="n"/>
    </row>
    <row r="48" ht="12" customFormat="1" customHeight="1" s="1573">
      <c r="A48" s="1508" t="inlineStr">
        <is>
          <t>Text_941</t>
        </is>
      </c>
      <c r="B48" s="2401" t="n">
        <v>936.4686976381749</v>
      </c>
      <c r="C48" s="2401" t="n">
        <v>1346.84417709997</v>
      </c>
      <c r="D48" s="2401" t="n">
        <v>774.274524211007</v>
      </c>
      <c r="E48" s="2401" t="n">
        <v>815.591357380451</v>
      </c>
      <c r="F48" s="2401" t="n">
        <v>865.23864301223</v>
      </c>
      <c r="G48" s="2401" t="n">
        <v>895.081979104199</v>
      </c>
      <c r="H48" s="2401" t="n">
        <v>1044.61516620353</v>
      </c>
      <c r="I48" s="2402" t="n">
        <v>-0.0511932705927164</v>
      </c>
      <c r="AY48" s="1633" t="n"/>
      <c r="AZ48" s="1633" t="n"/>
    </row>
    <row r="49" ht="12" customFormat="1" customHeight="1" s="1649">
      <c r="A49" s="1650" t="inlineStr">
        <is>
          <t>Text_942</t>
        </is>
      </c>
      <c r="B49" s="2401" t="n">
        <v>18.254302985696</v>
      </c>
      <c r="C49" s="2401" t="n">
        <v>22.3456520060152</v>
      </c>
      <c r="D49" s="2401" t="n">
        <v>17.4098424903876</v>
      </c>
      <c r="E49" s="2401" t="n">
        <v>17.9108458599707</v>
      </c>
      <c r="F49" s="2401" t="n">
        <v>17.0789286796037</v>
      </c>
      <c r="G49" s="2401" t="n">
        <v>18.8654711928202</v>
      </c>
      <c r="H49" s="2401" t="n">
        <v>18.0755330016556</v>
      </c>
      <c r="I49" s="2402" t="n">
        <v>-0.0226427918071189</v>
      </c>
    </row>
    <row r="50" ht="12" customFormat="1" customHeight="1" s="1649">
      <c r="A50" s="1650" t="inlineStr">
        <is>
          <t>Text_943</t>
        </is>
      </c>
      <c r="B50" s="2401" t="n">
        <v>500.857654098551</v>
      </c>
      <c r="C50" s="2401" t="n">
        <v>579.41170917071</v>
      </c>
      <c r="D50" s="2401" t="n">
        <v>465.991841609298</v>
      </c>
      <c r="E50" s="2401" t="n">
        <v>479.666681699975</v>
      </c>
      <c r="F50" s="2401" t="n">
        <v>540.41368543519</v>
      </c>
      <c r="G50" s="2401" t="n">
        <v>697.372101101809</v>
      </c>
      <c r="H50" s="2401" t="n">
        <v>527.383334467496</v>
      </c>
      <c r="I50" s="2402" t="n">
        <v>0.0147992574852332</v>
      </c>
    </row>
    <row r="51" ht="12" customFormat="1" customHeight="1" s="1649">
      <c r="A51" s="1650" t="inlineStr">
        <is>
          <t>Text_944</t>
        </is>
      </c>
      <c r="B51" s="2401" t="n">
        <v>1340.90050666841</v>
      </c>
      <c r="C51" s="2401" t="n">
        <v>1675.66629900026</v>
      </c>
      <c r="D51" s="2401" t="n">
        <v>1291.79293232098</v>
      </c>
      <c r="E51" s="2401" t="n">
        <v>1340.98071570128</v>
      </c>
      <c r="F51" s="2401" t="n">
        <v>1348.36200506708</v>
      </c>
      <c r="G51" s="2401" t="n">
        <v>1487.11321395011</v>
      </c>
      <c r="H51" s="2401" t="n">
        <v>1386.45167366098</v>
      </c>
      <c r="I51" s="2402" t="n">
        <v>-0.0321250270739026</v>
      </c>
    </row>
    <row r="52" ht="12" customFormat="1" customHeight="1" s="1649">
      <c r="A52" s="1466" t="inlineStr">
        <is>
          <t>Text_945</t>
        </is>
      </c>
      <c r="B52" s="2403" t="n">
        <v>23705.2284322965</v>
      </c>
      <c r="C52" s="2403" t="n">
        <v>25871.7319072248</v>
      </c>
      <c r="D52" s="2403" t="n">
        <v>17577.2404355847</v>
      </c>
      <c r="E52" s="2403" t="n">
        <v>19066.6160490368</v>
      </c>
      <c r="F52" s="2403" t="n">
        <v>22662.7209448044</v>
      </c>
      <c r="G52" s="2403" t="n">
        <v>18678.290777591</v>
      </c>
      <c r="H52" s="2403" t="n">
        <v>24253.7000646093</v>
      </c>
      <c r="I52" s="2396" t="n">
        <v>-0.00593090565923186</v>
      </c>
    </row>
    <row r="53" ht="12" customFormat="1" customHeight="1" s="1649">
      <c r="A53" s="1647" t="n"/>
      <c r="B53" s="2401" t="n"/>
      <c r="C53" s="2401" t="n"/>
      <c r="D53" s="2401" t="n"/>
      <c r="E53" s="2401" t="n"/>
      <c r="F53" s="2401" t="n"/>
      <c r="G53" s="2401" t="n"/>
      <c r="H53" s="2401" t="n"/>
      <c r="I53" s="2402" t="n"/>
    </row>
    <row r="54" ht="12" customFormat="1" customHeight="1" s="1649">
      <c r="A54" s="1466" t="inlineStr">
        <is>
          <t>Text_946</t>
        </is>
      </c>
      <c r="B54" s="2401" t="n"/>
      <c r="C54" s="2401" t="n"/>
      <c r="D54" s="2401" t="n"/>
      <c r="E54" s="2401" t="n"/>
      <c r="F54" s="2401" t="n"/>
      <c r="G54" s="2401" t="n"/>
      <c r="H54" s="2401" t="n"/>
      <c r="I54" s="2402" t="n"/>
    </row>
    <row r="55" ht="12" customFormat="1" customHeight="1" s="1649">
      <c r="A55" s="1650" t="inlineStr">
        <is>
          <t>Text_947</t>
        </is>
      </c>
      <c r="B55" s="2401" t="n">
        <v>8620.04325302807</v>
      </c>
      <c r="C55" s="2401" t="n">
        <v>8452.00211800756</v>
      </c>
      <c r="D55" s="2401" t="n">
        <v>10576.8689513708</v>
      </c>
      <c r="E55" s="2401" t="n">
        <v>9204.09407605546</v>
      </c>
      <c r="F55" s="2401" t="n">
        <v>8577.479730109881</v>
      </c>
      <c r="G55" s="2401" t="n">
        <v>10170.0490896917</v>
      </c>
      <c r="H55" s="2401" t="n">
        <v>10778.4699623814</v>
      </c>
      <c r="I55" s="2402" t="n">
        <v>0.031289175043012</v>
      </c>
    </row>
    <row r="56" ht="12" customFormat="1" customHeight="1" s="1649">
      <c r="A56" s="1650" t="inlineStr">
        <is>
          <t>Text_948</t>
        </is>
      </c>
      <c r="B56" s="2401" t="n">
        <v>10806.275591701</v>
      </c>
      <c r="C56" s="2401" t="n">
        <v>13328.041112511</v>
      </c>
      <c r="D56" s="2401" t="n">
        <v>7633.09028784415</v>
      </c>
      <c r="E56" s="2401" t="n">
        <v>8503.895393756389</v>
      </c>
      <c r="F56" s="2401" t="n">
        <v>9410.076706959249</v>
      </c>
      <c r="G56" s="2401" t="n">
        <v>10120.9156752899</v>
      </c>
      <c r="H56" s="2401" t="n">
        <v>9467.828525474761</v>
      </c>
      <c r="I56" s="2402" t="n">
        <v>-0.0205155772651917</v>
      </c>
    </row>
    <row r="57" ht="12" customFormat="1" customHeight="1" s="1649">
      <c r="A57" s="1466" t="inlineStr">
        <is>
          <t>Text_949</t>
        </is>
      </c>
      <c r="B57" s="2403" t="n">
        <v>22036.2555892347</v>
      </c>
      <c r="C57" s="2403" t="n">
        <v>21000.4318894593</v>
      </c>
      <c r="D57" s="2403" t="n">
        <v>17985.5791610117</v>
      </c>
      <c r="E57" s="2403" t="n">
        <v>16076.4634309488</v>
      </c>
      <c r="F57" s="2403" t="n">
        <v>19612.0630251531</v>
      </c>
      <c r="G57" s="2403" t="n">
        <v>22633.9771322833</v>
      </c>
      <c r="H57" s="2403" t="n">
        <v>21551.4812041585</v>
      </c>
      <c r="I57" s="2396" t="n">
        <v>0.00438601344612626</v>
      </c>
    </row>
    <row r="58" ht="12" customFormat="1" customHeight="1" s="1649">
      <c r="A58" s="1650" t="inlineStr">
        <is>
          <t>Text_950</t>
        </is>
      </c>
      <c r="B58" s="2401" t="n">
        <v>779.068452010166</v>
      </c>
      <c r="C58" s="2401" t="n">
        <v>773.20976046227</v>
      </c>
      <c r="D58" s="2401" t="n">
        <v>667.549245790462</v>
      </c>
      <c r="E58" s="2401" t="n">
        <v>565.524030899582</v>
      </c>
      <c r="F58" s="2401" t="n">
        <v>671.355849376616</v>
      </c>
      <c r="G58" s="2401" t="n">
        <v>726.479602669247</v>
      </c>
      <c r="H58" s="2401" t="n">
        <v>776.164234412294</v>
      </c>
      <c r="I58" s="2402" t="n">
        <v>-0.00307850656765469</v>
      </c>
    </row>
    <row r="59" ht="12" customFormat="1" customHeight="1" s="1649">
      <c r="A59" s="1650" t="inlineStr">
        <is>
          <t>Text_951</t>
        </is>
      </c>
      <c r="B59" s="2401" t="n">
        <v>238.89927459813</v>
      </c>
      <c r="C59" s="2401" t="n">
        <v>288.374148796144</v>
      </c>
      <c r="D59" s="2401" t="n">
        <v>200.8141131709</v>
      </c>
      <c r="E59" s="2401" t="n">
        <v>191.111646948778</v>
      </c>
      <c r="F59" s="2401" t="n">
        <v>243.233323068803</v>
      </c>
      <c r="G59" s="2401" t="n">
        <v>225.760328668487</v>
      </c>
      <c r="H59" s="2401" t="n">
        <v>222.705502339189</v>
      </c>
      <c r="I59" s="2402" t="n">
        <v>-0.01737033690683</v>
      </c>
    </row>
    <row r="60" ht="12" customFormat="1" customHeight="1" s="1649">
      <c r="A60" s="1650" t="inlineStr">
        <is>
          <t>Text_952</t>
        </is>
      </c>
      <c r="B60" s="2401" t="n">
        <v>2682.76768682199</v>
      </c>
      <c r="C60" s="2401" t="n">
        <v>2515.81921277894</v>
      </c>
      <c r="D60" s="2401" t="n">
        <v>2485.99196678109</v>
      </c>
      <c r="E60" s="2401" t="n">
        <v>2363.22000821911</v>
      </c>
      <c r="F60" s="2401" t="n">
        <v>2572.74043300957</v>
      </c>
      <c r="G60" s="2401" t="n">
        <v>3328.00711594676</v>
      </c>
      <c r="H60" s="2401" t="n">
        <v>2977.80643499064</v>
      </c>
      <c r="I60" s="2402" t="n">
        <v>-0.00245596549000785</v>
      </c>
    </row>
    <row r="61" ht="12" customFormat="1" customHeight="1" s="1649">
      <c r="A61" s="1650" t="inlineStr">
        <is>
          <t>Text_953</t>
        </is>
      </c>
      <c r="B61" s="2401" t="n">
        <v>916.629690216037</v>
      </c>
      <c r="C61" s="2401" t="n">
        <v>1178.4492432661</v>
      </c>
      <c r="D61" s="2401" t="n">
        <v>1042.22851857387</v>
      </c>
      <c r="E61" s="2401" t="n">
        <v>981.163856220103</v>
      </c>
      <c r="F61" s="2401" t="n">
        <v>1130.23167760037</v>
      </c>
      <c r="G61" s="2401" t="n">
        <v>1113.83539456776</v>
      </c>
      <c r="H61" s="2401" t="n">
        <v>1023.28212395878</v>
      </c>
      <c r="I61" s="2402" t="n">
        <v>0.00194885771827538</v>
      </c>
    </row>
    <row r="62" ht="12" customFormat="1" customHeight="1" s="1649">
      <c r="A62" s="1650" t="inlineStr">
        <is>
          <t>Text_954</t>
        </is>
      </c>
      <c r="B62" s="2401" t="n">
        <v>11.0947470908097</v>
      </c>
      <c r="C62" s="2401" t="n">
        <v>49.7332888511731</v>
      </c>
      <c r="D62" s="2401" t="n">
        <v>8.020923938962691</v>
      </c>
      <c r="E62" s="2401" t="n">
        <v>10.3191329744529</v>
      </c>
      <c r="F62" s="2401" t="n">
        <v>11.4094872162436</v>
      </c>
      <c r="G62" s="2401" t="n">
        <v>10.3583142918794</v>
      </c>
      <c r="H62" s="2401" t="n">
        <v>11.0035334378158</v>
      </c>
      <c r="I62" s="2402" t="n">
        <v>-0.247143585421128</v>
      </c>
    </row>
    <row r="63" ht="12" customFormat="1" customHeight="1" s="1649">
      <c r="A63" s="1650" t="inlineStr">
        <is>
          <t>Text_955</t>
        </is>
      </c>
      <c r="B63" s="2401" t="n">
        <v>4266.63815091779</v>
      </c>
      <c r="C63" s="2401" t="n">
        <v>3748.29998973415</v>
      </c>
      <c r="D63" s="2401" t="n">
        <v>2668.36317848233</v>
      </c>
      <c r="E63" s="2401" t="n">
        <v>2892.16241376721</v>
      </c>
      <c r="F63" s="2401" t="n">
        <v>3348.32135102426</v>
      </c>
      <c r="G63" s="2401" t="n">
        <v>3319.32779310943</v>
      </c>
      <c r="H63" s="2401" t="n">
        <v>3863.00143944565</v>
      </c>
      <c r="I63" s="2402" t="n">
        <v>-0.0105456814640986</v>
      </c>
    </row>
    <row r="64" ht="12" customFormat="1" customHeight="1" s="1649">
      <c r="A64" s="1650" t="inlineStr">
        <is>
          <t>Text_956</t>
        </is>
      </c>
      <c r="B64" s="2401" t="n">
        <v>389.493757429797</v>
      </c>
      <c r="C64" s="2401" t="n">
        <v>471.700239105463</v>
      </c>
      <c r="D64" s="2401" t="n">
        <v>348.638518149534</v>
      </c>
      <c r="E64" s="2401" t="n">
        <v>349.941519945073</v>
      </c>
      <c r="F64" s="2401" t="n">
        <v>405.668047297965</v>
      </c>
      <c r="G64" s="2401" t="n">
        <v>425.908297873997</v>
      </c>
      <c r="H64" s="2401" t="n">
        <v>383.290012859008</v>
      </c>
      <c r="I64" s="2402" t="n">
        <v>-0.0281141413711668</v>
      </c>
    </row>
    <row r="65" ht="12" customFormat="1" customHeight="1" s="1649">
      <c r="A65" s="1466" t="inlineStr">
        <is>
          <t>Text_957</t>
        </is>
      </c>
      <c r="B65" s="2403" t="n">
        <v>33178.2512268145</v>
      </c>
      <c r="C65" s="2403" t="n">
        <v>29717.1030587159</v>
      </c>
      <c r="D65" s="2403" t="n">
        <v>24359.7180207502</v>
      </c>
      <c r="E65" s="2403" t="n">
        <v>25470.8973707635</v>
      </c>
      <c r="F65" s="2403" t="n">
        <v>31531.831298947</v>
      </c>
      <c r="G65" s="2403" t="n">
        <v>28126.1740084045</v>
      </c>
      <c r="H65" s="2403" t="n">
        <v>32276.0652508615</v>
      </c>
      <c r="I65" s="2396" t="n">
        <v>0.000557657668228716</v>
      </c>
    </row>
    <row r="66" ht="12" customFormat="1" customHeight="1" s="1649">
      <c r="A66" s="1647" t="n"/>
      <c r="B66" s="2401" t="n"/>
      <c r="C66" s="2401" t="n"/>
      <c r="D66" s="2401" t="n"/>
      <c r="E66" s="2401" t="n"/>
      <c r="F66" s="2401" t="n"/>
      <c r="G66" s="2401" t="n"/>
      <c r="H66" s="2401" t="n"/>
      <c r="I66" s="2402" t="n"/>
    </row>
    <row r="67" ht="12" customFormat="1" customHeight="1" s="1649">
      <c r="A67" s="1466" t="inlineStr">
        <is>
          <t>Text_958</t>
        </is>
      </c>
      <c r="B67" s="2401" t="n"/>
      <c r="C67" s="2401" t="n"/>
      <c r="D67" s="2401" t="n"/>
      <c r="E67" s="2401" t="n"/>
      <c r="F67" s="2401" t="n"/>
      <c r="G67" s="2401" t="n"/>
      <c r="H67" s="2401" t="n"/>
      <c r="I67" s="2402" t="n"/>
    </row>
    <row r="68" ht="12" customFormat="1" customHeight="1" s="1649">
      <c r="A68" s="1650" t="inlineStr">
        <is>
          <t>Text_959</t>
        </is>
      </c>
      <c r="B68" s="2401" t="n">
        <v>2889.26949755077</v>
      </c>
      <c r="C68" s="2401" t="n">
        <v>2703.35267983182</v>
      </c>
      <c r="D68" s="2401" t="n">
        <v>2732.67256606725</v>
      </c>
      <c r="E68" s="2401" t="n">
        <v>2279.35377608243</v>
      </c>
      <c r="F68" s="2401" t="n">
        <v>2949.46532048097</v>
      </c>
      <c r="G68" s="2401" t="n">
        <v>3400.1594835365</v>
      </c>
      <c r="H68" s="2401" t="n">
        <v>2971.29404613521</v>
      </c>
      <c r="I68" s="2402" t="n">
        <v>0.0111188567207455</v>
      </c>
    </row>
    <row r="69" ht="12" customFormat="1" customHeight="1" s="1649">
      <c r="A69" s="1650" t="inlineStr">
        <is>
          <t>Text_960</t>
        </is>
      </c>
      <c r="B69" s="2401" t="n">
        <v>881.7865385561551</v>
      </c>
      <c r="C69" s="2401" t="n">
        <v>1179.59172853295</v>
      </c>
      <c r="D69" s="2401" t="n">
        <v>895.861651985504</v>
      </c>
      <c r="E69" s="2401" t="n">
        <v>847.9834763671111</v>
      </c>
      <c r="F69" s="2401" t="n">
        <v>894.715833730395</v>
      </c>
      <c r="G69" s="2401" t="n">
        <v>1311.39019025253</v>
      </c>
      <c r="H69" s="2401" t="n">
        <v>985.291671983666</v>
      </c>
      <c r="I69" s="2402" t="n">
        <v>0.01080121591046</v>
      </c>
    </row>
    <row r="70" ht="12" customFormat="1" customHeight="1" s="1649">
      <c r="A70" s="1466" t="inlineStr">
        <is>
          <t>Text_961</t>
        </is>
      </c>
      <c r="B70" s="2403" t="n">
        <v>3650.89580945834</v>
      </c>
      <c r="C70" s="2403" t="n">
        <v>4303.11141945707</v>
      </c>
      <c r="D70" s="2403" t="n">
        <v>3548.69366391307</v>
      </c>
      <c r="E70" s="2403" t="n">
        <v>3150.20120204309</v>
      </c>
      <c r="F70" s="2403" t="n">
        <v>3627.67997920853</v>
      </c>
      <c r="G70" s="2403" t="n">
        <v>3987.47103001639</v>
      </c>
      <c r="H70" s="2403" t="n">
        <v>4006.86203143191</v>
      </c>
      <c r="I70" s="2396" t="n">
        <v>0.0107542596667942</v>
      </c>
    </row>
    <row r="71" ht="12" customFormat="1" customHeight="1" s="1649">
      <c r="A71" s="1647" t="n"/>
      <c r="B71" s="2401" t="n"/>
      <c r="C71" s="2401" t="n"/>
      <c r="D71" s="2401" t="n"/>
      <c r="E71" s="2401" t="n"/>
      <c r="F71" s="2401" t="n"/>
      <c r="G71" s="2401" t="n"/>
      <c r="H71" s="2401" t="n"/>
      <c r="I71" s="2402" t="n"/>
    </row>
    <row r="72" ht="12" customFormat="1" customHeight="1" s="1649">
      <c r="A72" s="1466" t="inlineStr">
        <is>
          <t>Text_962</t>
        </is>
      </c>
      <c r="B72" s="2401" t="n"/>
      <c r="C72" s="2401" t="n"/>
      <c r="D72" s="2401" t="n"/>
      <c r="E72" s="2401" t="n"/>
      <c r="F72" s="2401" t="n"/>
      <c r="G72" s="2401" t="n"/>
      <c r="H72" s="2401" t="n"/>
      <c r="I72" s="2402" t="n"/>
    </row>
    <row r="73" ht="12" customFormat="1" customHeight="1" s="1649">
      <c r="A73" s="1650" t="inlineStr">
        <is>
          <t>Text_963</t>
        </is>
      </c>
      <c r="B73" s="2401" t="n">
        <v>274.070489367728</v>
      </c>
      <c r="C73" s="2401" t="n">
        <v>394.100569783823</v>
      </c>
      <c r="D73" s="2401" t="n">
        <v>263.208583727938</v>
      </c>
      <c r="E73" s="2401" t="n">
        <v>258.579169355193</v>
      </c>
      <c r="F73" s="2401" t="n">
        <v>333.165503614289</v>
      </c>
      <c r="G73" s="2401" t="n">
        <v>357.745712239691</v>
      </c>
      <c r="H73" s="2401" t="n">
        <v>356.2507833732</v>
      </c>
      <c r="I73" s="2402" t="n">
        <v>-0.0522725219943507</v>
      </c>
    </row>
    <row r="74" ht="12" customFormat="1" customHeight="1" s="1649">
      <c r="A74" s="1650" t="inlineStr">
        <is>
          <t>Text_964</t>
        </is>
      </c>
      <c r="B74" s="2401" t="n">
        <v>378.481395497595</v>
      </c>
      <c r="C74" s="2401" t="n">
        <v>477.922526733596</v>
      </c>
      <c r="D74" s="2401" t="n">
        <v>437.649392938565</v>
      </c>
      <c r="E74" s="2401" t="n">
        <v>457.724976401699</v>
      </c>
      <c r="F74" s="2401" t="n">
        <v>537.0265249883799</v>
      </c>
      <c r="G74" s="2401" t="n">
        <v>590.534438220355</v>
      </c>
      <c r="H74" s="2401" t="n">
        <v>608.829877269646</v>
      </c>
      <c r="I74" s="2402" t="n">
        <v>0.0173351116333451</v>
      </c>
    </row>
    <row r="75" ht="12" customFormat="1" customHeight="1" s="1649">
      <c r="A75" s="1650" t="inlineStr">
        <is>
          <t>Text_965</t>
        </is>
      </c>
      <c r="B75" s="2401" t="n">
        <v>1080.67479489801</v>
      </c>
      <c r="C75" s="2401" t="n">
        <v>1259.94571108252</v>
      </c>
      <c r="D75" s="2401" t="n">
        <v>976.838234070887</v>
      </c>
      <c r="E75" s="2401" t="n">
        <v>1179.88513063596</v>
      </c>
      <c r="F75" s="2401" t="n">
        <v>1029.60489360609</v>
      </c>
      <c r="G75" s="2401" t="n">
        <v>1263.03204261601</v>
      </c>
      <c r="H75" s="2401" t="n">
        <v>1249.71772273524</v>
      </c>
      <c r="I75" s="2402" t="n">
        <v>-0.00272734481136022</v>
      </c>
    </row>
    <row r="76" ht="12" customFormat="1" customHeight="1" s="1649">
      <c r="A76" s="1650" t="inlineStr">
        <is>
          <t>Text_966</t>
        </is>
      </c>
      <c r="B76" s="2401" t="n">
        <v>652.793002517554</v>
      </c>
      <c r="C76" s="2401" t="n">
        <v>728.510774472532</v>
      </c>
      <c r="D76" s="2401" t="n">
        <v>723.232436952578</v>
      </c>
      <c r="E76" s="2401" t="n">
        <v>588.8202949847901</v>
      </c>
      <c r="F76" s="2401" t="n">
        <v>669.969964481873</v>
      </c>
      <c r="G76" s="2401" t="n">
        <v>782.316626273675</v>
      </c>
      <c r="H76" s="2401" t="n">
        <v>771.389768799011</v>
      </c>
      <c r="I76" s="2402" t="n">
        <v>-0.0124352885700191</v>
      </c>
    </row>
    <row r="77" ht="12" customFormat="1" customHeight="1" s="1649">
      <c r="A77" s="1650" t="inlineStr">
        <is>
          <t>Text_967</t>
        </is>
      </c>
      <c r="B77" s="2401" t="n">
        <v>2652.01612266362</v>
      </c>
      <c r="C77" s="2401" t="n">
        <v>3653.02546600714</v>
      </c>
      <c r="D77" s="2401" t="n">
        <v>3570.3961433129</v>
      </c>
      <c r="E77" s="2401" t="n">
        <v>4010.02609944802</v>
      </c>
      <c r="F77" s="2401" t="n">
        <v>3528.8254298992</v>
      </c>
      <c r="G77" s="2401" t="n">
        <v>4475.8153386337</v>
      </c>
      <c r="H77" s="2401" t="n">
        <v>4485.47672517835</v>
      </c>
      <c r="I77" s="2402" t="n">
        <v>0.0465382861645635</v>
      </c>
    </row>
    <row r="78" ht="12" customFormat="1" customHeight="1" s="1649">
      <c r="A78" s="1650" t="inlineStr">
        <is>
          <t>Text_968</t>
        </is>
      </c>
      <c r="B78" s="2401" t="n">
        <v>590.8736006962509</v>
      </c>
      <c r="C78" s="2401" t="n">
        <v>662.907779532679</v>
      </c>
      <c r="D78" s="2401" t="n">
        <v>662.356327902041</v>
      </c>
      <c r="E78" s="2401" t="n">
        <v>698.000384411412</v>
      </c>
      <c r="F78" s="2401" t="n">
        <v>692.249278852961</v>
      </c>
      <c r="G78" s="2401" t="n">
        <v>758.263304965053</v>
      </c>
      <c r="H78" s="2401" t="n">
        <v>752.197388903712</v>
      </c>
      <c r="I78" s="2402" t="n">
        <v>0.0133883753581949</v>
      </c>
    </row>
    <row r="79" ht="12" customFormat="1" customHeight="1" s="1649">
      <c r="A79" s="1650" t="inlineStr">
        <is>
          <t>Text_969</t>
        </is>
      </c>
      <c r="B79" s="2401" t="n">
        <v>12.7346071607272</v>
      </c>
      <c r="C79" s="2401" t="n">
        <v>12.2704863816044</v>
      </c>
      <c r="D79" s="2401" t="n">
        <v>14.4402535185991</v>
      </c>
      <c r="E79" s="2401" t="n">
        <v>13.4856482746199</v>
      </c>
      <c r="F79" s="2401" t="n">
        <v>16.1954797418134</v>
      </c>
      <c r="G79" s="2401" t="n">
        <v>16.4739112932087</v>
      </c>
      <c r="H79" s="2401" t="n">
        <v>15.6929358729867</v>
      </c>
      <c r="I79" s="2402" t="n">
        <v>0.06563065968653591</v>
      </c>
    </row>
    <row r="80" ht="12" customFormat="1" customHeight="1" s="1649">
      <c r="A80" s="1466" t="inlineStr">
        <is>
          <t>Text_970</t>
        </is>
      </c>
      <c r="B80" s="2403" t="n">
        <v>5180.08453730446</v>
      </c>
      <c r="C80" s="2403" t="n">
        <v>8167.48407903189</v>
      </c>
      <c r="D80" s="2403" t="n">
        <v>7383.69192586256</v>
      </c>
      <c r="E80" s="2403" t="n">
        <v>7085.86690816573</v>
      </c>
      <c r="F80" s="2403" t="n">
        <v>6441.15930960402</v>
      </c>
      <c r="G80" s="2403" t="n">
        <v>8431.650989083009</v>
      </c>
      <c r="H80" s="2403" t="n">
        <v>8832.235139676981</v>
      </c>
      <c r="I80" s="2396" t="n">
        <v>0.0229684847363535</v>
      </c>
    </row>
    <row r="81" ht="12" customFormat="1" customHeight="1" s="1649">
      <c r="A81" s="1650" t="inlineStr">
        <is>
          <t>Text_971</t>
        </is>
      </c>
      <c r="B81" s="2401" t="n">
        <v>751.048968723658</v>
      </c>
      <c r="C81" s="2401" t="n">
        <v>1030.86295295231</v>
      </c>
      <c r="D81" s="2401" t="n">
        <v>1016.49792091029</v>
      </c>
      <c r="E81" s="2401" t="n">
        <v>909.634739272836</v>
      </c>
      <c r="F81" s="2401" t="n">
        <v>1036.05218600154</v>
      </c>
      <c r="G81" s="2401" t="n">
        <v>1036.78781464111</v>
      </c>
      <c r="H81" s="2401" t="n">
        <v>1087.46622598876</v>
      </c>
      <c r="I81" s="2402" t="n">
        <v>0.0167631770607071</v>
      </c>
    </row>
    <row r="82" ht="12" customFormat="1" customHeight="1" s="1649">
      <c r="A82" s="1650" t="inlineStr">
        <is>
          <t>Text_972</t>
        </is>
      </c>
      <c r="B82" s="2401" t="n">
        <v>1142.44070922111</v>
      </c>
      <c r="C82" s="2401" t="n">
        <v>1379.94455399906</v>
      </c>
      <c r="D82" s="2401" t="n">
        <v>1164.89043153988</v>
      </c>
      <c r="E82" s="2401" t="n">
        <v>1072.12769266162</v>
      </c>
      <c r="F82" s="2401" t="n">
        <v>1257.25407227417</v>
      </c>
      <c r="G82" s="2401" t="n">
        <v>1188.62515387128</v>
      </c>
      <c r="H82" s="2401" t="n">
        <v>1456.62825336858</v>
      </c>
      <c r="I82" s="2402" t="n">
        <v>-0.0276246820738859</v>
      </c>
    </row>
    <row r="83" ht="12" customFormat="1" customHeight="1" s="1649">
      <c r="A83" s="1650" t="inlineStr">
        <is>
          <t>Text_973</t>
        </is>
      </c>
      <c r="B83" s="2401" t="n">
        <v>37.5104755252159</v>
      </c>
      <c r="C83" s="2401" t="n">
        <v>71.8254549857535</v>
      </c>
      <c r="D83" s="2401" t="n">
        <v>40.3923800951943</v>
      </c>
      <c r="E83" s="2401" t="n">
        <v>49.046430813876</v>
      </c>
      <c r="F83" s="2401" t="n">
        <v>45.8217675899767</v>
      </c>
      <c r="G83" s="2401" t="n">
        <v>48.2931259734335</v>
      </c>
      <c r="H83" s="2401" t="n">
        <v>43.6477348324631</v>
      </c>
      <c r="I83" s="2402" t="n">
        <v>-0.09638442420207009</v>
      </c>
    </row>
    <row r="84" ht="12" customFormat="1" customHeight="1" s="1649">
      <c r="A84" s="1650" t="inlineStr">
        <is>
          <t>Text_974</t>
        </is>
      </c>
      <c r="B84" s="2401" t="n">
        <v>868.0535624436631</v>
      </c>
      <c r="C84" s="2401" t="n">
        <v>1168.75692948805</v>
      </c>
      <c r="D84" s="2401" t="n">
        <v>905.242191950119</v>
      </c>
      <c r="E84" s="2401" t="n">
        <v>728.19386843756</v>
      </c>
      <c r="F84" s="2401" t="n">
        <v>800.130092141549</v>
      </c>
      <c r="G84" s="2401" t="n">
        <v>842.212069127418</v>
      </c>
      <c r="H84" s="2401" t="n">
        <v>954.73884742646</v>
      </c>
      <c r="I84" s="2402" t="n">
        <v>-0.00630299396539665</v>
      </c>
    </row>
    <row r="85" ht="12" customFormat="1" customHeight="1" s="1649">
      <c r="A85" s="1466" t="inlineStr">
        <is>
          <t>Text_975</t>
        </is>
      </c>
      <c r="B85" s="2403" t="n">
        <v>2570.24097715466</v>
      </c>
      <c r="C85" s="2403" t="n">
        <v>3583.80754736529</v>
      </c>
      <c r="D85" s="2403" t="n">
        <v>3431.93172188508</v>
      </c>
      <c r="E85" s="2403" t="n">
        <v>3007.21922188572</v>
      </c>
      <c r="F85" s="2403" t="n">
        <v>3503.59383706682</v>
      </c>
      <c r="G85" s="2403" t="n">
        <v>3623.12687812461</v>
      </c>
      <c r="H85" s="2403" t="n">
        <v>3123.84306064986</v>
      </c>
      <c r="I85" s="2396" t="n">
        <v>-0.009956451312228659</v>
      </c>
    </row>
    <row r="86" ht="12" customFormat="1" customHeight="1" s="1649">
      <c r="A86" s="1650" t="inlineStr">
        <is>
          <t>Text_976</t>
        </is>
      </c>
      <c r="B86" s="2401" t="n">
        <v>1414.76683196956</v>
      </c>
      <c r="C86" s="2401" t="n">
        <v>2206.70164568667</v>
      </c>
      <c r="D86" s="2401" t="n">
        <v>1621.40108954777</v>
      </c>
      <c r="E86" s="2401" t="n">
        <v>1899.63900011757</v>
      </c>
      <c r="F86" s="2401" t="n">
        <v>1666.05654698059</v>
      </c>
      <c r="G86" s="2401" t="n">
        <v>1802.80466611511</v>
      </c>
      <c r="H86" s="2401" t="n">
        <v>2280.73020835518</v>
      </c>
      <c r="I86" s="2402" t="n">
        <v>-0.00902993231387544</v>
      </c>
    </row>
    <row r="87" ht="12" customFormat="1" customHeight="1" s="1649">
      <c r="A87" s="1650" t="inlineStr">
        <is>
          <t>Text_977</t>
        </is>
      </c>
      <c r="B87" s="2401" t="n">
        <v>162.02802454338</v>
      </c>
      <c r="C87" s="2401" t="n">
        <v>107.613870055853</v>
      </c>
      <c r="D87" s="2401" t="n">
        <v>163.855454659778</v>
      </c>
      <c r="E87" s="2401" t="n">
        <v>163.733976008353</v>
      </c>
      <c r="F87" s="2401" t="n">
        <v>177.299410847252</v>
      </c>
      <c r="G87" s="2401" t="n">
        <v>145.129798137291</v>
      </c>
      <c r="H87" s="2401" t="n">
        <v>178.273781573435</v>
      </c>
      <c r="I87" s="2402" t="n">
        <v>0.101789199706782</v>
      </c>
    </row>
    <row r="88" ht="12" customFormat="1" customHeight="1" s="1649">
      <c r="A88" s="1466" t="inlineStr">
        <is>
          <t>Text_978</t>
        </is>
      </c>
      <c r="B88" s="2403" t="n">
        <v>1743.95203050295</v>
      </c>
      <c r="C88" s="2403" t="n">
        <v>1971.6813966452</v>
      </c>
      <c r="D88" s="2403" t="n">
        <v>1934.89236272913</v>
      </c>
      <c r="E88" s="2403" t="n">
        <v>2056.18689378525</v>
      </c>
      <c r="F88" s="2403" t="n">
        <v>2189.14052062304</v>
      </c>
      <c r="G88" s="2403" t="n">
        <v>2059.32834759486</v>
      </c>
      <c r="H88" s="2403" t="n">
        <v>1881.15073773046</v>
      </c>
      <c r="I88" s="2396" t="n">
        <v>-0.00328849325096098</v>
      </c>
    </row>
    <row r="89" ht="12" customFormat="1" customHeight="1" s="1649">
      <c r="A89" s="1650" t="inlineStr">
        <is>
          <t>Text_979</t>
        </is>
      </c>
      <c r="B89" s="2401" t="n">
        <v>170.030467930424</v>
      </c>
      <c r="C89" s="2401" t="n">
        <v>274.232300291668</v>
      </c>
      <c r="D89" s="2401" t="n">
        <v>149.145448961847</v>
      </c>
      <c r="E89" s="2401" t="n">
        <v>126.278859242265</v>
      </c>
      <c r="F89" s="2401" t="n">
        <v>154.640215613276</v>
      </c>
      <c r="G89" s="2401" t="n">
        <v>166.61313643913</v>
      </c>
      <c r="H89" s="2401" t="n">
        <v>193.821811961532</v>
      </c>
      <c r="I89" s="2402" t="n">
        <v>-0.0797064095872228</v>
      </c>
    </row>
    <row r="90" ht="12" customFormat="1" customHeight="1" s="1649">
      <c r="A90" s="1650" t="inlineStr">
        <is>
          <t>Text_980</t>
        </is>
      </c>
      <c r="B90" s="2401" t="n">
        <v>49.8165814827528</v>
      </c>
      <c r="C90" s="2401" t="n">
        <v>113.757529616946</v>
      </c>
      <c r="D90" s="2401" t="n">
        <v>49.7509655565892</v>
      </c>
      <c r="E90" s="2401" t="n">
        <v>63.0318169835147</v>
      </c>
      <c r="F90" s="2401" t="n">
        <v>57.3800694941182</v>
      </c>
      <c r="G90" s="2401" t="n">
        <v>63.9966530892126</v>
      </c>
      <c r="H90" s="2401" t="n">
        <v>64.55160095278789</v>
      </c>
      <c r="I90" s="2402" t="n">
        <v>-0.09959541081226</v>
      </c>
    </row>
    <row r="91" ht="12" customFormat="1" customHeight="1" s="1649">
      <c r="A91" s="1466" t="inlineStr">
        <is>
          <t>Text_981</t>
        </is>
      </c>
      <c r="B91" s="2403" t="n">
        <v>217.773449845673</v>
      </c>
      <c r="C91" s="2403" t="n">
        <v>395.497671508472</v>
      </c>
      <c r="D91" s="2403" t="n">
        <v>193.703431032645</v>
      </c>
      <c r="E91" s="2403" t="n">
        <v>189.8230356246</v>
      </c>
      <c r="F91" s="2403" t="n">
        <v>193.493502060828</v>
      </c>
      <c r="G91" s="2403" t="n">
        <v>243.451833413329</v>
      </c>
      <c r="H91" s="2403" t="n">
        <v>206.195545635808</v>
      </c>
      <c r="I91" s="2396" t="n">
        <v>-0.0850903378481416</v>
      </c>
    </row>
    <row r="92" ht="12" customFormat="1" customHeight="1" s="1649">
      <c r="A92" s="1466" t="inlineStr">
        <is>
          <t>Text_982</t>
        </is>
      </c>
      <c r="B92" s="2405" t="n">
        <v>11628.7969527232</v>
      </c>
      <c r="C92" s="2405" t="n">
        <v>15128.677435997</v>
      </c>
      <c r="D92" s="2403" t="n">
        <v>11559.6415772515</v>
      </c>
      <c r="E92" s="2403" t="n">
        <v>11436.9993884872</v>
      </c>
      <c r="F92" s="2403" t="n">
        <v>11048.1879070957</v>
      </c>
      <c r="G92" s="2403" t="n">
        <v>14218.3560286094</v>
      </c>
      <c r="H92" s="2403" t="n">
        <v>15394.8850620133</v>
      </c>
      <c r="I92" s="2396" t="n">
        <v>0.00710062466850309</v>
      </c>
    </row>
    <row r="93" ht="12" customFormat="1" customHeight="1" s="1649">
      <c r="A93" s="1647" t="n"/>
      <c r="B93" s="2401" t="n"/>
      <c r="C93" s="2401" t="n"/>
      <c r="D93" s="2401" t="n"/>
      <c r="E93" s="2401" t="n"/>
      <c r="F93" s="2401" t="n"/>
      <c r="G93" s="2401" t="n"/>
      <c r="H93" s="2401" t="n"/>
      <c r="I93" s="2402" t="n"/>
    </row>
    <row r="94" ht="12" customFormat="1" customHeight="1" s="1649">
      <c r="A94" s="1466" t="inlineStr">
        <is>
          <t>Text_983</t>
        </is>
      </c>
      <c r="B94" s="2401" t="n"/>
      <c r="C94" s="2401" t="n"/>
      <c r="D94" s="2401" t="n"/>
      <c r="E94" s="2401" t="n"/>
      <c r="F94" s="2401" t="n"/>
      <c r="G94" s="2401" t="n"/>
      <c r="H94" s="2401" t="n"/>
      <c r="I94" s="2402" t="n"/>
    </row>
    <row r="95" ht="12" customFormat="1" customHeight="1" s="1649">
      <c r="A95" s="1650" t="inlineStr">
        <is>
          <t>Text_984</t>
        </is>
      </c>
      <c r="B95" s="2401" t="n">
        <v>849.180785801301</v>
      </c>
      <c r="C95" s="2401" t="n">
        <v>1004.15561663846</v>
      </c>
      <c r="D95" s="2401" t="n">
        <v>715.614567157763</v>
      </c>
      <c r="E95" s="2401" t="n">
        <v>606.23010918088</v>
      </c>
      <c r="F95" s="2401" t="n">
        <v>711.806738544674</v>
      </c>
      <c r="G95" s="2401" t="n">
        <v>697.300315388474</v>
      </c>
      <c r="H95" s="2401" t="n">
        <v>656.090784342167</v>
      </c>
      <c r="I95" s="2402" t="n">
        <v>-0.0411424958587899</v>
      </c>
    </row>
    <row r="96" ht="12" customFormat="1" customHeight="1" s="1649">
      <c r="A96" s="1650" t="inlineStr">
        <is>
          <t>Text_985</t>
        </is>
      </c>
      <c r="B96" s="2401" t="n">
        <v>2237.33432677833</v>
      </c>
      <c r="C96" s="2401" t="n">
        <v>1969.55628597136</v>
      </c>
      <c r="D96" s="2401" t="n">
        <v>1567.2450464205</v>
      </c>
      <c r="E96" s="2401" t="n">
        <v>2007.80413522677</v>
      </c>
      <c r="F96" s="2401" t="n">
        <v>1900.1586762063</v>
      </c>
      <c r="G96" s="2401" t="n">
        <v>2020.85128936476</v>
      </c>
      <c r="H96" s="2401" t="n">
        <v>2220.94018643308</v>
      </c>
      <c r="I96" s="2402" t="n">
        <v>0.0354349493953991</v>
      </c>
    </row>
    <row r="97" ht="12" customFormat="1" customHeight="1" s="1649">
      <c r="A97" s="1650" t="inlineStr">
        <is>
          <t>Text_986</t>
        </is>
      </c>
      <c r="B97" s="2401" t="n">
        <v>205.9994072612</v>
      </c>
      <c r="C97" s="2401" t="n">
        <v>233.126193997626</v>
      </c>
      <c r="D97" s="2401" t="n">
        <v>150.87468209129</v>
      </c>
      <c r="E97" s="2401" t="n">
        <v>153.69053034665</v>
      </c>
      <c r="F97" s="2401" t="n">
        <v>163.272488337739</v>
      </c>
      <c r="G97" s="2401" t="n">
        <v>171.330230830367</v>
      </c>
      <c r="H97" s="2401" t="n">
        <v>216.310022661451</v>
      </c>
      <c r="I97" s="2402" t="n">
        <v>-0.0156873233932117</v>
      </c>
    </row>
    <row r="98" ht="12" customFormat="1" customHeight="1" s="1649">
      <c r="A98" s="1466" t="inlineStr">
        <is>
          <t>Text_987</t>
        </is>
      </c>
      <c r="B98" s="2403" t="n">
        <v>2653.04112971216</v>
      </c>
      <c r="C98" s="2403" t="n">
        <v>2564.72932440187</v>
      </c>
      <c r="D98" s="2403" t="n">
        <v>2679.27538641075</v>
      </c>
      <c r="E98" s="2403" t="n">
        <v>2900.1651795709</v>
      </c>
      <c r="F98" s="2403" t="n">
        <v>2671.21354958494</v>
      </c>
      <c r="G98" s="2403" t="n">
        <v>2947.62942913213</v>
      </c>
      <c r="H98" s="2403" t="n">
        <v>3237.17760393836</v>
      </c>
      <c r="I98" s="2396" t="n">
        <v>0.0115986721339757</v>
      </c>
    </row>
    <row r="99" ht="12" customFormat="1" customHeight="1" s="1649">
      <c r="A99" s="1647" t="n"/>
      <c r="B99" s="2404" t="n">
        <v>0</v>
      </c>
      <c r="C99" s="2404" t="n">
        <v>0</v>
      </c>
      <c r="D99" s="2404" t="n">
        <v>0</v>
      </c>
      <c r="E99" s="2404" t="n">
        <v>0</v>
      </c>
      <c r="F99" s="2404" t="n">
        <v>0</v>
      </c>
      <c r="G99" s="2404" t="n">
        <v>0</v>
      </c>
      <c r="H99" s="2404" t="n">
        <v>0</v>
      </c>
      <c r="I99" s="2402" t="n">
        <v>0</v>
      </c>
    </row>
    <row r="100" ht="12" customFormat="1" customHeight="1" s="1649">
      <c r="A100" s="1652" t="inlineStr">
        <is>
          <t>Text_988</t>
        </is>
      </c>
      <c r="B100" s="2406" t="n">
        <v>82429.2836029852</v>
      </c>
      <c r="C100" s="2406" t="n">
        <v>89464.9800082678</v>
      </c>
      <c r="D100" s="2407" t="n">
        <v>96478.2866241934</v>
      </c>
      <c r="E100" s="2407" t="n">
        <v>97552.4203737264</v>
      </c>
      <c r="F100" s="2407" t="n">
        <v>109859.815461056</v>
      </c>
      <c r="G100" s="2407" t="n">
        <v>109231.684501733</v>
      </c>
      <c r="H100" s="2407" t="n">
        <v>96878.64839661949</v>
      </c>
      <c r="I100" s="2400" t="n">
        <v>0.0118823429802712</v>
      </c>
    </row>
    <row r="101" ht="12" customFormat="1" customHeight="1" s="1649">
      <c r="A101" s="1655" t="n">
        <v>0</v>
      </c>
      <c r="B101" s="2408" t="n"/>
      <c r="C101" s="2408" t="n"/>
      <c r="D101" s="2408" t="n"/>
      <c r="E101" s="2408" t="n"/>
      <c r="F101" s="2408" t="n"/>
      <c r="G101" s="2408" t="n"/>
      <c r="H101" s="2408" t="n"/>
      <c r="I101" s="2409" t="n"/>
    </row>
    <row r="102" ht="12" customFormat="1" customHeight="1" s="1649">
      <c r="B102" s="2370" t="n"/>
      <c r="C102" s="2370" t="n"/>
      <c r="D102" s="2370" t="n"/>
      <c r="E102" s="2370" t="n"/>
      <c r="F102" s="2370" t="n"/>
      <c r="G102" s="2370" t="n"/>
      <c r="H102" s="2370" t="n"/>
      <c r="I102" s="1658" t="n"/>
      <c r="J102" s="1658" t="n"/>
    </row>
    <row r="103" ht="12" customFormat="1" customHeight="1" s="1649">
      <c r="A103" s="1466" t="inlineStr">
        <is>
          <t>Text_989</t>
        </is>
      </c>
      <c r="B103" s="1467" t="inlineStr">
        <is>
          <t>Text_784</t>
        </is>
      </c>
      <c r="C103" s="1583" t="inlineStr">
        <is>
          <t>Text_785</t>
        </is>
      </c>
      <c r="D103" s="1525" t="n"/>
      <c r="E103" s="1658" t="n"/>
      <c r="F103" s="1658" t="n"/>
      <c r="G103" s="1658" t="n"/>
      <c r="H103" s="1658" t="n"/>
      <c r="I103" s="1658" t="n"/>
      <c r="J103" s="1658" t="n"/>
    </row>
    <row r="104" ht="12" customFormat="1" customHeight="1" s="1649">
      <c r="A104" s="1469" t="inlineStr">
        <is>
          <t>Text_910</t>
        </is>
      </c>
      <c r="B104" s="1659" t="n"/>
      <c r="C104" s="1659" t="n"/>
      <c r="D104" s="1659" t="n"/>
      <c r="E104" s="1659" t="n"/>
      <c r="F104" s="1659" t="n"/>
      <c r="G104" s="1659" t="n"/>
      <c r="H104" s="1659" t="n"/>
      <c r="I104" s="1658" t="n"/>
      <c r="J104" s="1658" t="n"/>
    </row>
    <row r="105" ht="12" customFormat="1" customHeight="1" s="1649">
      <c r="A105" s="1660" t="n"/>
      <c r="B105" s="1602" t="n">
        <v>2210.68154404274</v>
      </c>
      <c r="C105" s="1602" t="n">
        <v>2069.77367855997</v>
      </c>
      <c r="D105" s="1602" t="n">
        <v>2094.78717925323</v>
      </c>
      <c r="E105" s="1602" t="n">
        <v>2194.90378029186</v>
      </c>
      <c r="F105" s="1602" t="n">
        <v>2148.49091584746</v>
      </c>
      <c r="G105" s="1602" t="n">
        <v>2229.28372608594</v>
      </c>
      <c r="H105" s="1661" t="n">
        <v>1757.13367591015</v>
      </c>
      <c r="I105" s="1662" t="n"/>
      <c r="J105" s="1658" t="n"/>
    </row>
    <row r="106" ht="12" customFormat="1" customHeight="1" s="1649">
      <c r="A106" s="1663" t="inlineStr">
        <is>
          <t>Text_913</t>
        </is>
      </c>
      <c r="B106" s="1664" t="n"/>
      <c r="C106" s="1664" t="n"/>
      <c r="D106" s="1664" t="n"/>
      <c r="E106" s="1664" t="n"/>
      <c r="F106" s="1664" t="n"/>
      <c r="G106" s="1664" t="n"/>
      <c r="H106" s="1665" t="n"/>
      <c r="I106" s="1666" t="n"/>
      <c r="K106" s="1529" t="n"/>
    </row>
    <row r="107" ht="12" customFormat="1" customHeight="1" s="1649">
      <c r="A107" s="1650" t="inlineStr">
        <is>
          <t>Text_914</t>
        </is>
      </c>
      <c r="B107" s="2410" t="n">
        <v>0.278168223112659</v>
      </c>
      <c r="C107" s="2410" t="n">
        <v>0.0110830683809573</v>
      </c>
      <c r="D107" s="2410" t="n">
        <v>0.247726081966269</v>
      </c>
      <c r="E107" s="2410" t="n">
        <v>-0.152657131084547</v>
      </c>
      <c r="F107" s="2410" t="n">
        <v>0.0998005140671403</v>
      </c>
      <c r="G107" s="2410" t="n">
        <v>0.08951449604530209</v>
      </c>
      <c r="H107" s="2402" t="n">
        <v>0.0211096312556336</v>
      </c>
    </row>
    <row r="108" ht="12" customFormat="1" customHeight="1" s="1649">
      <c r="A108" s="1650" t="inlineStr">
        <is>
          <t>Text_915</t>
        </is>
      </c>
      <c r="B108" s="2410" t="n">
        <v>-1.0079792843833</v>
      </c>
      <c r="C108" s="2410" t="n"/>
      <c r="D108" s="2410" t="n"/>
      <c r="E108" s="2410" t="n"/>
      <c r="F108" s="2410" t="n"/>
      <c r="G108" s="2410" t="n"/>
      <c r="H108" s="2402" t="n"/>
    </row>
    <row r="109" ht="12" customFormat="1" customHeight="1" s="1649">
      <c r="A109" s="1650" t="inlineStr">
        <is>
          <t>Text_916</t>
        </is>
      </c>
      <c r="B109" s="2410" t="n">
        <v>-0.0323252989749477</v>
      </c>
      <c r="C109" s="2410" t="n">
        <v>0.0482296423624338</v>
      </c>
      <c r="D109" s="2410" t="n">
        <v>-0.162063821898614</v>
      </c>
      <c r="E109" s="2410" t="n">
        <v>-0.0167607005599217</v>
      </c>
      <c r="F109" s="2410" t="n">
        <v>0.0829202131757603</v>
      </c>
      <c r="G109" s="2410" t="n">
        <v>0.146708178160018</v>
      </c>
      <c r="H109" s="2402" t="n">
        <v>0.0323642045786108</v>
      </c>
    </row>
    <row r="110" ht="12" customFormat="1" customHeight="1" s="1649">
      <c r="A110" s="1650" t="inlineStr">
        <is>
          <t>Text_917</t>
        </is>
      </c>
      <c r="B110" s="2410" t="n">
        <v>0.478715630123435</v>
      </c>
      <c r="C110" s="2410" t="n">
        <v>0.486066490527817</v>
      </c>
      <c r="D110" s="2410" t="n">
        <v>-0.0237110162468626</v>
      </c>
      <c r="E110" s="2410" t="n">
        <v>0.00830384904259737</v>
      </c>
      <c r="F110" s="2410" t="n">
        <v>0.0735723426683409</v>
      </c>
      <c r="G110" s="2410" t="n">
        <v>0.101330351183353</v>
      </c>
      <c r="H110" s="2402" t="n">
        <v>0.0123879514644667</v>
      </c>
    </row>
    <row r="111" ht="12" customFormat="1" customHeight="1" s="1649">
      <c r="A111" s="1466" t="inlineStr">
        <is>
          <t>Text_918</t>
        </is>
      </c>
      <c r="B111" s="2398" t="n">
        <v>0.256412398609827</v>
      </c>
      <c r="C111" s="2398" t="n">
        <v>0.024538444647164</v>
      </c>
      <c r="D111" s="2398" t="n">
        <v>0.23461053166328</v>
      </c>
      <c r="E111" s="2398" t="n">
        <v>-0.147181516309294</v>
      </c>
      <c r="F111" s="2398" t="n">
        <v>0.0985106812610787</v>
      </c>
      <c r="G111" s="2398" t="n">
        <v>0.0866425077200878</v>
      </c>
      <c r="H111" s="2396" t="n">
        <v>0.02180691596435</v>
      </c>
    </row>
    <row r="112" ht="12" customFormat="1" customHeight="1" s="1649">
      <c r="A112" s="1644" t="n"/>
      <c r="B112" s="2410" t="n"/>
      <c r="C112" s="2410" t="n"/>
      <c r="D112" s="2410" t="n"/>
      <c r="E112" s="2410" t="n"/>
      <c r="F112" s="2410" t="n"/>
      <c r="G112" s="2410" t="n"/>
      <c r="H112" s="2402" t="n"/>
    </row>
    <row r="113" ht="12" customFormat="1" customHeight="1" s="1649">
      <c r="A113" s="1466" t="inlineStr">
        <is>
          <t>Text_919</t>
        </is>
      </c>
      <c r="B113" s="2398" t="n">
        <v>0.496879505346387</v>
      </c>
      <c r="C113" s="2398" t="n">
        <v>-0.0220273490794416</v>
      </c>
      <c r="D113" s="2398" t="n">
        <v>0.101555470996721</v>
      </c>
      <c r="E113" s="2398" t="n">
        <v>-0.131977605746631</v>
      </c>
      <c r="F113" s="2398" t="n">
        <v>0.117320720920374</v>
      </c>
      <c r="G113" s="2398" t="n">
        <v>0.06625009952236351</v>
      </c>
      <c r="H113" s="2396" t="n">
        <v>0.0347088641056716</v>
      </c>
    </row>
    <row r="114" ht="12" customFormat="1" customHeight="1" s="1649">
      <c r="A114" s="1647" t="n"/>
      <c r="B114" s="2410" t="n"/>
      <c r="C114" s="2410" t="n"/>
      <c r="D114" s="2410" t="n"/>
      <c r="E114" s="2410" t="n"/>
      <c r="F114" s="2410" t="n"/>
      <c r="G114" s="2410" t="n"/>
      <c r="H114" s="2402" t="n"/>
    </row>
    <row r="115" ht="12" customFormat="1" customHeight="1" s="1649">
      <c r="A115" s="1466" t="inlineStr">
        <is>
          <t>Text_920</t>
        </is>
      </c>
      <c r="B115" s="2410" t="n"/>
      <c r="C115" s="2410" t="n"/>
      <c r="D115" s="2410" t="n"/>
      <c r="E115" s="2410" t="n"/>
      <c r="F115" s="2410" t="n"/>
      <c r="G115" s="2410" t="n"/>
      <c r="H115" s="2402" t="n"/>
    </row>
    <row r="116" ht="12" customFormat="1" customHeight="1" s="1649">
      <c r="A116" s="1650" t="inlineStr">
        <is>
          <t>Text_921</t>
        </is>
      </c>
      <c r="B116" s="2410" t="n">
        <v>0.338059693992797</v>
      </c>
      <c r="C116" s="2410" t="n">
        <v>0.258991359229134</v>
      </c>
      <c r="D116" s="2410" t="n">
        <v>-0.198363443396845</v>
      </c>
      <c r="E116" s="2410" t="n">
        <v>-0.0183917123362101</v>
      </c>
      <c r="F116" s="2410" t="n">
        <v>0.0753631955696598</v>
      </c>
      <c r="G116" s="2410" t="n">
        <v>0.0841010591097212</v>
      </c>
      <c r="H116" s="2402" t="n">
        <v>0.0511234450627153</v>
      </c>
    </row>
    <row r="117" ht="12" customFormat="1" customHeight="1" s="1649">
      <c r="A117" s="1650" t="inlineStr">
        <is>
          <t>Text_922</t>
        </is>
      </c>
      <c r="B117" s="2410" t="n">
        <v>0.499831753928913</v>
      </c>
      <c r="C117" s="2410" t="n">
        <v>0.08916019297182599</v>
      </c>
      <c r="D117" s="2410" t="n">
        <v>-0.0209933521478536</v>
      </c>
      <c r="E117" s="2410" t="n">
        <v>-0.07013635982570079</v>
      </c>
      <c r="F117" s="2410" t="n">
        <v>0.06600683327231439</v>
      </c>
      <c r="G117" s="2410" t="n">
        <v>0.0725510954900891</v>
      </c>
      <c r="H117" s="2402" t="n">
        <v>0.0541619690989931</v>
      </c>
    </row>
    <row r="118" ht="12" customFormat="1" customHeight="1" s="1649">
      <c r="A118" s="1650" t="inlineStr">
        <is>
          <t>Text_923</t>
        </is>
      </c>
      <c r="B118" s="2410" t="n">
        <v>-0.215880504496208</v>
      </c>
      <c r="C118" s="2410" t="n">
        <v>0.478084565028235</v>
      </c>
      <c r="D118" s="2410" t="n">
        <v>0.083618540909231</v>
      </c>
      <c r="E118" s="2410" t="n">
        <v>-0.00335744084934849</v>
      </c>
      <c r="F118" s="2410" t="n">
        <v>0.0677386175256168</v>
      </c>
      <c r="G118" s="2410" t="n">
        <v>0.0459551517024921</v>
      </c>
      <c r="H118" s="2402" t="n">
        <v>0.148683300372611</v>
      </c>
    </row>
    <row r="119" ht="12" customFormat="1" customHeight="1" s="1649">
      <c r="A119" s="1650" t="inlineStr">
        <is>
          <t>Text_924</t>
        </is>
      </c>
      <c r="B119" s="2410" t="n">
        <v>0.545999791740311</v>
      </c>
      <c r="C119" s="2410" t="n">
        <v>0.367338189310294</v>
      </c>
      <c r="D119" s="2410" t="n">
        <v>-0.278602522671524</v>
      </c>
      <c r="E119" s="2410" t="n">
        <v>-0.00339923220553182</v>
      </c>
      <c r="F119" s="2410" t="n">
        <v>0.0725167907242628</v>
      </c>
      <c r="G119" s="2410" t="n">
        <v>0.0792862571105503</v>
      </c>
      <c r="H119" s="2402" t="n">
        <v>-0.00728665695964419</v>
      </c>
    </row>
    <row r="120" ht="12" customFormat="1" customHeight="1" s="1649">
      <c r="A120" s="1466" t="inlineStr">
        <is>
          <t>Text_925</t>
        </is>
      </c>
      <c r="B120" s="2398" t="n">
        <v>0.266144263240673</v>
      </c>
      <c r="C120" s="2398" t="n">
        <v>0.212801709442972</v>
      </c>
      <c r="D120" s="2398" t="n">
        <v>-0.0646153936972632</v>
      </c>
      <c r="E120" s="2398" t="n">
        <v>-0.040654867774294</v>
      </c>
      <c r="F120" s="2398" t="n">
        <v>0.0681964537870425</v>
      </c>
      <c r="G120" s="2398" t="n">
        <v>0.06783846877617999</v>
      </c>
      <c r="H120" s="2396" t="n">
        <v>0.07427036963452489</v>
      </c>
    </row>
    <row r="121" ht="12" customFormat="1" customHeight="1" s="1649">
      <c r="A121" s="1647" t="n"/>
      <c r="B121" s="2410" t="n"/>
      <c r="C121" s="2410" t="n"/>
      <c r="D121" s="2410" t="n"/>
      <c r="E121" s="2410" t="n"/>
      <c r="F121" s="2410" t="n"/>
      <c r="G121" s="2410" t="n"/>
      <c r="H121" s="2402" t="n"/>
    </row>
    <row r="122" ht="12" customFormat="1" customHeight="1" s="1649">
      <c r="A122" s="1466" t="inlineStr">
        <is>
          <t>Text_926</t>
        </is>
      </c>
      <c r="B122" s="2410" t="n"/>
      <c r="C122" s="2410" t="n"/>
      <c r="D122" s="2410" t="n"/>
      <c r="E122" s="2410" t="n"/>
      <c r="F122" s="2410" t="n"/>
      <c r="G122" s="2410" t="n"/>
      <c r="H122" s="2402" t="n"/>
    </row>
    <row r="123" ht="12" customFormat="1" customHeight="1" s="1649">
      <c r="A123" s="1650" t="inlineStr">
        <is>
          <t>Text_927</t>
        </is>
      </c>
      <c r="B123" s="2410" t="n">
        <v>0.647601522867488</v>
      </c>
      <c r="C123" s="2410" t="n">
        <v>0.08029798945694031</v>
      </c>
      <c r="D123" s="2410" t="n">
        <v>-0.129999287698409</v>
      </c>
      <c r="E123" s="2410" t="n">
        <v>-0.0306618615328706</v>
      </c>
      <c r="F123" s="2410" t="n">
        <v>0.0961329967965789</v>
      </c>
      <c r="G123" s="2410" t="n">
        <v>0.08283075509514801</v>
      </c>
      <c r="H123" s="2402" t="n">
        <v>0.00786297476918851</v>
      </c>
    </row>
    <row r="124" ht="12" customFormat="1" customHeight="1" s="1649">
      <c r="A124" s="1650" t="inlineStr">
        <is>
          <t>Text_928</t>
        </is>
      </c>
      <c r="B124" s="2410" t="n">
        <v>0.687735237615179</v>
      </c>
      <c r="C124" s="2410" t="n">
        <v>0.132818441911584</v>
      </c>
      <c r="D124" s="2410" t="n">
        <v>-0.175423553120507</v>
      </c>
      <c r="E124" s="2410" t="n">
        <v>-0.00355794234533412</v>
      </c>
      <c r="F124" s="2410" t="n">
        <v>0.102433464290497</v>
      </c>
      <c r="G124" s="2410" t="n">
        <v>0.0708574564321357</v>
      </c>
      <c r="H124" s="2402" t="n">
        <v>0.00972697275218167</v>
      </c>
    </row>
    <row r="125" ht="12" customFormat="1" customHeight="1" s="1649">
      <c r="A125" s="1650" t="inlineStr">
        <is>
          <t>Text_929</t>
        </is>
      </c>
      <c r="B125" s="2410" t="n">
        <v>1.09947334677757</v>
      </c>
      <c r="C125" s="2410" t="n">
        <v>0.0388714881818309</v>
      </c>
      <c r="D125" s="2410" t="n">
        <v>-0.103076784103535</v>
      </c>
      <c r="E125" s="2410" t="n">
        <v>-0.0085494152966228</v>
      </c>
      <c r="F125" s="2410" t="n">
        <v>0.0966705141684923</v>
      </c>
      <c r="G125" s="2410" t="n">
        <v>0.0818503976450005</v>
      </c>
      <c r="H125" s="2402" t="n">
        <v>-0.0258116296021395</v>
      </c>
    </row>
    <row r="126" ht="12" customFormat="1" customHeight="1" s="1649">
      <c r="A126" s="1466" t="inlineStr">
        <is>
          <t>Text_930</t>
        </is>
      </c>
      <c r="B126" s="2398" t="n">
        <v>0.744401054049534</v>
      </c>
      <c r="C126" s="2398" t="n">
        <v>0.0967724661853875</v>
      </c>
      <c r="D126" s="2398" t="n">
        <v>-0.138150672066053</v>
      </c>
      <c r="E126" s="2398" t="n">
        <v>-0.013924172794468</v>
      </c>
      <c r="F126" s="2398" t="n">
        <v>0.101367095290218</v>
      </c>
      <c r="G126" s="2398" t="n">
        <v>0.0763520314566172</v>
      </c>
      <c r="H126" s="2396" t="n">
        <v>0.00161465490469063</v>
      </c>
    </row>
    <row r="127" ht="12" customFormat="1" customHeight="1" s="1649">
      <c r="A127" s="1647" t="n"/>
      <c r="B127" s="2410" t="n"/>
      <c r="C127" s="2410" t="n"/>
      <c r="D127" s="2410" t="n"/>
      <c r="E127" s="2410" t="n"/>
      <c r="F127" s="2410" t="n"/>
      <c r="G127" s="2410" t="n"/>
      <c r="H127" s="2402" t="n"/>
    </row>
    <row r="128" ht="12" customFormat="1" customHeight="1" s="1649">
      <c r="A128" s="1466" t="inlineStr">
        <is>
          <t>Text_931</t>
        </is>
      </c>
      <c r="B128" s="2410" t="n"/>
      <c r="C128" s="2410" t="n"/>
      <c r="D128" s="2410" t="n"/>
      <c r="E128" s="2410" t="n"/>
      <c r="F128" s="2410" t="n"/>
      <c r="G128" s="2410" t="n"/>
      <c r="H128" s="2402" t="n"/>
    </row>
    <row r="129" ht="12" customFormat="1" customHeight="1" s="1649">
      <c r="A129" s="1650" t="inlineStr">
        <is>
          <t>Text_932</t>
        </is>
      </c>
      <c r="B129" s="2410" t="n">
        <v>0.767846466157833</v>
      </c>
      <c r="C129" s="2410" t="n">
        <v>-0.239933459469604</v>
      </c>
      <c r="D129" s="2410" t="n">
        <v>0.165053378050903</v>
      </c>
      <c r="E129" s="2410" t="n">
        <v>0.0134363287254649</v>
      </c>
      <c r="F129" s="2410" t="n">
        <v>0.0818705755128218</v>
      </c>
      <c r="G129" s="2410" t="n">
        <v>0.0858033642846658</v>
      </c>
      <c r="H129" s="2402" t="n">
        <v>0.0069216466028742</v>
      </c>
    </row>
    <row r="130" ht="12" customFormat="1" customHeight="1" s="1649">
      <c r="A130" s="1650" t="inlineStr">
        <is>
          <t>Text_933</t>
        </is>
      </c>
      <c r="B130" s="2410" t="n">
        <v>0.7750073823254811</v>
      </c>
      <c r="C130" s="2410" t="n">
        <v>0.0342689941982901</v>
      </c>
      <c r="D130" s="2410" t="n">
        <v>-0.218787214138836</v>
      </c>
      <c r="E130" s="2410" t="n">
        <v>-0.0436121769346468</v>
      </c>
      <c r="F130" s="2410" t="n">
        <v>0.0881471434426262</v>
      </c>
      <c r="G130" s="2410" t="n">
        <v>0.0885612565828771</v>
      </c>
      <c r="H130" s="2402" t="n">
        <v>-0.0388792901045451</v>
      </c>
    </row>
    <row r="131" ht="12" customFormat="1" customHeight="1" s="1649">
      <c r="A131" s="1466" t="inlineStr">
        <is>
          <t>Text_934</t>
        </is>
      </c>
      <c r="B131" s="2398" t="n">
        <v>0.559125685871588</v>
      </c>
      <c r="C131" s="2398" t="n">
        <v>0.149989468226204</v>
      </c>
      <c r="D131" s="2398" t="n">
        <v>-0.188808601175308</v>
      </c>
      <c r="E131" s="2398" t="n">
        <v>-0.0178915331562818</v>
      </c>
      <c r="F131" s="2398" t="n">
        <v>0.0744349127152627</v>
      </c>
      <c r="G131" s="2398" t="n">
        <v>0.08580777990431381</v>
      </c>
      <c r="H131" s="2396" t="n">
        <v>0.0447622040162438</v>
      </c>
    </row>
    <row r="132" ht="12" customFormat="1" customHeight="1" s="1649">
      <c r="A132" s="1650" t="inlineStr">
        <is>
          <t>Text_935</t>
        </is>
      </c>
      <c r="B132" s="2410" t="n">
        <v>0.54490656316018</v>
      </c>
      <c r="C132" s="2410" t="n">
        <v>0.300452904849543</v>
      </c>
      <c r="D132" s="2410" t="n">
        <v>-0.287468884595173</v>
      </c>
      <c r="E132" s="2410" t="n">
        <v>-0.0265862066711006</v>
      </c>
      <c r="F132" s="2410" t="n">
        <v>0.07615474192532561</v>
      </c>
      <c r="G132" s="2410" t="n">
        <v>0.0872579487954286</v>
      </c>
      <c r="H132" s="2402" t="n">
        <v>0.0769798609620926</v>
      </c>
    </row>
    <row r="133" ht="12" customFormat="1" customHeight="1" s="1649">
      <c r="A133" s="1650" t="inlineStr">
        <is>
          <t>Text_936</t>
        </is>
      </c>
      <c r="B133" s="2410" t="n">
        <v>0.516483814475199</v>
      </c>
      <c r="C133" s="2410" t="n">
        <v>-0.230389590646824</v>
      </c>
      <c r="D133" s="2410" t="n">
        <v>0.159991040314583</v>
      </c>
      <c r="E133" s="2410" t="n">
        <v>0.0039298186981735</v>
      </c>
      <c r="F133" s="2410" t="n">
        <v>0.0822295580751414</v>
      </c>
      <c r="G133" s="2410" t="n">
        <v>0.07008036531973751</v>
      </c>
      <c r="H133" s="2402" t="n">
        <v>-0.0374488997948165</v>
      </c>
    </row>
    <row r="134" ht="12" customFormat="1" customHeight="1" s="1649">
      <c r="A134" s="1650" t="inlineStr">
        <is>
          <t>Text_937</t>
        </is>
      </c>
      <c r="B134" s="2410" t="n">
        <v>0.369876776484056</v>
      </c>
      <c r="C134" s="2410" t="n">
        <v>0.131563248252412</v>
      </c>
      <c r="D134" s="2410" t="n">
        <v>-0.200098804185176</v>
      </c>
      <c r="E134" s="2410" t="n">
        <v>0.0229420079716224</v>
      </c>
      <c r="F134" s="2410" t="n">
        <v>0.08005233519606</v>
      </c>
      <c r="G134" s="2410" t="n">
        <v>0.09056240040953489</v>
      </c>
      <c r="H134" s="2402" t="n">
        <v>0.0172612769087966</v>
      </c>
    </row>
    <row r="135" ht="12" customFormat="1" customHeight="1" s="1649">
      <c r="A135" s="1466" t="inlineStr">
        <is>
          <t>Text_938</t>
        </is>
      </c>
      <c r="B135" s="2398" t="n">
        <v>0.446370531584884</v>
      </c>
      <c r="C135" s="2398" t="n">
        <v>0.128337082756444</v>
      </c>
      <c r="D135" s="2398" t="n">
        <v>-0.215535993495014</v>
      </c>
      <c r="E135" s="2398" t="n">
        <v>0.00302377026510169</v>
      </c>
      <c r="F135" s="2398" t="n">
        <v>0.0749786666937281</v>
      </c>
      <c r="G135" s="2398" t="n">
        <v>0.0836339964706227</v>
      </c>
      <c r="H135" s="2396" t="n">
        <v>0.0149903078548496</v>
      </c>
    </row>
    <row r="136" ht="12" customFormat="1" customHeight="1" s="1649">
      <c r="A136" s="1466" t="inlineStr">
        <is>
          <t>Text_939</t>
        </is>
      </c>
      <c r="B136" s="2398" t="n">
        <v>0.5173864763427301</v>
      </c>
      <c r="C136" s="2398" t="n">
        <v>0.0587075255079254</v>
      </c>
      <c r="D136" s="2398" t="n">
        <v>-0.158052639388716</v>
      </c>
      <c r="E136" s="2398" t="n">
        <v>0.00515771866824396</v>
      </c>
      <c r="F136" s="2398" t="n">
        <v>0.07897423836141799</v>
      </c>
      <c r="G136" s="2398" t="n">
        <v>0.08864740876003729</v>
      </c>
      <c r="H136" s="2396" t="n">
        <v>0.0143233656295673</v>
      </c>
    </row>
    <row r="137" ht="12" customFormat="1" customHeight="1" s="1649">
      <c r="A137" s="1650" t="inlineStr">
        <is>
          <t>Text_940</t>
        </is>
      </c>
      <c r="B137" s="2410" t="n">
        <v>0.449831098283922</v>
      </c>
      <c r="C137" s="2410" t="n">
        <v>0.134405806336716</v>
      </c>
      <c r="D137" s="2410" t="n">
        <v>-0.213751823569263</v>
      </c>
      <c r="E137" s="2410" t="n">
        <v>0.0155078388723157</v>
      </c>
      <c r="F137" s="2410" t="n">
        <v>0.0827411205420005</v>
      </c>
      <c r="G137" s="2410" t="n">
        <v>0.0908029466231294</v>
      </c>
      <c r="H137" s="2402" t="n">
        <v>0.00911114776605166</v>
      </c>
    </row>
    <row r="138" ht="12" customFormat="1" customHeight="1" s="1649">
      <c r="A138" s="1650" t="inlineStr">
        <is>
          <t>Text_941</t>
        </is>
      </c>
      <c r="B138" s="2410" t="n">
        <v>0.60543681411702</v>
      </c>
      <c r="C138" s="2410" t="n">
        <v>0.399746437867669</v>
      </c>
      <c r="D138" s="2410" t="n">
        <v>-0.341735500850668</v>
      </c>
      <c r="E138" s="2410" t="n">
        <v>0.021879328264032</v>
      </c>
      <c r="F138" s="2410" t="n">
        <v>0.08039932785381949</v>
      </c>
      <c r="G138" s="2410" t="n">
        <v>0.06509140652764719</v>
      </c>
      <c r="H138" s="2402" t="n">
        <v>0.0106933248845956</v>
      </c>
    </row>
    <row r="139" ht="12" customFormat="1" customHeight="1" s="1649">
      <c r="A139" s="1650" t="inlineStr">
        <is>
          <t>Text_942</t>
        </is>
      </c>
      <c r="B139" s="2410" t="n">
        <v>-0.00523531121232868</v>
      </c>
      <c r="C139" s="2410" t="n">
        <v>0.126625188223025</v>
      </c>
      <c r="D139" s="2410" t="n">
        <v>-0.283138126455231</v>
      </c>
      <c r="E139" s="2410" t="n">
        <v>0.0185643590797448</v>
      </c>
      <c r="F139" s="2410" t="n">
        <v>0.0794549126666375</v>
      </c>
      <c r="G139" s="2410" t="n">
        <v>0.11750611252629</v>
      </c>
      <c r="H139" s="2402" t="n">
        <v>0.0121774348854056</v>
      </c>
    </row>
    <row r="140" ht="12" customFormat="1" customHeight="1" s="1649">
      <c r="A140" s="1650" t="inlineStr">
        <is>
          <t>Text_943</t>
        </is>
      </c>
      <c r="B140" s="2410" t="n">
        <v>0.273409336669676</v>
      </c>
      <c r="C140" s="2410" t="n">
        <v>0.00846792559540833</v>
      </c>
      <c r="D140" s="2410" t="n">
        <v>-0.121827655696645</v>
      </c>
      <c r="E140" s="2410" t="n">
        <v>0.0299678446399506</v>
      </c>
      <c r="F140" s="2410" t="n">
        <v>0.0828711611043156</v>
      </c>
      <c r="G140" s="2410" t="n">
        <v>0.08742167508693741</v>
      </c>
      <c r="H140" s="2402" t="n">
        <v>0.00352079097180257</v>
      </c>
    </row>
    <row r="141" ht="12" customFormat="1" customHeight="1" s="1649">
      <c r="A141" s="1650" t="inlineStr">
        <is>
          <t>Text_944</t>
        </is>
      </c>
      <c r="B141" s="2410" t="n">
        <v>0.475662334615745</v>
      </c>
      <c r="C141" s="2410" t="n">
        <v>0.22755276843654</v>
      </c>
      <c r="D141" s="2410" t="n">
        <v>-0.293465512587321</v>
      </c>
      <c r="E141" s="2410" t="n">
        <v>0.0164887254978863</v>
      </c>
      <c r="F141" s="2410" t="n">
        <v>0.08423180541630131</v>
      </c>
      <c r="G141" s="2410" t="n">
        <v>0.07864782835574689</v>
      </c>
      <c r="H141" s="2402" t="n">
        <v>0.00530822013323079</v>
      </c>
    </row>
    <row r="142" ht="12" customFormat="1" customHeight="1" s="1649">
      <c r="A142" s="1466" t="inlineStr">
        <is>
          <t>Text_945</t>
        </is>
      </c>
      <c r="B142" s="2398" t="n">
        <v>0.4987563493345</v>
      </c>
      <c r="C142" s="2398" t="n">
        <v>0.0972699625066113</v>
      </c>
      <c r="D142" s="2398" t="n">
        <v>-0.190169211016537</v>
      </c>
      <c r="E142" s="2398" t="n">
        <v>0.009070420778837371</v>
      </c>
      <c r="F142" s="2398" t="n">
        <v>0.0804098772204684</v>
      </c>
      <c r="G142" s="2398" t="n">
        <v>0.0882902027027193</v>
      </c>
      <c r="H142" s="2396" t="n">
        <v>0.0117562597528204</v>
      </c>
    </row>
    <row r="143" ht="12" customFormat="1" customHeight="1" s="1573">
      <c r="B143" s="2410" t="n"/>
      <c r="C143" s="2410" t="n"/>
      <c r="D143" s="2410" t="n"/>
      <c r="E143" s="2410" t="n"/>
      <c r="F143" s="2410" t="n"/>
      <c r="G143" s="2410" t="n"/>
      <c r="H143" s="2402" t="n"/>
      <c r="AY143" s="1633" t="n"/>
      <c r="AZ143" s="1633" t="n"/>
    </row>
    <row r="144" ht="12" customFormat="1" customHeight="1" s="1573">
      <c r="A144" s="1466" t="inlineStr">
        <is>
          <t>Text_946</t>
        </is>
      </c>
      <c r="B144" s="2410" t="n"/>
      <c r="C144" s="2410" t="n"/>
      <c r="D144" s="2410" t="n"/>
      <c r="E144" s="2410" t="n"/>
      <c r="F144" s="2410" t="n"/>
      <c r="G144" s="2410" t="n"/>
      <c r="H144" s="2402" t="n"/>
      <c r="AY144" s="1633" t="n"/>
      <c r="AZ144" s="1633" t="n"/>
    </row>
    <row r="145" ht="12" customFormat="1" customHeight="1" s="1573">
      <c r="A145" s="1508" t="inlineStr">
        <is>
          <t>Text_947</t>
        </is>
      </c>
      <c r="B145" s="2410" t="n">
        <v>0.6635909002757731</v>
      </c>
      <c r="C145" s="2410" t="n">
        <v>-0.041319097761109</v>
      </c>
      <c r="D145" s="2410" t="n">
        <v>-0.0126122127155889</v>
      </c>
      <c r="E145" s="2410" t="n">
        <v>-0.0207188817297844</v>
      </c>
      <c r="F145" s="2410" t="n">
        <v>0.100211490644965</v>
      </c>
      <c r="G145" s="2410" t="n">
        <v>0.0898591166928893</v>
      </c>
      <c r="H145" s="2402" t="n">
        <v>-0.00228127604889935</v>
      </c>
      <c r="AY145" s="1633" t="n"/>
      <c r="AZ145" s="1633" t="n"/>
    </row>
    <row r="146" ht="12" customFormat="1" customHeight="1" s="1573">
      <c r="A146" s="1508" t="inlineStr">
        <is>
          <t>Text_948</t>
        </is>
      </c>
      <c r="B146" s="2410" t="n">
        <v>0.318169977839125</v>
      </c>
      <c r="C146" s="2410" t="n">
        <v>0.147622603332135</v>
      </c>
      <c r="D146" s="2410" t="n">
        <v>-0.290193927953147</v>
      </c>
      <c r="E146" s="2410" t="n">
        <v>0.0323861676438793</v>
      </c>
      <c r="F146" s="2410" t="n">
        <v>0.110001119887383</v>
      </c>
      <c r="G146" s="2410" t="n">
        <v>0.117324970944953</v>
      </c>
      <c r="H146" s="2402" t="n">
        <v>0.00914033198008923</v>
      </c>
      <c r="AY146" s="1633" t="n"/>
      <c r="AZ146" s="1633" t="n"/>
    </row>
    <row r="147" ht="12" customFormat="1" customHeight="1" s="1573">
      <c r="A147" s="1466" t="inlineStr">
        <is>
          <t>Text_949</t>
        </is>
      </c>
      <c r="B147" s="2398" t="n">
        <v>0.442845778587119</v>
      </c>
      <c r="C147" s="2398" t="n">
        <v>0.0552262553225582</v>
      </c>
      <c r="D147" s="2398" t="n">
        <v>-0.167309710168204</v>
      </c>
      <c r="E147" s="2398" t="n">
        <v>0.00384139954265459</v>
      </c>
      <c r="F147" s="2398" t="n">
        <v>0.105375407312183</v>
      </c>
      <c r="G147" s="2398" t="n">
        <v>0.104485806108102</v>
      </c>
      <c r="H147" s="2396" t="n">
        <v>0.00332410337842953</v>
      </c>
      <c r="AY147" s="1633" t="n"/>
      <c r="AZ147" s="1633" t="n"/>
    </row>
    <row r="148" ht="12" customFormat="1" customHeight="1" s="1573">
      <c r="A148" s="1508" t="inlineStr">
        <is>
          <t>Text_950</t>
        </is>
      </c>
      <c r="B148" s="2410" t="n">
        <v>0.361937667477172</v>
      </c>
      <c r="C148" s="2410" t="n">
        <v>0.06894314704156219</v>
      </c>
      <c r="D148" s="2410" t="n">
        <v>-0.231578317550918</v>
      </c>
      <c r="E148" s="2410" t="n">
        <v>0.0172285237585443</v>
      </c>
      <c r="F148" s="2410" t="n">
        <v>0.109102952983724</v>
      </c>
      <c r="G148" s="2410" t="n">
        <v>0.0948145572917167</v>
      </c>
      <c r="H148" s="2402" t="n">
        <v>0.0393776280467627</v>
      </c>
      <c r="AY148" s="1633" t="n"/>
      <c r="AZ148" s="1633" t="n"/>
    </row>
    <row r="149" ht="12" customFormat="1" customHeight="1" s="1573">
      <c r="A149" s="1508" t="inlineStr">
        <is>
          <t>Text_951</t>
        </is>
      </c>
      <c r="B149" s="2410" t="n">
        <v>0.339770234737784</v>
      </c>
      <c r="C149" s="2410" t="n">
        <v>0.101344099079748</v>
      </c>
      <c r="D149" s="2410" t="n">
        <v>-0.269962673419439</v>
      </c>
      <c r="E149" s="2410" t="n">
        <v>0.0215799118655192</v>
      </c>
      <c r="F149" s="2410" t="n">
        <v>0.114214814709414</v>
      </c>
      <c r="G149" s="2410" t="n">
        <v>0.101246615053021</v>
      </c>
      <c r="H149" s="2402" t="n">
        <v>-0.00916373590112088</v>
      </c>
      <c r="AY149" s="1633" t="n"/>
      <c r="AZ149" s="1633" t="n"/>
    </row>
    <row r="150" ht="12" customFormat="1" customHeight="1" s="1573">
      <c r="A150" s="1508" t="inlineStr">
        <is>
          <t>Text_952</t>
        </is>
      </c>
      <c r="B150" s="2410" t="n">
        <v>0.638295539563999</v>
      </c>
      <c r="C150" s="2410" t="n">
        <v>0.0200592859255994</v>
      </c>
      <c r="D150" s="2410" t="n">
        <v>-0.190874275752169</v>
      </c>
      <c r="E150" s="2410" t="n">
        <v>-0.009970579505214039</v>
      </c>
      <c r="F150" s="2410" t="n">
        <v>0.111789516670111</v>
      </c>
      <c r="G150" s="2410" t="n">
        <v>0.115454514445422</v>
      </c>
      <c r="H150" s="2402" t="n">
        <v>-0.00124685402668892</v>
      </c>
      <c r="AY150" s="1633" t="n"/>
      <c r="AZ150" s="1633" t="n"/>
    </row>
    <row r="151" ht="12" customFormat="1" customHeight="1" s="1573">
      <c r="A151" s="1508" t="inlineStr">
        <is>
          <t>Text_953</t>
        </is>
      </c>
      <c r="B151" s="2410" t="n">
        <v>0.859565790070271</v>
      </c>
      <c r="C151" s="2410" t="n">
        <v>0.119117308730568</v>
      </c>
      <c r="D151" s="2410" t="n">
        <v>-0.185231850794266</v>
      </c>
      <c r="E151" s="2410" t="n">
        <v>0.020756550744996</v>
      </c>
      <c r="F151" s="2410" t="n">
        <v>0.110446278134388</v>
      </c>
      <c r="G151" s="2410" t="n">
        <v>0.0911168575840627</v>
      </c>
      <c r="H151" s="2402" t="n">
        <v>0.006505670789873</v>
      </c>
      <c r="AY151" s="1633" t="n"/>
      <c r="AZ151" s="1633" t="n"/>
    </row>
    <row r="152" ht="12" customFormat="1" customHeight="1" s="1573">
      <c r="A152" s="1508" t="inlineStr">
        <is>
          <t>Text_954</t>
        </is>
      </c>
      <c r="B152" s="2410" t="n">
        <v>0.622181926080289</v>
      </c>
      <c r="C152" s="2410" t="n">
        <v>3.33317328811681</v>
      </c>
      <c r="D152" s="2410" t="n">
        <v>-0.819480754582173</v>
      </c>
      <c r="E152" s="2410" t="n">
        <v>0.0409429369879259</v>
      </c>
      <c r="F152" s="2410" t="n">
        <v>0.109098332987558</v>
      </c>
      <c r="G152" s="2410" t="n">
        <v>0.112655418385129</v>
      </c>
      <c r="H152" s="2402" t="n">
        <v>0.0300985225925647</v>
      </c>
      <c r="AY152" s="1633" t="n"/>
      <c r="AZ152" s="1633" t="n"/>
    </row>
    <row r="153" ht="12" customFormat="1" customHeight="1" s="1573">
      <c r="A153" s="1508" t="inlineStr">
        <is>
          <t>Text_955</t>
        </is>
      </c>
      <c r="B153" s="2410" t="n">
        <v>0.468680786566582</v>
      </c>
      <c r="C153" s="2410" t="n">
        <v>0.0190588436475148</v>
      </c>
      <c r="D153" s="2410" t="n">
        <v>-0.253849968457444</v>
      </c>
      <c r="E153" s="2410" t="n">
        <v>0.0180848194075763</v>
      </c>
      <c r="F153" s="2410" t="n">
        <v>0.107458948221301</v>
      </c>
      <c r="G153" s="2410" t="n">
        <v>0.12567913844983</v>
      </c>
      <c r="H153" s="2402" t="n">
        <v>0.0129955086198552</v>
      </c>
      <c r="AY153" s="1633" t="n"/>
      <c r="AZ153" s="1633" t="n"/>
    </row>
    <row r="154" ht="12" customFormat="1" customHeight="1" s="1573">
      <c r="A154" s="1508" t="inlineStr">
        <is>
          <t>Text_956</t>
        </is>
      </c>
      <c r="B154" s="2410" t="n">
        <v>0.649899965114624</v>
      </c>
      <c r="C154" s="2410" t="n">
        <v>0.08074771586376191</v>
      </c>
      <c r="D154" s="2410" t="n">
        <v>-0.248996486456644</v>
      </c>
      <c r="E154" s="2410" t="n">
        <v>0.0154012657425036</v>
      </c>
      <c r="F154" s="2410" t="n">
        <v>0.102872400251104</v>
      </c>
      <c r="G154" s="2410" t="n">
        <v>0.105397907037971</v>
      </c>
      <c r="H154" s="2402" t="n">
        <v>-0.0632892265473638</v>
      </c>
      <c r="AY154" s="1633" t="n"/>
      <c r="AZ154" s="1633" t="n"/>
    </row>
    <row r="155" ht="12" customFormat="1" customHeight="1" s="1573">
      <c r="A155" s="1466" t="inlineStr">
        <is>
          <t>Text_957</t>
        </is>
      </c>
      <c r="B155" s="2398" t="n">
        <v>0.495400846047014</v>
      </c>
      <c r="C155" s="2398" t="n">
        <v>0.0498457849942853</v>
      </c>
      <c r="D155" s="2398" t="n">
        <v>-0.183756869516973</v>
      </c>
      <c r="E155" s="2398" t="n">
        <v>0.00507650009740614</v>
      </c>
      <c r="F155" s="2398" t="n">
        <v>0.105067100074763</v>
      </c>
      <c r="G155" s="2398" t="n">
        <v>0.10431370051368</v>
      </c>
      <c r="H155" s="2396" t="n">
        <v>0.00379528187883337</v>
      </c>
      <c r="AY155" s="1633" t="n"/>
      <c r="AZ155" s="1633" t="n"/>
    </row>
    <row r="156" ht="12" customFormat="1" customHeight="1" s="1573">
      <c r="B156" s="2410" t="n"/>
      <c r="C156" s="2410" t="n"/>
      <c r="D156" s="2410" t="n"/>
      <c r="E156" s="2410" t="n"/>
      <c r="F156" s="2410" t="n"/>
      <c r="G156" s="2410" t="n"/>
      <c r="H156" s="2402" t="n"/>
      <c r="AY156" s="1633" t="n"/>
      <c r="AZ156" s="1633" t="n"/>
    </row>
    <row r="157" ht="12" customFormat="1" customHeight="1" s="1573">
      <c r="A157" s="1466" t="inlineStr">
        <is>
          <t>Text_958</t>
        </is>
      </c>
      <c r="B157" s="2410" t="n"/>
      <c r="C157" s="2410" t="n"/>
      <c r="D157" s="2410" t="n"/>
      <c r="E157" s="2410" t="n"/>
      <c r="F157" s="2410" t="n"/>
      <c r="G157" s="2410" t="n"/>
      <c r="H157" s="2402" t="n"/>
      <c r="I157" s="1640" t="n"/>
      <c r="J157" s="1633" t="n"/>
      <c r="K157" s="1633" t="n"/>
      <c r="L157" s="1633" t="n"/>
      <c r="M157" s="1633" t="n"/>
      <c r="N157" s="1633" t="n"/>
      <c r="O157" s="1633" t="n"/>
      <c r="P157" s="1633" t="n"/>
      <c r="Q157" s="1633" t="n"/>
      <c r="R157" s="1633" t="n"/>
      <c r="S157" s="1633" t="n"/>
      <c r="T157" s="1633" t="n"/>
      <c r="U157" s="1633" t="n"/>
      <c r="V157" s="1633" t="n"/>
      <c r="W157" s="1633" t="n"/>
      <c r="X157" s="1633" t="n"/>
      <c r="Y157" s="1633" t="n"/>
      <c r="Z157" s="1633" t="n"/>
      <c r="AA157" s="1633" t="n"/>
      <c r="AB157" s="1633" t="n"/>
      <c r="AC157" s="1633" t="n"/>
      <c r="AD157" s="1633" t="n"/>
      <c r="AE157" s="1633" t="n"/>
      <c r="AF157" s="1633" t="n"/>
      <c r="AG157" s="1633" t="n"/>
      <c r="AH157" s="1633" t="n"/>
      <c r="AI157" s="1633" t="n"/>
      <c r="AJ157" s="1633" t="n"/>
      <c r="AK157" s="1633" t="n"/>
      <c r="AL157" s="1633" t="n"/>
      <c r="AM157" s="1633" t="n"/>
      <c r="AN157" s="1633" t="n"/>
      <c r="AO157" s="1633" t="n"/>
      <c r="AP157" s="1633" t="n"/>
      <c r="AQ157" s="1633" t="n"/>
      <c r="AR157" s="1633" t="n"/>
      <c r="AS157" s="1633" t="n"/>
      <c r="AT157" s="1633" t="n"/>
      <c r="AU157" s="1633" t="n"/>
      <c r="AV157" s="1633" t="n"/>
      <c r="AW157" s="1633" t="n"/>
      <c r="AX157" s="1633" t="n"/>
      <c r="AY157" s="1633" t="n"/>
      <c r="AZ157" s="1633" t="n"/>
    </row>
    <row r="158" ht="12" customFormat="1" customHeight="1" s="1573">
      <c r="A158" s="1508" t="inlineStr">
        <is>
          <t>Text_959</t>
        </is>
      </c>
      <c r="B158" s="2410" t="n">
        <v>0.512334426084681</v>
      </c>
      <c r="C158" s="2410" t="n">
        <v>0.10650347493637</v>
      </c>
      <c r="D158" s="2410" t="n">
        <v>-0.156055064951902</v>
      </c>
      <c r="E158" s="2410" t="n">
        <v>0.0103481017369351</v>
      </c>
      <c r="F158" s="2410" t="n">
        <v>0.0886463675523735</v>
      </c>
      <c r="G158" s="2410" t="n">
        <v>0.108444871953278</v>
      </c>
      <c r="H158" s="2402" t="n">
        <v>0.0264405629445854</v>
      </c>
      <c r="I158" s="1640" t="n"/>
      <c r="J158" s="1633" t="n"/>
      <c r="K158" s="1633" t="n"/>
      <c r="L158" s="1633" t="n"/>
      <c r="M158" s="1633" t="n"/>
      <c r="N158" s="1633" t="n"/>
      <c r="O158" s="1633" t="n"/>
      <c r="P158" s="1633" t="n"/>
      <c r="Q158" s="1633" t="n"/>
      <c r="R158" s="1633" t="n"/>
      <c r="S158" s="1633" t="n"/>
      <c r="T158" s="1633" t="n"/>
      <c r="U158" s="1633" t="n"/>
      <c r="V158" s="1633" t="n"/>
      <c r="W158" s="1633" t="n"/>
      <c r="X158" s="1633" t="n"/>
      <c r="Y158" s="1633" t="n"/>
      <c r="Z158" s="1633" t="n"/>
      <c r="AA158" s="1633" t="n"/>
      <c r="AB158" s="1633" t="n"/>
      <c r="AC158" s="1633" t="n"/>
      <c r="AD158" s="1633" t="n"/>
      <c r="AE158" s="1633" t="n"/>
      <c r="AF158" s="1633" t="n"/>
      <c r="AG158" s="1633" t="n"/>
      <c r="AH158" s="1633" t="n"/>
      <c r="AI158" s="1633" t="n"/>
      <c r="AJ158" s="1633" t="n"/>
      <c r="AK158" s="1633" t="n"/>
      <c r="AL158" s="1633" t="n"/>
      <c r="AM158" s="1633" t="n"/>
      <c r="AN158" s="1633" t="n"/>
      <c r="AO158" s="1633" t="n"/>
      <c r="AP158" s="1633" t="n"/>
      <c r="AQ158" s="1633" t="n"/>
      <c r="AR158" s="1633" t="n"/>
      <c r="AS158" s="1633" t="n"/>
      <c r="AT158" s="1633" t="n"/>
      <c r="AU158" s="1633" t="n"/>
      <c r="AV158" s="1633" t="n"/>
      <c r="AW158" s="1633" t="n"/>
      <c r="AX158" s="1633" t="n"/>
      <c r="AY158" s="1633" t="n"/>
      <c r="AZ158" s="1633" t="n"/>
    </row>
    <row r="159" ht="12" customFormat="1" customHeight="1" s="1573">
      <c r="A159" s="1508" t="inlineStr">
        <is>
          <t>Text_960</t>
        </is>
      </c>
      <c r="B159" s="2410" t="n">
        <v>0.318386823166901</v>
      </c>
      <c r="C159" s="2410" t="n">
        <v>0.0403740985785283</v>
      </c>
      <c r="D159" s="2410" t="n">
        <v>-0.156519378465759</v>
      </c>
      <c r="E159" s="2410" t="n">
        <v>0.0221216439565575</v>
      </c>
      <c r="F159" s="2410" t="n">
        <v>0.0810481734763292</v>
      </c>
      <c r="G159" s="2410" t="n">
        <v>0.150308033616064</v>
      </c>
      <c r="H159" s="2402" t="n">
        <v>-0.0205792322507272</v>
      </c>
      <c r="I159" s="1640" t="n"/>
      <c r="J159" s="1633" t="n"/>
      <c r="K159" s="1633" t="n"/>
      <c r="L159" s="1633" t="n"/>
      <c r="M159" s="1633" t="n"/>
      <c r="N159" s="1633" t="n"/>
      <c r="O159" s="1633" t="n"/>
      <c r="P159" s="1633" t="n"/>
      <c r="Q159" s="1633" t="n"/>
      <c r="R159" s="1633" t="n"/>
      <c r="S159" s="1633" t="n"/>
      <c r="T159" s="1633" t="n"/>
      <c r="U159" s="1633" t="n"/>
      <c r="V159" s="1633" t="n"/>
      <c r="W159" s="1633" t="n"/>
      <c r="X159" s="1633" t="n"/>
      <c r="Y159" s="1633" t="n"/>
      <c r="Z159" s="1633" t="n"/>
      <c r="AA159" s="1633" t="n"/>
      <c r="AB159" s="1633" t="n"/>
      <c r="AC159" s="1633" t="n"/>
      <c r="AD159" s="1633" t="n"/>
      <c r="AE159" s="1633" t="n"/>
      <c r="AF159" s="1633" t="n"/>
      <c r="AG159" s="1633" t="n"/>
      <c r="AH159" s="1633" t="n"/>
      <c r="AI159" s="1633" t="n"/>
      <c r="AJ159" s="1633" t="n"/>
      <c r="AK159" s="1633" t="n"/>
      <c r="AL159" s="1633" t="n"/>
      <c r="AM159" s="1633" t="n"/>
      <c r="AN159" s="1633" t="n"/>
      <c r="AO159" s="1633" t="n"/>
      <c r="AP159" s="1633" t="n"/>
      <c r="AQ159" s="1633" t="n"/>
      <c r="AR159" s="1633" t="n"/>
      <c r="AS159" s="1633" t="n"/>
      <c r="AT159" s="1633" t="n"/>
      <c r="AU159" s="1633" t="n"/>
      <c r="AV159" s="1633" t="n"/>
      <c r="AW159" s="1633" t="n"/>
      <c r="AX159" s="1633" t="n"/>
      <c r="AY159" s="1633" t="n"/>
      <c r="AZ159" s="1633" t="n"/>
    </row>
    <row r="160" ht="12" customFormat="1" customHeight="1" s="1573">
      <c r="A160" s="1466" t="inlineStr">
        <is>
          <t>Text_961</t>
        </is>
      </c>
      <c r="B160" s="2398" t="n">
        <v>0.440048855787465</v>
      </c>
      <c r="C160" s="2398" t="n">
        <v>0.0879864467789217</v>
      </c>
      <c r="D160" s="2398" t="n">
        <v>-0.161782699616471</v>
      </c>
      <c r="E160" s="2398" t="n">
        <v>0.0133224887763165</v>
      </c>
      <c r="F160" s="2398" t="n">
        <v>0.09513989494789039</v>
      </c>
      <c r="G160" s="2398" t="n">
        <v>0.116320158192434</v>
      </c>
      <c r="H160" s="2396" t="n">
        <v>0.0135351055812851</v>
      </c>
      <c r="I160" s="1640" t="n"/>
      <c r="J160" s="1633" t="n"/>
      <c r="K160" s="1633" t="n"/>
      <c r="L160" s="1633" t="n"/>
      <c r="M160" s="1633" t="n"/>
      <c r="N160" s="1633" t="n"/>
      <c r="O160" s="1633" t="n"/>
      <c r="P160" s="1633" t="n"/>
      <c r="Q160" s="1633" t="n"/>
      <c r="R160" s="1633" t="n"/>
      <c r="S160" s="1633" t="n"/>
      <c r="T160" s="1633" t="n"/>
      <c r="U160" s="1633" t="n"/>
      <c r="V160" s="1633" t="n"/>
      <c r="W160" s="1633" t="n"/>
      <c r="X160" s="1633" t="n"/>
      <c r="Y160" s="1633" t="n"/>
      <c r="Z160" s="1633" t="n"/>
      <c r="AA160" s="1633" t="n"/>
      <c r="AB160" s="1633" t="n"/>
      <c r="AC160" s="1633" t="n"/>
      <c r="AD160" s="1633" t="n"/>
      <c r="AE160" s="1633" t="n"/>
      <c r="AF160" s="1633" t="n"/>
      <c r="AG160" s="1633" t="n"/>
      <c r="AH160" s="1633" t="n"/>
      <c r="AI160" s="1633" t="n"/>
      <c r="AJ160" s="1633" t="n"/>
      <c r="AK160" s="1633" t="n"/>
      <c r="AL160" s="1633" t="n"/>
      <c r="AM160" s="1633" t="n"/>
      <c r="AN160" s="1633" t="n"/>
      <c r="AO160" s="1633" t="n"/>
      <c r="AP160" s="1633" t="n"/>
      <c r="AQ160" s="1633" t="n"/>
      <c r="AR160" s="1633" t="n"/>
      <c r="AS160" s="1633" t="n"/>
      <c r="AT160" s="1633" t="n"/>
      <c r="AU160" s="1633" t="n"/>
      <c r="AV160" s="1633" t="n"/>
      <c r="AW160" s="1633" t="n"/>
      <c r="AX160" s="1633" t="n"/>
      <c r="AY160" s="1633" t="n"/>
      <c r="AZ160" s="1633" t="n"/>
    </row>
    <row r="161" ht="12" customFormat="1" customHeight="1" s="1573">
      <c r="B161" s="2410" t="n"/>
      <c r="C161" s="2410" t="n"/>
      <c r="D161" s="2410" t="n"/>
      <c r="E161" s="2410" t="n"/>
      <c r="F161" s="2410" t="n"/>
      <c r="G161" s="2410" t="n"/>
      <c r="H161" s="2402" t="n"/>
      <c r="I161" s="1640" t="n"/>
      <c r="J161" s="1633" t="n"/>
      <c r="K161" s="1633" t="n"/>
      <c r="L161" s="1633" t="n"/>
      <c r="M161" s="1633" t="n"/>
      <c r="N161" s="1633" t="n"/>
      <c r="O161" s="1633" t="n"/>
      <c r="P161" s="1633" t="n"/>
      <c r="Q161" s="1633" t="n"/>
      <c r="R161" s="1633" t="n"/>
      <c r="S161" s="1633" t="n"/>
      <c r="T161" s="1633" t="n"/>
      <c r="U161" s="1633" t="n"/>
      <c r="V161" s="1633" t="n"/>
      <c r="W161" s="1633" t="n"/>
      <c r="X161" s="1633" t="n"/>
      <c r="Y161" s="1633" t="n"/>
      <c r="Z161" s="1633" t="n"/>
      <c r="AA161" s="1633" t="n"/>
      <c r="AB161" s="1633" t="n"/>
      <c r="AC161" s="1633" t="n"/>
      <c r="AD161" s="1633" t="n"/>
      <c r="AE161" s="1633" t="n"/>
      <c r="AF161" s="1633" t="n"/>
      <c r="AG161" s="1633" t="n"/>
      <c r="AH161" s="1633" t="n"/>
      <c r="AI161" s="1633" t="n"/>
      <c r="AJ161" s="1633" t="n"/>
      <c r="AK161" s="1633" t="n"/>
      <c r="AL161" s="1633" t="n"/>
      <c r="AM161" s="1633" t="n"/>
      <c r="AN161" s="1633" t="n"/>
      <c r="AO161" s="1633" t="n"/>
      <c r="AP161" s="1633" t="n"/>
      <c r="AQ161" s="1633" t="n"/>
      <c r="AR161" s="1633" t="n"/>
      <c r="AS161" s="1633" t="n"/>
      <c r="AT161" s="1633" t="n"/>
      <c r="AU161" s="1633" t="n"/>
      <c r="AV161" s="1633" t="n"/>
      <c r="AW161" s="1633" t="n"/>
      <c r="AX161" s="1633" t="n"/>
      <c r="AY161" s="1633" t="n"/>
      <c r="AZ161" s="1633" t="n"/>
    </row>
    <row r="162" ht="12" customFormat="1" customHeight="1" s="1573">
      <c r="A162" s="1466" t="inlineStr">
        <is>
          <t>Text_962</t>
        </is>
      </c>
      <c r="B162" s="2410" t="n"/>
      <c r="C162" s="2410" t="n"/>
      <c r="D162" s="2410" t="n"/>
      <c r="E162" s="2410" t="n"/>
      <c r="F162" s="2410" t="n"/>
      <c r="G162" s="2410" t="n"/>
      <c r="H162" s="2402" t="n"/>
      <c r="I162" s="1640" t="n"/>
      <c r="J162" s="1633" t="n"/>
      <c r="K162" s="1633" t="n"/>
      <c r="L162" s="1633" t="n"/>
      <c r="M162" s="1633" t="n"/>
      <c r="N162" s="1633" t="n"/>
      <c r="O162" s="1633" t="n"/>
      <c r="P162" s="1633" t="n"/>
      <c r="Q162" s="1633" t="n"/>
      <c r="R162" s="1633" t="n"/>
      <c r="S162" s="1633" t="n"/>
      <c r="T162" s="1633" t="n"/>
      <c r="U162" s="1633" t="n"/>
      <c r="V162" s="1633" t="n"/>
      <c r="W162" s="1633" t="n"/>
      <c r="X162" s="1633" t="n"/>
      <c r="Y162" s="1633" t="n"/>
      <c r="Z162" s="1633" t="n"/>
      <c r="AA162" s="1633" t="n"/>
      <c r="AB162" s="1633" t="n"/>
      <c r="AC162" s="1633" t="n"/>
      <c r="AD162" s="1633" t="n"/>
      <c r="AE162" s="1633" t="n"/>
      <c r="AF162" s="1633" t="n"/>
      <c r="AG162" s="1633" t="n"/>
      <c r="AH162" s="1633" t="n"/>
      <c r="AI162" s="1633" t="n"/>
      <c r="AJ162" s="1633" t="n"/>
      <c r="AK162" s="1633" t="n"/>
      <c r="AL162" s="1633" t="n"/>
      <c r="AM162" s="1633" t="n"/>
      <c r="AN162" s="1633" t="n"/>
      <c r="AO162" s="1633" t="n"/>
      <c r="AP162" s="1633" t="n"/>
      <c r="AQ162" s="1633" t="n"/>
      <c r="AR162" s="1633" t="n"/>
      <c r="AS162" s="1633" t="n"/>
      <c r="AT162" s="1633" t="n"/>
      <c r="AU162" s="1633" t="n"/>
      <c r="AV162" s="1633" t="n"/>
      <c r="AW162" s="1633" t="n"/>
      <c r="AX162" s="1633" t="n"/>
      <c r="AY162" s="1633" t="n"/>
      <c r="AZ162" s="1633" t="n"/>
    </row>
    <row r="163" ht="12" customFormat="1" customHeight="1" s="1573">
      <c r="A163" s="1508" t="inlineStr">
        <is>
          <t>Text_963</t>
        </is>
      </c>
      <c r="B163" s="2410" t="n">
        <v>0.521930674761825</v>
      </c>
      <c r="C163" s="2410" t="n">
        <v>0.693823751321173</v>
      </c>
      <c r="D163" s="2410" t="n">
        <v>-0.378086069405122</v>
      </c>
      <c r="E163" s="2410" t="n">
        <v>-0.0239433652972138</v>
      </c>
      <c r="F163" s="2410" t="n">
        <v>0.09436800982957951</v>
      </c>
      <c r="G163" s="2410" t="n">
        <v>0.08255739564982779</v>
      </c>
      <c r="H163" s="2402" t="n">
        <v>0.0392847926768935</v>
      </c>
      <c r="I163" s="1640" t="n"/>
      <c r="J163" s="1633" t="n"/>
      <c r="K163" s="1633" t="n"/>
      <c r="L163" s="1633" t="n"/>
      <c r="M163" s="1633" t="n"/>
      <c r="N163" s="1633" t="n"/>
      <c r="O163" s="1633" t="n"/>
      <c r="P163" s="1633" t="n"/>
      <c r="Q163" s="1633" t="n"/>
      <c r="R163" s="1633" t="n"/>
      <c r="S163" s="1633" t="n"/>
      <c r="T163" s="1633" t="n"/>
      <c r="U163" s="1633" t="n"/>
      <c r="V163" s="1633" t="n"/>
      <c r="W163" s="1633" t="n"/>
      <c r="X163" s="1633" t="n"/>
      <c r="Y163" s="1633" t="n"/>
      <c r="Z163" s="1633" t="n"/>
      <c r="AA163" s="1633" t="n"/>
      <c r="AB163" s="1633" t="n"/>
      <c r="AC163" s="1633" t="n"/>
      <c r="AD163" s="1633" t="n"/>
      <c r="AE163" s="1633" t="n"/>
      <c r="AF163" s="1633" t="n"/>
      <c r="AG163" s="1633" t="n"/>
      <c r="AH163" s="1633" t="n"/>
      <c r="AI163" s="1633" t="n"/>
      <c r="AJ163" s="1633" t="n"/>
      <c r="AK163" s="1633" t="n"/>
      <c r="AL163" s="1633" t="n"/>
      <c r="AM163" s="1633" t="n"/>
      <c r="AN163" s="1633" t="n"/>
      <c r="AO163" s="1633" t="n"/>
      <c r="AP163" s="1633" t="n"/>
      <c r="AQ163" s="1633" t="n"/>
      <c r="AR163" s="1633" t="n"/>
      <c r="AS163" s="1633" t="n"/>
      <c r="AT163" s="1633" t="n"/>
      <c r="AU163" s="1633" t="n"/>
      <c r="AV163" s="1633" t="n"/>
      <c r="AW163" s="1633" t="n"/>
      <c r="AX163" s="1633" t="n"/>
      <c r="AY163" s="1633" t="n"/>
      <c r="AZ163" s="1633" t="n"/>
    </row>
    <row r="164" ht="12" customFormat="1" customHeight="1" s="1573">
      <c r="A164" s="1508" t="inlineStr">
        <is>
          <t>Text_964</t>
        </is>
      </c>
      <c r="B164" s="2410" t="n">
        <v>0.565375607805668</v>
      </c>
      <c r="C164" s="2410" t="n">
        <v>0.167954596079399</v>
      </c>
      <c r="D164" s="2410" t="n">
        <v>-0.07189764046042001</v>
      </c>
      <c r="E164" s="2410" t="n">
        <v>-0.0284136236115864</v>
      </c>
      <c r="F164" s="2410" t="n">
        <v>0.0887832551155361</v>
      </c>
      <c r="G164" s="2410" t="n">
        <v>0.0722260244048137</v>
      </c>
      <c r="H164" s="2402" t="n">
        <v>0.0335369158029274</v>
      </c>
      <c r="I164" s="1640" t="n"/>
      <c r="J164" s="1633" t="n"/>
      <c r="K164" s="1633" t="n"/>
      <c r="L164" s="1633" t="n"/>
      <c r="M164" s="1633" t="n"/>
      <c r="N164" s="1633" t="n"/>
      <c r="O164" s="1633" t="n"/>
      <c r="P164" s="1633" t="n"/>
      <c r="Q164" s="1633" t="n"/>
      <c r="R164" s="1633" t="n"/>
      <c r="S164" s="1633" t="n"/>
      <c r="T164" s="1633" t="n"/>
      <c r="U164" s="1633" t="n"/>
      <c r="V164" s="1633" t="n"/>
      <c r="W164" s="1633" t="n"/>
      <c r="X164" s="1633" t="n"/>
      <c r="Y164" s="1633" t="n"/>
      <c r="Z164" s="1633" t="n"/>
      <c r="AA164" s="1633" t="n"/>
      <c r="AB164" s="1633" t="n"/>
      <c r="AC164" s="1633" t="n"/>
      <c r="AD164" s="1633" t="n"/>
      <c r="AE164" s="1633" t="n"/>
      <c r="AF164" s="1633" t="n"/>
      <c r="AG164" s="1633" t="n"/>
      <c r="AH164" s="1633" t="n"/>
      <c r="AI164" s="1633" t="n"/>
      <c r="AJ164" s="1633" t="n"/>
      <c r="AK164" s="1633" t="n"/>
      <c r="AL164" s="1633" t="n"/>
      <c r="AM164" s="1633" t="n"/>
      <c r="AN164" s="1633" t="n"/>
      <c r="AO164" s="1633" t="n"/>
      <c r="AP164" s="1633" t="n"/>
      <c r="AQ164" s="1633" t="n"/>
      <c r="AR164" s="1633" t="n"/>
      <c r="AS164" s="1633" t="n"/>
      <c r="AT164" s="1633" t="n"/>
      <c r="AU164" s="1633" t="n"/>
      <c r="AV164" s="1633" t="n"/>
      <c r="AW164" s="1633" t="n"/>
      <c r="AX164" s="1633" t="n"/>
      <c r="AY164" s="1633" t="n"/>
      <c r="AZ164" s="1633" t="n"/>
    </row>
    <row r="165" ht="12" customFormat="1" customHeight="1" s="1573">
      <c r="A165" s="1508" t="inlineStr">
        <is>
          <t>Text_965</t>
        </is>
      </c>
      <c r="B165" s="2410" t="n">
        <v>0.338026045414981</v>
      </c>
      <c r="C165" s="2410" t="n">
        <v>0.306939779629288</v>
      </c>
      <c r="D165" s="2410" t="n">
        <v>-0.159494039973178</v>
      </c>
      <c r="E165" s="2410" t="n">
        <v>-0.0105159128966064</v>
      </c>
      <c r="F165" s="2410" t="n">
        <v>0.08885211475706691</v>
      </c>
      <c r="G165" s="2410" t="n">
        <v>0.072186151624392</v>
      </c>
      <c r="H165" s="2402" t="n">
        <v>0.0139101271508329</v>
      </c>
      <c r="I165" s="1640" t="n"/>
      <c r="J165" s="1633" t="n"/>
      <c r="K165" s="1633" t="n"/>
      <c r="L165" s="1633" t="n"/>
      <c r="M165" s="1633" t="n"/>
      <c r="N165" s="1633" t="n"/>
      <c r="O165" s="1633" t="n"/>
      <c r="P165" s="1633" t="n"/>
      <c r="Q165" s="1633" t="n"/>
      <c r="R165" s="1633" t="n"/>
      <c r="S165" s="1633" t="n"/>
      <c r="T165" s="1633" t="n"/>
      <c r="U165" s="1633" t="n"/>
      <c r="V165" s="1633" t="n"/>
      <c r="W165" s="1633" t="n"/>
      <c r="X165" s="1633" t="n"/>
      <c r="Y165" s="1633" t="n"/>
      <c r="Z165" s="1633" t="n"/>
      <c r="AA165" s="1633" t="n"/>
      <c r="AB165" s="1633" t="n"/>
      <c r="AC165" s="1633" t="n"/>
      <c r="AD165" s="1633" t="n"/>
      <c r="AE165" s="1633" t="n"/>
      <c r="AF165" s="1633" t="n"/>
      <c r="AG165" s="1633" t="n"/>
      <c r="AH165" s="1633" t="n"/>
      <c r="AI165" s="1633" t="n"/>
      <c r="AJ165" s="1633" t="n"/>
      <c r="AK165" s="1633" t="n"/>
      <c r="AL165" s="1633" t="n"/>
      <c r="AM165" s="1633" t="n"/>
      <c r="AN165" s="1633" t="n"/>
      <c r="AO165" s="1633" t="n"/>
      <c r="AP165" s="1633" t="n"/>
      <c r="AQ165" s="1633" t="n"/>
      <c r="AR165" s="1633" t="n"/>
      <c r="AS165" s="1633" t="n"/>
      <c r="AT165" s="1633" t="n"/>
      <c r="AU165" s="1633" t="n"/>
      <c r="AV165" s="1633" t="n"/>
      <c r="AW165" s="1633" t="n"/>
      <c r="AX165" s="1633" t="n"/>
      <c r="AY165" s="1633" t="n"/>
      <c r="AZ165" s="1633" t="n"/>
    </row>
    <row r="166" ht="12" customFormat="1" customHeight="1" s="1573">
      <c r="A166" s="1508" t="inlineStr">
        <is>
          <t>Text_966</t>
        </is>
      </c>
      <c r="B166" s="2410" t="n">
        <v>0.463231201435458</v>
      </c>
      <c r="C166" s="2410" t="n">
        <v>0.282253179917223</v>
      </c>
      <c r="D166" s="2410" t="n">
        <v>-0.15176730362546</v>
      </c>
      <c r="E166" s="2410" t="n">
        <v>-0.0519155118307189</v>
      </c>
      <c r="F166" s="2410" t="n">
        <v>0.0876823887487872</v>
      </c>
      <c r="G166" s="2410" t="n">
        <v>0.07194937620420851</v>
      </c>
      <c r="H166" s="2402" t="n">
        <v>-0.00445115609770469</v>
      </c>
      <c r="I166" s="1640" t="n"/>
      <c r="J166" s="1633" t="n"/>
      <c r="K166" s="1633" t="n"/>
      <c r="L166" s="1633" t="n"/>
      <c r="M166" s="1633" t="n"/>
      <c r="N166" s="1633" t="n"/>
      <c r="O166" s="1633" t="n"/>
      <c r="P166" s="1633" t="n"/>
      <c r="Q166" s="1633" t="n"/>
      <c r="R166" s="1633" t="n"/>
      <c r="S166" s="1633" t="n"/>
      <c r="T166" s="1633" t="n"/>
      <c r="U166" s="1633" t="n"/>
      <c r="V166" s="1633" t="n"/>
      <c r="W166" s="1633" t="n"/>
      <c r="X166" s="1633" t="n"/>
      <c r="Y166" s="1633" t="n"/>
      <c r="Z166" s="1633" t="n"/>
      <c r="AA166" s="1633" t="n"/>
      <c r="AB166" s="1633" t="n"/>
      <c r="AC166" s="1633" t="n"/>
      <c r="AD166" s="1633" t="n"/>
      <c r="AE166" s="1633" t="n"/>
      <c r="AF166" s="1633" t="n"/>
      <c r="AG166" s="1633" t="n"/>
      <c r="AH166" s="1633" t="n"/>
      <c r="AI166" s="1633" t="n"/>
      <c r="AJ166" s="1633" t="n"/>
      <c r="AK166" s="1633" t="n"/>
      <c r="AL166" s="1633" t="n"/>
      <c r="AM166" s="1633" t="n"/>
      <c r="AN166" s="1633" t="n"/>
      <c r="AO166" s="1633" t="n"/>
      <c r="AP166" s="1633" t="n"/>
      <c r="AQ166" s="1633" t="n"/>
      <c r="AR166" s="1633" t="n"/>
      <c r="AS166" s="1633" t="n"/>
      <c r="AT166" s="1633" t="n"/>
      <c r="AU166" s="1633" t="n"/>
      <c r="AV166" s="1633" t="n"/>
      <c r="AW166" s="1633" t="n"/>
      <c r="AX166" s="1633" t="n"/>
      <c r="AY166" s="1633" t="n"/>
      <c r="AZ166" s="1633" t="n"/>
    </row>
    <row r="167" ht="12" customFormat="1" customHeight="1" s="1573">
      <c r="A167" s="1508" t="inlineStr">
        <is>
          <t>Text_967</t>
        </is>
      </c>
      <c r="B167" s="2410" t="n">
        <v>0.544580414713649</v>
      </c>
      <c r="C167" s="2410" t="n">
        <v>0.205170505813632</v>
      </c>
      <c r="D167" s="2410" t="n">
        <v>-0.00734902611579216</v>
      </c>
      <c r="E167" s="2410" t="n">
        <v>0.0322040904018808</v>
      </c>
      <c r="F167" s="2410" t="n">
        <v>0.103363800724694</v>
      </c>
      <c r="G167" s="2410" t="n">
        <v>0.0592332740645443</v>
      </c>
      <c r="H167" s="2402" t="n">
        <v>0.0561461877531099</v>
      </c>
      <c r="I167" s="1640" t="n"/>
      <c r="J167" s="1633" t="n"/>
      <c r="K167" s="1633" t="n"/>
      <c r="L167" s="1633" t="n"/>
      <c r="M167" s="1633" t="n"/>
      <c r="N167" s="1633" t="n"/>
      <c r="O167" s="1633" t="n"/>
      <c r="P167" s="1633" t="n"/>
      <c r="Q167" s="1633" t="n"/>
      <c r="R167" s="1633" t="n"/>
      <c r="S167" s="1633" t="n"/>
      <c r="T167" s="1633" t="n"/>
      <c r="U167" s="1633" t="n"/>
      <c r="V167" s="1633" t="n"/>
      <c r="W167" s="1633" t="n"/>
      <c r="X167" s="1633" t="n"/>
      <c r="Y167" s="1633" t="n"/>
      <c r="Z167" s="1633" t="n"/>
      <c r="AA167" s="1633" t="n"/>
      <c r="AB167" s="1633" t="n"/>
      <c r="AC167" s="1633" t="n"/>
      <c r="AD167" s="1633" t="n"/>
      <c r="AE167" s="1633" t="n"/>
      <c r="AF167" s="1633" t="n"/>
      <c r="AG167" s="1633" t="n"/>
      <c r="AH167" s="1633" t="n"/>
      <c r="AI167" s="1633" t="n"/>
      <c r="AJ167" s="1633" t="n"/>
      <c r="AK167" s="1633" t="n"/>
      <c r="AL167" s="1633" t="n"/>
      <c r="AM167" s="1633" t="n"/>
      <c r="AN167" s="1633" t="n"/>
      <c r="AO167" s="1633" t="n"/>
      <c r="AP167" s="1633" t="n"/>
      <c r="AQ167" s="1633" t="n"/>
      <c r="AR167" s="1633" t="n"/>
      <c r="AS167" s="1633" t="n"/>
      <c r="AT167" s="1633" t="n"/>
      <c r="AU167" s="1633" t="n"/>
      <c r="AV167" s="1633" t="n"/>
      <c r="AW167" s="1633" t="n"/>
      <c r="AX167" s="1633" t="n"/>
      <c r="AY167" s="1633" t="n"/>
      <c r="AZ167" s="1633" t="n"/>
    </row>
    <row r="168" ht="12" customFormat="1" customHeight="1" s="1573">
      <c r="A168" s="1508" t="inlineStr">
        <is>
          <t>Text_968</t>
        </is>
      </c>
      <c r="B168" s="2410" t="n">
        <v>0.469499255712875</v>
      </c>
      <c r="C168" s="2410" t="n">
        <v>0.174283999161771</v>
      </c>
      <c r="D168" s="2410" t="n">
        <v>-0.0703386569925995</v>
      </c>
      <c r="E168" s="2410" t="n">
        <v>-0.0351211347045631</v>
      </c>
      <c r="F168" s="2410" t="n">
        <v>0.08590251030254099</v>
      </c>
      <c r="G168" s="2410" t="n">
        <v>0.07303786994608941</v>
      </c>
      <c r="H168" s="2402" t="n">
        <v>0.0266093370834663</v>
      </c>
      <c r="I168" s="1640" t="n"/>
      <c r="J168" s="1633" t="n"/>
      <c r="K168" s="1633" t="n"/>
      <c r="L168" s="1633" t="n"/>
      <c r="M168" s="1633" t="n"/>
      <c r="N168" s="1633" t="n"/>
      <c r="O168" s="1633" t="n"/>
      <c r="P168" s="1633" t="n"/>
      <c r="Q168" s="1633" t="n"/>
      <c r="R168" s="1633" t="n"/>
      <c r="S168" s="1633" t="n"/>
      <c r="T168" s="1633" t="n"/>
      <c r="U168" s="1633" t="n"/>
      <c r="V168" s="1633" t="n"/>
      <c r="W168" s="1633" t="n"/>
      <c r="X168" s="1633" t="n"/>
      <c r="Y168" s="1633" t="n"/>
      <c r="Z168" s="1633" t="n"/>
      <c r="AA168" s="1633" t="n"/>
      <c r="AB168" s="1633" t="n"/>
      <c r="AC168" s="1633" t="n"/>
      <c r="AD168" s="1633" t="n"/>
      <c r="AE168" s="1633" t="n"/>
      <c r="AF168" s="1633" t="n"/>
      <c r="AG168" s="1633" t="n"/>
      <c r="AH168" s="1633" t="n"/>
      <c r="AI168" s="1633" t="n"/>
      <c r="AJ168" s="1633" t="n"/>
      <c r="AK168" s="1633" t="n"/>
      <c r="AL168" s="1633" t="n"/>
      <c r="AM168" s="1633" t="n"/>
      <c r="AN168" s="1633" t="n"/>
      <c r="AO168" s="1633" t="n"/>
      <c r="AP168" s="1633" t="n"/>
      <c r="AQ168" s="1633" t="n"/>
      <c r="AR168" s="1633" t="n"/>
      <c r="AS168" s="1633" t="n"/>
      <c r="AT168" s="1633" t="n"/>
      <c r="AU168" s="1633" t="n"/>
      <c r="AV168" s="1633" t="n"/>
      <c r="AW168" s="1633" t="n"/>
      <c r="AX168" s="1633" t="n"/>
      <c r="AY168" s="1633" t="n"/>
      <c r="AZ168" s="1633" t="n"/>
    </row>
    <row r="169" ht="12" customFormat="1" customHeight="1" s="1573">
      <c r="A169" s="1508" t="inlineStr">
        <is>
          <t>Text_969</t>
        </is>
      </c>
      <c r="B169" s="2410" t="n">
        <v>0.214789193761163</v>
      </c>
      <c r="C169" s="2410" t="n">
        <v>-0.106771674402409</v>
      </c>
      <c r="D169" s="2410" t="n">
        <v>0.247980129693377</v>
      </c>
      <c r="E169" s="2410" t="n">
        <v>-0.0256651127012993</v>
      </c>
      <c r="F169" s="2410" t="n">
        <v>0.0875213052021219</v>
      </c>
      <c r="G169" s="2410" t="n">
        <v>0.07803415520916369</v>
      </c>
      <c r="H169" s="2402" t="n">
        <v>-0.028785198080585</v>
      </c>
      <c r="I169" s="1640" t="n"/>
      <c r="J169" s="1633" t="n"/>
      <c r="K169" s="1633" t="n"/>
      <c r="L169" s="1633" t="n"/>
      <c r="M169" s="1633" t="n"/>
      <c r="N169" s="1633" t="n"/>
      <c r="O169" s="1633" t="n"/>
      <c r="P169" s="1633" t="n"/>
      <c r="Q169" s="1633" t="n"/>
      <c r="R169" s="1633" t="n"/>
      <c r="S169" s="1633" t="n"/>
      <c r="T169" s="1633" t="n"/>
      <c r="U169" s="1633" t="n"/>
      <c r="V169" s="1633" t="n"/>
      <c r="W169" s="1633" t="n"/>
      <c r="X169" s="1633" t="n"/>
      <c r="Y169" s="1633" t="n"/>
      <c r="Z169" s="1633" t="n"/>
      <c r="AA169" s="1633" t="n"/>
      <c r="AB169" s="1633" t="n"/>
      <c r="AC169" s="1633" t="n"/>
      <c r="AD169" s="1633" t="n"/>
      <c r="AE169" s="1633" t="n"/>
      <c r="AF169" s="1633" t="n"/>
      <c r="AG169" s="1633" t="n"/>
      <c r="AH169" s="1633" t="n"/>
      <c r="AI169" s="1633" t="n"/>
      <c r="AJ169" s="1633" t="n"/>
      <c r="AK169" s="1633" t="n"/>
      <c r="AL169" s="1633" t="n"/>
      <c r="AM169" s="1633" t="n"/>
      <c r="AN169" s="1633" t="n"/>
      <c r="AO169" s="1633" t="n"/>
      <c r="AP169" s="1633" t="n"/>
      <c r="AQ169" s="1633" t="n"/>
      <c r="AR169" s="1633" t="n"/>
      <c r="AS169" s="1633" t="n"/>
      <c r="AT169" s="1633" t="n"/>
      <c r="AU169" s="1633" t="n"/>
      <c r="AV169" s="1633" t="n"/>
      <c r="AW169" s="1633" t="n"/>
      <c r="AX169" s="1633" t="n"/>
      <c r="AY169" s="1633" t="n"/>
      <c r="AZ169" s="1633" t="n"/>
    </row>
    <row r="170" ht="12" customFormat="1" customHeight="1" s="1573">
      <c r="A170" s="1466" t="inlineStr">
        <is>
          <t>Text_970</t>
        </is>
      </c>
      <c r="B170" s="2398" t="n">
        <v>0.49370976838292</v>
      </c>
      <c r="C170" s="2398" t="n">
        <v>0.242559307153956</v>
      </c>
      <c r="D170" s="2398" t="n">
        <v>-0.0833590741007538</v>
      </c>
      <c r="E170" s="2398" t="n">
        <v>0.00293747698973188</v>
      </c>
      <c r="F170" s="2398" t="n">
        <v>0.0954375241441799</v>
      </c>
      <c r="G170" s="2398" t="n">
        <v>0.06645217682461629</v>
      </c>
      <c r="H170" s="2396" t="n">
        <v>0.0367093929993016</v>
      </c>
      <c r="I170" s="1640" t="n"/>
      <c r="J170" s="1633" t="n"/>
      <c r="K170" s="1633" t="n"/>
      <c r="L170" s="1633" t="n"/>
      <c r="M170" s="1633" t="n"/>
      <c r="N170" s="1633" t="n"/>
      <c r="O170" s="1633" t="n"/>
      <c r="P170" s="1633" t="n"/>
      <c r="Q170" s="1633" t="n"/>
      <c r="R170" s="1633" t="n"/>
      <c r="S170" s="1633" t="n"/>
      <c r="T170" s="1633" t="n"/>
      <c r="U170" s="1633" t="n"/>
      <c r="V170" s="1633" t="n"/>
      <c r="W170" s="1633" t="n"/>
      <c r="X170" s="1633" t="n"/>
      <c r="Y170" s="1633" t="n"/>
      <c r="Z170" s="1633" t="n"/>
      <c r="AA170" s="1633" t="n"/>
      <c r="AB170" s="1633" t="n"/>
      <c r="AC170" s="1633" t="n"/>
      <c r="AD170" s="1633" t="n"/>
      <c r="AE170" s="1633" t="n"/>
      <c r="AF170" s="1633" t="n"/>
      <c r="AG170" s="1633" t="n"/>
      <c r="AH170" s="1633" t="n"/>
      <c r="AI170" s="1633" t="n"/>
      <c r="AJ170" s="1633" t="n"/>
      <c r="AK170" s="1633" t="n"/>
      <c r="AL170" s="1633" t="n"/>
      <c r="AM170" s="1633" t="n"/>
      <c r="AN170" s="1633" t="n"/>
      <c r="AO170" s="1633" t="n"/>
      <c r="AP170" s="1633" t="n"/>
      <c r="AQ170" s="1633" t="n"/>
      <c r="AR170" s="1633" t="n"/>
      <c r="AS170" s="1633" t="n"/>
      <c r="AT170" s="1633" t="n"/>
      <c r="AU170" s="1633" t="n"/>
      <c r="AV170" s="1633" t="n"/>
      <c r="AW170" s="1633" t="n"/>
      <c r="AX170" s="1633" t="n"/>
      <c r="AY170" s="1633" t="n"/>
      <c r="AZ170" s="1633" t="n"/>
    </row>
    <row r="171" ht="12" customFormat="1" customHeight="1" s="1573">
      <c r="A171" s="1508" t="inlineStr">
        <is>
          <t>Text_971</t>
        </is>
      </c>
      <c r="B171" s="2410" t="n">
        <v>0.373830529744205</v>
      </c>
      <c r="C171" s="2410" t="n">
        <v>0.169153314755296</v>
      </c>
      <c r="D171" s="2410" t="n">
        <v>-0.06744891595780871</v>
      </c>
      <c r="E171" s="2410" t="n">
        <v>-0.0361953525170376</v>
      </c>
      <c r="F171" s="2410" t="n">
        <v>0.11161063209839</v>
      </c>
      <c r="G171" s="2410" t="n">
        <v>0.0565038733292075</v>
      </c>
      <c r="H171" s="2402" t="n">
        <v>0.0279439518160254</v>
      </c>
      <c r="I171" s="1640" t="n"/>
      <c r="J171" s="1633" t="n"/>
      <c r="K171" s="1633" t="n"/>
      <c r="L171" s="1633" t="n"/>
      <c r="M171" s="1633" t="n"/>
      <c r="N171" s="1633" t="n"/>
      <c r="O171" s="1633" t="n"/>
      <c r="P171" s="1633" t="n"/>
      <c r="Q171" s="1633" t="n"/>
      <c r="R171" s="1633" t="n"/>
      <c r="S171" s="1633" t="n"/>
      <c r="T171" s="1633" t="n"/>
      <c r="U171" s="1633" t="n"/>
      <c r="V171" s="1633" t="n"/>
      <c r="W171" s="1633" t="n"/>
      <c r="X171" s="1633" t="n"/>
      <c r="Y171" s="1633" t="n"/>
      <c r="Z171" s="1633" t="n"/>
      <c r="AA171" s="1633" t="n"/>
      <c r="AB171" s="1633" t="n"/>
      <c r="AC171" s="1633" t="n"/>
      <c r="AD171" s="1633" t="n"/>
      <c r="AE171" s="1633" t="n"/>
      <c r="AF171" s="1633" t="n"/>
      <c r="AG171" s="1633" t="n"/>
      <c r="AH171" s="1633" t="n"/>
      <c r="AI171" s="1633" t="n"/>
      <c r="AJ171" s="1633" t="n"/>
      <c r="AK171" s="1633" t="n"/>
      <c r="AL171" s="1633" t="n"/>
      <c r="AM171" s="1633" t="n"/>
      <c r="AN171" s="1633" t="n"/>
      <c r="AO171" s="1633" t="n"/>
      <c r="AP171" s="1633" t="n"/>
      <c r="AQ171" s="1633" t="n"/>
      <c r="AR171" s="1633" t="n"/>
      <c r="AS171" s="1633" t="n"/>
      <c r="AT171" s="1633" t="n"/>
      <c r="AU171" s="1633" t="n"/>
      <c r="AV171" s="1633" t="n"/>
      <c r="AW171" s="1633" t="n"/>
      <c r="AX171" s="1633" t="n"/>
      <c r="AY171" s="1633" t="n"/>
      <c r="AZ171" s="1633" t="n"/>
    </row>
    <row r="172" ht="12" customFormat="1" customHeight="1" s="1573">
      <c r="A172" s="1508" t="inlineStr">
        <is>
          <t>Text_972</t>
        </is>
      </c>
      <c r="B172" s="2410" t="n">
        <v>0.297775236981015</v>
      </c>
      <c r="C172" s="2410" t="n">
        <v>0.448583684034944</v>
      </c>
      <c r="D172" s="2410" t="n">
        <v>-0.237305180876858</v>
      </c>
      <c r="E172" s="2410" t="n">
        <v>-0.0381824740932347</v>
      </c>
      <c r="F172" s="2410" t="n">
        <v>0.0837190933724541</v>
      </c>
      <c r="G172" s="2410" t="n">
        <v>0.0789255588898872</v>
      </c>
      <c r="H172" s="2402" t="n">
        <v>0.0305668701446007</v>
      </c>
      <c r="I172" s="1640" t="n"/>
      <c r="J172" s="1633" t="n"/>
      <c r="K172" s="1633" t="n"/>
      <c r="L172" s="1633" t="n"/>
      <c r="M172" s="1633" t="n"/>
      <c r="N172" s="1633" t="n"/>
      <c r="O172" s="1633" t="n"/>
      <c r="P172" s="1633" t="n"/>
      <c r="Q172" s="1633" t="n"/>
      <c r="R172" s="1633" t="n"/>
      <c r="S172" s="1633" t="n"/>
      <c r="T172" s="1633" t="n"/>
      <c r="U172" s="1633" t="n"/>
      <c r="V172" s="1633" t="n"/>
      <c r="W172" s="1633" t="n"/>
      <c r="X172" s="1633" t="n"/>
      <c r="Y172" s="1633" t="n"/>
      <c r="Z172" s="1633" t="n"/>
      <c r="AA172" s="1633" t="n"/>
      <c r="AB172" s="1633" t="n"/>
      <c r="AC172" s="1633" t="n"/>
      <c r="AD172" s="1633" t="n"/>
      <c r="AE172" s="1633" t="n"/>
      <c r="AF172" s="1633" t="n"/>
      <c r="AG172" s="1633" t="n"/>
      <c r="AH172" s="1633" t="n"/>
      <c r="AI172" s="1633" t="n"/>
      <c r="AJ172" s="1633" t="n"/>
      <c r="AK172" s="1633" t="n"/>
      <c r="AL172" s="1633" t="n"/>
      <c r="AM172" s="1633" t="n"/>
      <c r="AN172" s="1633" t="n"/>
      <c r="AO172" s="1633" t="n"/>
      <c r="AP172" s="1633" t="n"/>
      <c r="AQ172" s="1633" t="n"/>
      <c r="AR172" s="1633" t="n"/>
      <c r="AS172" s="1633" t="n"/>
      <c r="AT172" s="1633" t="n"/>
      <c r="AU172" s="1633" t="n"/>
      <c r="AV172" s="1633" t="n"/>
      <c r="AW172" s="1633" t="n"/>
      <c r="AX172" s="1633" t="n"/>
      <c r="AY172" s="1633" t="n"/>
      <c r="AZ172" s="1633" t="n"/>
    </row>
    <row r="173" ht="12" customFormat="1" customHeight="1" s="1573">
      <c r="A173" s="1508" t="inlineStr">
        <is>
          <t>Text_973</t>
        </is>
      </c>
      <c r="B173" s="2410" t="n">
        <v>0.09717028766270509</v>
      </c>
      <c r="C173" s="2410" t="n">
        <v>0.928097540678091</v>
      </c>
      <c r="D173" s="2410" t="n">
        <v>-0.454926532690021</v>
      </c>
      <c r="E173" s="2410" t="n">
        <v>-0.0261112891535669</v>
      </c>
      <c r="F173" s="2410" t="n">
        <v>0.0300661363490826</v>
      </c>
      <c r="G173" s="2410" t="n">
        <v>0.0760799851808875</v>
      </c>
      <c r="H173" s="2402" t="n">
        <v>0.0147830355624997</v>
      </c>
      <c r="I173" s="1640" t="n"/>
      <c r="J173" s="1633" t="n"/>
      <c r="K173" s="1633" t="n"/>
      <c r="L173" s="1633" t="n"/>
      <c r="M173" s="1633" t="n"/>
      <c r="N173" s="1633" t="n"/>
      <c r="O173" s="1633" t="n"/>
      <c r="P173" s="1633" t="n"/>
      <c r="Q173" s="1633" t="n"/>
      <c r="R173" s="1633" t="n"/>
      <c r="S173" s="1633" t="n"/>
      <c r="T173" s="1633" t="n"/>
      <c r="U173" s="1633" t="n"/>
      <c r="V173" s="1633" t="n"/>
      <c r="W173" s="1633" t="n"/>
      <c r="X173" s="1633" t="n"/>
      <c r="Y173" s="1633" t="n"/>
      <c r="Z173" s="1633" t="n"/>
      <c r="AA173" s="1633" t="n"/>
      <c r="AB173" s="1633" t="n"/>
      <c r="AC173" s="1633" t="n"/>
      <c r="AD173" s="1633" t="n"/>
      <c r="AE173" s="1633" t="n"/>
      <c r="AF173" s="1633" t="n"/>
      <c r="AG173" s="1633" t="n"/>
      <c r="AH173" s="1633" t="n"/>
      <c r="AI173" s="1633" t="n"/>
      <c r="AJ173" s="1633" t="n"/>
      <c r="AK173" s="1633" t="n"/>
      <c r="AL173" s="1633" t="n"/>
      <c r="AM173" s="1633" t="n"/>
      <c r="AN173" s="1633" t="n"/>
      <c r="AO173" s="1633" t="n"/>
      <c r="AP173" s="1633" t="n"/>
      <c r="AQ173" s="1633" t="n"/>
      <c r="AR173" s="1633" t="n"/>
      <c r="AS173" s="1633" t="n"/>
      <c r="AT173" s="1633" t="n"/>
      <c r="AU173" s="1633" t="n"/>
      <c r="AV173" s="1633" t="n"/>
      <c r="AW173" s="1633" t="n"/>
      <c r="AX173" s="1633" t="n"/>
      <c r="AY173" s="1633" t="n"/>
      <c r="AZ173" s="1633" t="n"/>
    </row>
    <row r="174" ht="12" customFormat="1" customHeight="1" s="1573">
      <c r="A174" s="1508" t="inlineStr">
        <is>
          <t>Text_974</t>
        </is>
      </c>
      <c r="B174" s="2410" t="n">
        <v>0.50262781241421</v>
      </c>
      <c r="C174" s="2410" t="n">
        <v>0.358435235128026</v>
      </c>
      <c r="D174" s="2410" t="n">
        <v>-0.174098347686694</v>
      </c>
      <c r="E174" s="2410" t="n">
        <v>-0.044122706250838</v>
      </c>
      <c r="F174" s="2410" t="n">
        <v>0.0871405514162618</v>
      </c>
      <c r="G174" s="2410" t="n">
        <v>0.0726490737314614</v>
      </c>
      <c r="H174" s="2402" t="n">
        <v>0.057293751277367</v>
      </c>
      <c r="I174" s="1640" t="n"/>
      <c r="J174" s="1633" t="n"/>
      <c r="K174" s="1633" t="n"/>
      <c r="L174" s="1633" t="n"/>
      <c r="M174" s="1633" t="n"/>
      <c r="N174" s="1633" t="n"/>
      <c r="O174" s="1633" t="n"/>
      <c r="P174" s="1633" t="n"/>
      <c r="Q174" s="1633" t="n"/>
      <c r="R174" s="1633" t="n"/>
      <c r="S174" s="1633" t="n"/>
      <c r="T174" s="1633" t="n"/>
      <c r="U174" s="1633" t="n"/>
      <c r="V174" s="1633" t="n"/>
      <c r="W174" s="1633" t="n"/>
      <c r="X174" s="1633" t="n"/>
      <c r="Y174" s="1633" t="n"/>
      <c r="Z174" s="1633" t="n"/>
      <c r="AA174" s="1633" t="n"/>
      <c r="AB174" s="1633" t="n"/>
      <c r="AC174" s="1633" t="n"/>
      <c r="AD174" s="1633" t="n"/>
      <c r="AE174" s="1633" t="n"/>
      <c r="AF174" s="1633" t="n"/>
      <c r="AG174" s="1633" t="n"/>
      <c r="AH174" s="1633" t="n"/>
      <c r="AI174" s="1633" t="n"/>
      <c r="AJ174" s="1633" t="n"/>
      <c r="AK174" s="1633" t="n"/>
      <c r="AL174" s="1633" t="n"/>
      <c r="AM174" s="1633" t="n"/>
      <c r="AN174" s="1633" t="n"/>
      <c r="AO174" s="1633" t="n"/>
      <c r="AP174" s="1633" t="n"/>
      <c r="AQ174" s="1633" t="n"/>
      <c r="AR174" s="1633" t="n"/>
      <c r="AS174" s="1633" t="n"/>
      <c r="AT174" s="1633" t="n"/>
      <c r="AU174" s="1633" t="n"/>
      <c r="AV174" s="1633" t="n"/>
      <c r="AW174" s="1633" t="n"/>
      <c r="AX174" s="1633" t="n"/>
      <c r="AY174" s="1633" t="n"/>
      <c r="AZ174" s="1633" t="n"/>
    </row>
    <row r="175" ht="12" customFormat="1" customHeight="1" s="1573">
      <c r="A175" s="1466" t="inlineStr">
        <is>
          <t>Text_975</t>
        </is>
      </c>
      <c r="B175" s="2398" t="n">
        <v>0.392468975632053</v>
      </c>
      <c r="C175" s="2398" t="n">
        <v>0.355024841893877</v>
      </c>
      <c r="D175" s="2398" t="n">
        <v>-0.18410889513697</v>
      </c>
      <c r="E175" s="2398" t="n">
        <v>-0.0408834745047084</v>
      </c>
      <c r="F175" s="2398" t="n">
        <v>0.0940628623955916</v>
      </c>
      <c r="G175" s="2398" t="n">
        <v>0.0697387179116284</v>
      </c>
      <c r="H175" s="2396" t="n">
        <v>0.0384696443549192</v>
      </c>
      <c r="I175" s="1640" t="n"/>
      <c r="J175" s="1633" t="n"/>
      <c r="K175" s="1633" t="n"/>
      <c r="L175" s="1633" t="n"/>
      <c r="M175" s="1633" t="n"/>
      <c r="N175" s="1633" t="n"/>
      <c r="O175" s="1633" t="n"/>
      <c r="P175" s="1633" t="n"/>
      <c r="Q175" s="1633" t="n"/>
      <c r="R175" s="1633" t="n"/>
      <c r="S175" s="1633" t="n"/>
      <c r="T175" s="1633" t="n"/>
      <c r="U175" s="1633" t="n"/>
      <c r="V175" s="1633" t="n"/>
      <c r="W175" s="1633" t="n"/>
      <c r="X175" s="1633" t="n"/>
      <c r="Y175" s="1633" t="n"/>
      <c r="Z175" s="1633" t="n"/>
      <c r="AA175" s="1633" t="n"/>
      <c r="AB175" s="1633" t="n"/>
      <c r="AC175" s="1633" t="n"/>
      <c r="AD175" s="1633" t="n"/>
      <c r="AE175" s="1633" t="n"/>
      <c r="AF175" s="1633" t="n"/>
      <c r="AG175" s="1633" t="n"/>
      <c r="AH175" s="1633" t="n"/>
      <c r="AI175" s="1633" t="n"/>
      <c r="AJ175" s="1633" t="n"/>
      <c r="AK175" s="1633" t="n"/>
      <c r="AL175" s="1633" t="n"/>
      <c r="AM175" s="1633" t="n"/>
      <c r="AN175" s="1633" t="n"/>
      <c r="AO175" s="1633" t="n"/>
      <c r="AP175" s="1633" t="n"/>
      <c r="AQ175" s="1633" t="n"/>
      <c r="AR175" s="1633" t="n"/>
      <c r="AS175" s="1633" t="n"/>
      <c r="AT175" s="1633" t="n"/>
      <c r="AU175" s="1633" t="n"/>
      <c r="AV175" s="1633" t="n"/>
      <c r="AW175" s="1633" t="n"/>
      <c r="AX175" s="1633" t="n"/>
      <c r="AY175" s="1633" t="n"/>
      <c r="AZ175" s="1633" t="n"/>
    </row>
    <row r="176" ht="12" customFormat="1" customHeight="1" s="1573">
      <c r="A176" s="1508" t="inlineStr">
        <is>
          <t>Text_976</t>
        </is>
      </c>
      <c r="B176" s="2410" t="n">
        <v>0.554934811077083</v>
      </c>
      <c r="C176" s="2410" t="n">
        <v>0.39514326188578</v>
      </c>
      <c r="D176" s="2410" t="n">
        <v>-0.196035057600321</v>
      </c>
      <c r="E176" s="2410" t="n">
        <v>-0.0302464035536127</v>
      </c>
      <c r="F176" s="2410" t="n">
        <v>0.08776124922814039</v>
      </c>
      <c r="G176" s="2410" t="n">
        <v>0.07592308534036619</v>
      </c>
      <c r="H176" s="2402" t="n">
        <v>0.0453459353444328</v>
      </c>
      <c r="I176" s="1640" t="n"/>
      <c r="J176" s="1633" t="n"/>
      <c r="K176" s="1633" t="n"/>
      <c r="L176" s="1633" t="n"/>
      <c r="M176" s="1633" t="n"/>
      <c r="N176" s="1633" t="n"/>
      <c r="O176" s="1633" t="n"/>
      <c r="P176" s="1633" t="n"/>
      <c r="Q176" s="1633" t="n"/>
      <c r="R176" s="1633" t="n"/>
      <c r="S176" s="1633" t="n"/>
      <c r="T176" s="1633" t="n"/>
      <c r="U176" s="1633" t="n"/>
      <c r="V176" s="1633" t="n"/>
      <c r="W176" s="1633" t="n"/>
      <c r="X176" s="1633" t="n"/>
      <c r="Y176" s="1633" t="n"/>
      <c r="Z176" s="1633" t="n"/>
      <c r="AA176" s="1633" t="n"/>
      <c r="AB176" s="1633" t="n"/>
      <c r="AC176" s="1633" t="n"/>
      <c r="AD176" s="1633" t="n"/>
      <c r="AE176" s="1633" t="n"/>
      <c r="AF176" s="1633" t="n"/>
      <c r="AG176" s="1633" t="n"/>
      <c r="AH176" s="1633" t="n"/>
      <c r="AI176" s="1633" t="n"/>
      <c r="AJ176" s="1633" t="n"/>
      <c r="AK176" s="1633" t="n"/>
      <c r="AL176" s="1633" t="n"/>
      <c r="AM176" s="1633" t="n"/>
      <c r="AN176" s="1633" t="n"/>
      <c r="AO176" s="1633" t="n"/>
      <c r="AP176" s="1633" t="n"/>
      <c r="AQ176" s="1633" t="n"/>
      <c r="AR176" s="1633" t="n"/>
      <c r="AS176" s="1633" t="n"/>
      <c r="AT176" s="1633" t="n"/>
      <c r="AU176" s="1633" t="n"/>
      <c r="AV176" s="1633" t="n"/>
      <c r="AW176" s="1633" t="n"/>
      <c r="AX176" s="1633" t="n"/>
      <c r="AY176" s="1633" t="n"/>
      <c r="AZ176" s="1633" t="n"/>
    </row>
    <row r="177" ht="12" customFormat="1" customHeight="1" s="1573">
      <c r="A177" s="1508" t="inlineStr">
        <is>
          <t>Text_977</t>
        </is>
      </c>
      <c r="B177" s="2410" t="n">
        <v>0.171377637393977</v>
      </c>
      <c r="C177" s="2410" t="n">
        <v>-0.343659297391031</v>
      </c>
      <c r="D177" s="2410" t="n">
        <v>0.464077106276634</v>
      </c>
      <c r="E177" s="2410" t="n">
        <v>-0.0380589196132647</v>
      </c>
      <c r="F177" s="2410" t="n">
        <v>0.0824083929844476</v>
      </c>
      <c r="G177" s="2410" t="n">
        <v>0.0743753314592823</v>
      </c>
      <c r="H177" s="2402" t="n">
        <v>-0.0248617432692764</v>
      </c>
      <c r="I177" s="1640" t="n"/>
      <c r="J177" s="1633" t="n"/>
      <c r="K177" s="1633" t="n"/>
      <c r="L177" s="1633" t="n"/>
      <c r="M177" s="1633" t="n"/>
      <c r="N177" s="1633" t="n"/>
      <c r="O177" s="1633" t="n"/>
      <c r="P177" s="1633" t="n"/>
      <c r="Q177" s="1633" t="n"/>
      <c r="R177" s="1633" t="n"/>
      <c r="S177" s="1633" t="n"/>
      <c r="T177" s="1633" t="n"/>
      <c r="U177" s="1633" t="n"/>
      <c r="V177" s="1633" t="n"/>
      <c r="W177" s="1633" t="n"/>
      <c r="X177" s="1633" t="n"/>
      <c r="Y177" s="1633" t="n"/>
      <c r="Z177" s="1633" t="n"/>
      <c r="AA177" s="1633" t="n"/>
      <c r="AB177" s="1633" t="n"/>
      <c r="AC177" s="1633" t="n"/>
      <c r="AD177" s="1633" t="n"/>
      <c r="AE177" s="1633" t="n"/>
      <c r="AF177" s="1633" t="n"/>
      <c r="AG177" s="1633" t="n"/>
      <c r="AH177" s="1633" t="n"/>
      <c r="AI177" s="1633" t="n"/>
      <c r="AJ177" s="1633" t="n"/>
      <c r="AK177" s="1633" t="n"/>
      <c r="AL177" s="1633" t="n"/>
      <c r="AM177" s="1633" t="n"/>
      <c r="AN177" s="1633" t="n"/>
      <c r="AO177" s="1633" t="n"/>
      <c r="AP177" s="1633" t="n"/>
      <c r="AQ177" s="1633" t="n"/>
      <c r="AR177" s="1633" t="n"/>
      <c r="AS177" s="1633" t="n"/>
      <c r="AT177" s="1633" t="n"/>
      <c r="AU177" s="1633" t="n"/>
      <c r="AV177" s="1633" t="n"/>
      <c r="AW177" s="1633" t="n"/>
      <c r="AX177" s="1633" t="n"/>
      <c r="AY177" s="1633" t="n"/>
      <c r="AZ177" s="1633" t="n"/>
    </row>
    <row r="178" ht="12" customFormat="1" customHeight="1" s="1573">
      <c r="A178" s="1466" t="inlineStr">
        <is>
          <t>Text_978</t>
        </is>
      </c>
      <c r="B178" s="2398" t="n">
        <v>0.496685853291593</v>
      </c>
      <c r="C178" s="2398" t="n">
        <v>0.343468480986896</v>
      </c>
      <c r="D178" s="2398" t="n">
        <v>-0.16243646798989</v>
      </c>
      <c r="E178" s="2398" t="n">
        <v>-0.0288662018934196</v>
      </c>
      <c r="F178" s="2398" t="n">
        <v>0.0844151393514172</v>
      </c>
      <c r="G178" s="2398" t="n">
        <v>0.07510319087767151</v>
      </c>
      <c r="H178" s="2396" t="n">
        <v>0.0385092182291205</v>
      </c>
      <c r="I178" s="1640" t="n"/>
      <c r="J178" s="1633" t="n"/>
      <c r="K178" s="1633" t="n"/>
      <c r="L178" s="1633" t="n"/>
      <c r="M178" s="1633" t="n"/>
      <c r="N178" s="1633" t="n"/>
      <c r="O178" s="1633" t="n"/>
      <c r="P178" s="1633" t="n"/>
      <c r="Q178" s="1633" t="n"/>
      <c r="R178" s="1633" t="n"/>
      <c r="S178" s="1633" t="n"/>
      <c r="T178" s="1633" t="n"/>
      <c r="U178" s="1633" t="n"/>
      <c r="V178" s="1633" t="n"/>
      <c r="W178" s="1633" t="n"/>
      <c r="X178" s="1633" t="n"/>
      <c r="Y178" s="1633" t="n"/>
      <c r="Z178" s="1633" t="n"/>
      <c r="AA178" s="1633" t="n"/>
      <c r="AB178" s="1633" t="n"/>
      <c r="AC178" s="1633" t="n"/>
      <c r="AD178" s="1633" t="n"/>
      <c r="AE178" s="1633" t="n"/>
      <c r="AF178" s="1633" t="n"/>
      <c r="AG178" s="1633" t="n"/>
      <c r="AH178" s="1633" t="n"/>
      <c r="AI178" s="1633" t="n"/>
      <c r="AJ178" s="1633" t="n"/>
      <c r="AK178" s="1633" t="n"/>
      <c r="AL178" s="1633" t="n"/>
      <c r="AM178" s="1633" t="n"/>
      <c r="AN178" s="1633" t="n"/>
      <c r="AO178" s="1633" t="n"/>
      <c r="AP178" s="1633" t="n"/>
      <c r="AQ178" s="1633" t="n"/>
      <c r="AR178" s="1633" t="n"/>
      <c r="AS178" s="1633" t="n"/>
      <c r="AT178" s="1633" t="n"/>
      <c r="AU178" s="1633" t="n"/>
      <c r="AV178" s="1633" t="n"/>
      <c r="AW178" s="1633" t="n"/>
      <c r="AX178" s="1633" t="n"/>
      <c r="AY178" s="1633" t="n"/>
      <c r="AZ178" s="1633" t="n"/>
    </row>
    <row r="179" ht="12" customFormat="1" customHeight="1" s="1573">
      <c r="A179" s="1508" t="inlineStr">
        <is>
          <t>Text_979</t>
        </is>
      </c>
      <c r="B179" s="2410" t="n">
        <v>0.0164352408845015</v>
      </c>
      <c r="C179" s="2410" t="n">
        <v>0.67278088974529</v>
      </c>
      <c r="D179" s="2410" t="n">
        <v>-0.418288743791077</v>
      </c>
      <c r="E179" s="2410" t="n">
        <v>-0.0343229923774092</v>
      </c>
      <c r="F179" s="2410" t="n">
        <v>0.084494062690624</v>
      </c>
      <c r="G179" s="2410" t="n">
        <v>0.0666433747055421</v>
      </c>
      <c r="H179" s="2402" t="n">
        <v>0.0209419062538563</v>
      </c>
      <c r="I179" s="1640" t="n"/>
      <c r="J179" s="1633" t="n"/>
      <c r="K179" s="1633" t="n"/>
      <c r="L179" s="1633" t="n"/>
      <c r="M179" s="1633" t="n"/>
      <c r="N179" s="1633" t="n"/>
      <c r="O179" s="1633" t="n"/>
      <c r="P179" s="1633" t="n"/>
      <c r="Q179" s="1633" t="n"/>
      <c r="R179" s="1633" t="n"/>
      <c r="S179" s="1633" t="n"/>
      <c r="T179" s="1633" t="n"/>
      <c r="U179" s="1633" t="n"/>
      <c r="V179" s="1633" t="n"/>
      <c r="W179" s="1633" t="n"/>
      <c r="X179" s="1633" t="n"/>
      <c r="Y179" s="1633" t="n"/>
      <c r="Z179" s="1633" t="n"/>
      <c r="AA179" s="1633" t="n"/>
      <c r="AB179" s="1633" t="n"/>
      <c r="AC179" s="1633" t="n"/>
      <c r="AD179" s="1633" t="n"/>
      <c r="AE179" s="1633" t="n"/>
      <c r="AF179" s="1633" t="n"/>
      <c r="AG179" s="1633" t="n"/>
      <c r="AH179" s="1633" t="n"/>
      <c r="AI179" s="1633" t="n"/>
      <c r="AJ179" s="1633" t="n"/>
      <c r="AK179" s="1633" t="n"/>
      <c r="AL179" s="1633" t="n"/>
      <c r="AM179" s="1633" t="n"/>
      <c r="AN179" s="1633" t="n"/>
      <c r="AO179" s="1633" t="n"/>
      <c r="AP179" s="1633" t="n"/>
      <c r="AQ179" s="1633" t="n"/>
      <c r="AR179" s="1633" t="n"/>
      <c r="AS179" s="1633" t="n"/>
      <c r="AT179" s="1633" t="n"/>
      <c r="AU179" s="1633" t="n"/>
      <c r="AV179" s="1633" t="n"/>
      <c r="AW179" s="1633" t="n"/>
      <c r="AX179" s="1633" t="n"/>
      <c r="AY179" s="1633" t="n"/>
      <c r="AZ179" s="1633" t="n"/>
    </row>
    <row r="180" ht="12" customFormat="1" customHeight="1" s="1573">
      <c r="A180" s="1508" t="inlineStr">
        <is>
          <t>Text_980</t>
        </is>
      </c>
      <c r="B180" s="2410" t="n">
        <v>-0.469200892115443</v>
      </c>
      <c r="C180" s="2410" t="n">
        <v>1.10905754769372</v>
      </c>
      <c r="D180" s="2410" t="n">
        <v>-0.491299032341917</v>
      </c>
      <c r="E180" s="2410" t="n">
        <v>-0.0357262037062162</v>
      </c>
      <c r="F180" s="2410" t="n">
        <v>0.0824442961277905</v>
      </c>
      <c r="G180" s="2410" t="n">
        <v>0.0772133685657032</v>
      </c>
      <c r="H180" s="2402" t="n">
        <v>0.0451768442788769</v>
      </c>
      <c r="I180" s="1640" t="n"/>
      <c r="J180" s="1633" t="n"/>
      <c r="K180" s="1633" t="n"/>
      <c r="L180" s="1633" t="n"/>
      <c r="M180" s="1633" t="n"/>
      <c r="N180" s="1633" t="n"/>
      <c r="O180" s="1633" t="n"/>
      <c r="P180" s="1633" t="n"/>
      <c r="Q180" s="1633" t="n"/>
      <c r="R180" s="1633" t="n"/>
      <c r="S180" s="1633" t="n"/>
      <c r="T180" s="1633" t="n"/>
      <c r="U180" s="1633" t="n"/>
      <c r="V180" s="1633" t="n"/>
      <c r="W180" s="1633" t="n"/>
      <c r="X180" s="1633" t="n"/>
      <c r="Y180" s="1633" t="n"/>
      <c r="Z180" s="1633" t="n"/>
      <c r="AA180" s="1633" t="n"/>
      <c r="AB180" s="1633" t="n"/>
      <c r="AC180" s="1633" t="n"/>
      <c r="AD180" s="1633" t="n"/>
      <c r="AE180" s="1633" t="n"/>
      <c r="AF180" s="1633" t="n"/>
      <c r="AG180" s="1633" t="n"/>
      <c r="AH180" s="1633" t="n"/>
      <c r="AI180" s="1633" t="n"/>
      <c r="AJ180" s="1633" t="n"/>
      <c r="AK180" s="1633" t="n"/>
      <c r="AL180" s="1633" t="n"/>
      <c r="AM180" s="1633" t="n"/>
      <c r="AN180" s="1633" t="n"/>
      <c r="AO180" s="1633" t="n"/>
      <c r="AP180" s="1633" t="n"/>
      <c r="AQ180" s="1633" t="n"/>
      <c r="AR180" s="1633" t="n"/>
      <c r="AS180" s="1633" t="n"/>
      <c r="AT180" s="1633" t="n"/>
      <c r="AU180" s="1633" t="n"/>
      <c r="AV180" s="1633" t="n"/>
      <c r="AW180" s="1633" t="n"/>
      <c r="AX180" s="1633" t="n"/>
      <c r="AY180" s="1633" t="n"/>
      <c r="AZ180" s="1633" t="n"/>
    </row>
    <row r="181" ht="12" customFormat="1" customHeight="1" s="1573">
      <c r="A181" s="1466" t="inlineStr">
        <is>
          <t>Text_981</t>
        </is>
      </c>
      <c r="B181" s="2398" t="n">
        <v>-0.180994263068052</v>
      </c>
      <c r="C181" s="2398" t="n">
        <v>0.810690597015164</v>
      </c>
      <c r="D181" s="2398" t="n">
        <v>-0.432522621423838</v>
      </c>
      <c r="E181" s="2398" t="n">
        <v>-0.0350444383870145</v>
      </c>
      <c r="F181" s="2398" t="n">
        <v>0.0824357259252171</v>
      </c>
      <c r="G181" s="2398" t="n">
        <v>0.0685830408447719</v>
      </c>
      <c r="H181" s="2396" t="n">
        <v>0.0271969660477093</v>
      </c>
      <c r="I181" s="1640" t="n"/>
      <c r="J181" s="1633" t="n"/>
      <c r="K181" s="1633" t="n"/>
      <c r="L181" s="1633" t="n"/>
      <c r="M181" s="1633" t="n"/>
      <c r="N181" s="1633" t="n"/>
      <c r="O181" s="1633" t="n"/>
      <c r="P181" s="1633" t="n"/>
      <c r="Q181" s="1633" t="n"/>
      <c r="R181" s="1633" t="n"/>
      <c r="S181" s="1633" t="n"/>
      <c r="T181" s="1633" t="n"/>
      <c r="U181" s="1633" t="n"/>
      <c r="V181" s="1633" t="n"/>
      <c r="W181" s="1633" t="n"/>
      <c r="X181" s="1633" t="n"/>
      <c r="Y181" s="1633" t="n"/>
      <c r="Z181" s="1633" t="n"/>
      <c r="AA181" s="1633" t="n"/>
      <c r="AB181" s="1633" t="n"/>
      <c r="AC181" s="1633" t="n"/>
      <c r="AD181" s="1633" t="n"/>
      <c r="AE181" s="1633" t="n"/>
      <c r="AF181" s="1633" t="n"/>
      <c r="AG181" s="1633" t="n"/>
      <c r="AH181" s="1633" t="n"/>
      <c r="AI181" s="1633" t="n"/>
      <c r="AJ181" s="1633" t="n"/>
      <c r="AK181" s="1633" t="n"/>
      <c r="AL181" s="1633" t="n"/>
      <c r="AM181" s="1633" t="n"/>
      <c r="AN181" s="1633" t="n"/>
      <c r="AO181" s="1633" t="n"/>
      <c r="AP181" s="1633" t="n"/>
      <c r="AQ181" s="1633" t="n"/>
      <c r="AR181" s="1633" t="n"/>
      <c r="AS181" s="1633" t="n"/>
      <c r="AT181" s="1633" t="n"/>
      <c r="AU181" s="1633" t="n"/>
      <c r="AV181" s="1633" t="n"/>
      <c r="AW181" s="1633" t="n"/>
      <c r="AX181" s="1633" t="n"/>
      <c r="AY181" s="1633" t="n"/>
      <c r="AZ181" s="1633" t="n"/>
    </row>
    <row r="182" ht="12" customFormat="1" customHeight="1" s="1573">
      <c r="A182" s="1466" t="inlineStr">
        <is>
          <t>Text_982</t>
        </is>
      </c>
      <c r="B182" s="2398" t="n">
        <v>0.4567764864012</v>
      </c>
      <c r="C182" s="2398" t="n">
        <v>0.284722687783046</v>
      </c>
      <c r="D182" s="2398" t="n">
        <v>-0.138050738863925</v>
      </c>
      <c r="E182" s="2398" t="n">
        <v>-0.0134923292145205</v>
      </c>
      <c r="F182" s="2398" t="n">
        <v>0.0949796647735754</v>
      </c>
      <c r="G182" s="2398" t="n">
        <v>0.0676136256952522</v>
      </c>
      <c r="H182" s="2396" t="n">
        <v>0.0397091424704403</v>
      </c>
      <c r="I182" s="1640" t="n"/>
      <c r="J182" s="1633" t="n"/>
      <c r="K182" s="1633" t="n"/>
      <c r="L182" s="1633" t="n"/>
      <c r="M182" s="1633" t="n"/>
      <c r="N182" s="1633" t="n"/>
      <c r="O182" s="1633" t="n"/>
      <c r="P182" s="1633" t="n"/>
      <c r="Q182" s="1633" t="n"/>
      <c r="R182" s="1633" t="n"/>
      <c r="S182" s="1633" t="n"/>
      <c r="T182" s="1633" t="n"/>
      <c r="U182" s="1633" t="n"/>
      <c r="V182" s="1633" t="n"/>
      <c r="W182" s="1633" t="n"/>
      <c r="X182" s="1633" t="n"/>
      <c r="Y182" s="1633" t="n"/>
      <c r="Z182" s="1633" t="n"/>
      <c r="AA182" s="1633" t="n"/>
      <c r="AB182" s="1633" t="n"/>
      <c r="AC182" s="1633" t="n"/>
      <c r="AD182" s="1633" t="n"/>
      <c r="AE182" s="1633" t="n"/>
      <c r="AF182" s="1633" t="n"/>
      <c r="AG182" s="1633" t="n"/>
      <c r="AH182" s="1633" t="n"/>
      <c r="AI182" s="1633" t="n"/>
      <c r="AJ182" s="1633" t="n"/>
      <c r="AK182" s="1633" t="n"/>
      <c r="AL182" s="1633" t="n"/>
      <c r="AM182" s="1633" t="n"/>
      <c r="AN182" s="1633" t="n"/>
      <c r="AO182" s="1633" t="n"/>
      <c r="AP182" s="1633" t="n"/>
      <c r="AQ182" s="1633" t="n"/>
      <c r="AR182" s="1633" t="n"/>
      <c r="AS182" s="1633" t="n"/>
      <c r="AT182" s="1633" t="n"/>
      <c r="AU182" s="1633" t="n"/>
      <c r="AV182" s="1633" t="n"/>
      <c r="AW182" s="1633" t="n"/>
      <c r="AX182" s="1633" t="n"/>
      <c r="AY182" s="1633" t="n"/>
      <c r="AZ182" s="1633" t="n"/>
    </row>
    <row r="183" ht="12" customFormat="1" customHeight="1" s="1573">
      <c r="B183" s="2410" t="n"/>
      <c r="C183" s="2410" t="n"/>
      <c r="D183" s="2410" t="n"/>
      <c r="E183" s="2410" t="n"/>
      <c r="F183" s="2410" t="n"/>
      <c r="G183" s="2410" t="n"/>
      <c r="H183" s="2402" t="n"/>
      <c r="I183" s="1640" t="n"/>
      <c r="J183" s="1633" t="n"/>
      <c r="K183" s="1633" t="n"/>
      <c r="L183" s="1633" t="n"/>
      <c r="M183" s="1633" t="n"/>
      <c r="N183" s="1633" t="n"/>
      <c r="O183" s="1633" t="n"/>
      <c r="P183" s="1633" t="n"/>
      <c r="Q183" s="1633" t="n"/>
      <c r="R183" s="1633" t="n"/>
      <c r="S183" s="1633" t="n"/>
      <c r="T183" s="1633" t="n"/>
      <c r="U183" s="1633" t="n"/>
      <c r="V183" s="1633" t="n"/>
      <c r="W183" s="1633" t="n"/>
      <c r="X183" s="1633" t="n"/>
      <c r="Y183" s="1633" t="n"/>
      <c r="Z183" s="1633" t="n"/>
      <c r="AA183" s="1633" t="n"/>
      <c r="AB183" s="1633" t="n"/>
      <c r="AC183" s="1633" t="n"/>
      <c r="AD183" s="1633" t="n"/>
      <c r="AE183" s="1633" t="n"/>
      <c r="AF183" s="1633" t="n"/>
      <c r="AG183" s="1633" t="n"/>
      <c r="AH183" s="1633" t="n"/>
      <c r="AI183" s="1633" t="n"/>
      <c r="AJ183" s="1633" t="n"/>
      <c r="AK183" s="1633" t="n"/>
      <c r="AL183" s="1633" t="n"/>
      <c r="AM183" s="1633" t="n"/>
      <c r="AN183" s="1633" t="n"/>
      <c r="AO183" s="1633" t="n"/>
      <c r="AP183" s="1633" t="n"/>
      <c r="AQ183" s="1633" t="n"/>
      <c r="AR183" s="1633" t="n"/>
      <c r="AS183" s="1633" t="n"/>
      <c r="AT183" s="1633" t="n"/>
      <c r="AU183" s="1633" t="n"/>
      <c r="AV183" s="1633" t="n"/>
      <c r="AW183" s="1633" t="n"/>
      <c r="AX183" s="1633" t="n"/>
      <c r="AY183" s="1633" t="n"/>
      <c r="AZ183" s="1633" t="n"/>
    </row>
    <row r="184" ht="12" customFormat="1" customHeight="1" s="1573">
      <c r="A184" s="1466" t="inlineStr">
        <is>
          <t>Text_983</t>
        </is>
      </c>
      <c r="B184" s="2410" t="n"/>
      <c r="C184" s="2410" t="n"/>
      <c r="D184" s="2410" t="n"/>
      <c r="E184" s="2410" t="n"/>
      <c r="F184" s="2410" t="n"/>
      <c r="G184" s="2410" t="n"/>
      <c r="H184" s="2402" t="n"/>
      <c r="I184" s="1640" t="n"/>
      <c r="J184" s="1633" t="n"/>
      <c r="K184" s="1633" t="n"/>
      <c r="L184" s="1633" t="n"/>
      <c r="M184" s="1633" t="n"/>
      <c r="N184" s="1633" t="n"/>
      <c r="O184" s="1633" t="n"/>
      <c r="P184" s="1633" t="n"/>
      <c r="Q184" s="1633" t="n"/>
      <c r="R184" s="1633" t="n"/>
      <c r="S184" s="1633" t="n"/>
      <c r="T184" s="1633" t="n"/>
      <c r="U184" s="1633" t="n"/>
      <c r="V184" s="1633" t="n"/>
      <c r="W184" s="1633" t="n"/>
      <c r="X184" s="1633" t="n"/>
      <c r="Y184" s="1633" t="n"/>
      <c r="Z184" s="1633" t="n"/>
      <c r="AA184" s="1633" t="n"/>
      <c r="AB184" s="1633" t="n"/>
      <c r="AC184" s="1633" t="n"/>
      <c r="AD184" s="1633" t="n"/>
      <c r="AE184" s="1633" t="n"/>
      <c r="AF184" s="1633" t="n"/>
      <c r="AG184" s="1633" t="n"/>
      <c r="AH184" s="1633" t="n"/>
      <c r="AI184" s="1633" t="n"/>
      <c r="AJ184" s="1633" t="n"/>
      <c r="AK184" s="1633" t="n"/>
      <c r="AL184" s="1633" t="n"/>
      <c r="AM184" s="1633" t="n"/>
      <c r="AN184" s="1633" t="n"/>
      <c r="AO184" s="1633" t="n"/>
      <c r="AP184" s="1633" t="n"/>
      <c r="AQ184" s="1633" t="n"/>
      <c r="AR184" s="1633" t="n"/>
      <c r="AS184" s="1633" t="n"/>
      <c r="AT184" s="1633" t="n"/>
      <c r="AU184" s="1633" t="n"/>
      <c r="AV184" s="1633" t="n"/>
      <c r="AW184" s="1633" t="n"/>
      <c r="AX184" s="1633" t="n"/>
      <c r="AY184" s="1633" t="n"/>
      <c r="AZ184" s="1633" t="n"/>
    </row>
    <row r="185" ht="12" customFormat="1" customHeight="1" s="1573">
      <c r="A185" s="1508" t="inlineStr">
        <is>
          <t>Text_984</t>
        </is>
      </c>
      <c r="B185" s="2410" t="n">
        <v>0.344914929230404</v>
      </c>
      <c r="C185" s="2410" t="n">
        <v>0.0465005046624691</v>
      </c>
      <c r="D185" s="2410" t="n">
        <v>-0.294494058256921</v>
      </c>
      <c r="E185" s="2410" t="n">
        <v>0.0207999435166553</v>
      </c>
      <c r="F185" s="2410" t="n">
        <v>0.0654418561178154</v>
      </c>
      <c r="G185" s="2410" t="n">
        <v>0.09978906348219251</v>
      </c>
      <c r="H185" s="2402" t="n">
        <v>-0.0314835837375131</v>
      </c>
      <c r="I185" s="1640" t="n"/>
      <c r="J185" s="1633" t="n"/>
      <c r="K185" s="1633" t="n"/>
      <c r="L185" s="1633" t="n"/>
      <c r="M185" s="1633" t="n"/>
      <c r="N185" s="1633" t="n"/>
      <c r="O185" s="1633" t="n"/>
      <c r="P185" s="1633" t="n"/>
      <c r="Q185" s="1633" t="n"/>
      <c r="R185" s="1633" t="n"/>
      <c r="S185" s="1633" t="n"/>
      <c r="T185" s="1633" t="n"/>
      <c r="U185" s="1633" t="n"/>
      <c r="V185" s="1633" t="n"/>
      <c r="W185" s="1633" t="n"/>
      <c r="X185" s="1633" t="n"/>
      <c r="Y185" s="1633" t="n"/>
      <c r="Z185" s="1633" t="n"/>
      <c r="AA185" s="1633" t="n"/>
      <c r="AB185" s="1633" t="n"/>
      <c r="AC185" s="1633" t="n"/>
      <c r="AD185" s="1633" t="n"/>
      <c r="AE185" s="1633" t="n"/>
      <c r="AF185" s="1633" t="n"/>
      <c r="AG185" s="1633" t="n"/>
      <c r="AH185" s="1633" t="n"/>
      <c r="AI185" s="1633" t="n"/>
      <c r="AJ185" s="1633" t="n"/>
      <c r="AK185" s="1633" t="n"/>
      <c r="AL185" s="1633" t="n"/>
      <c r="AM185" s="1633" t="n"/>
      <c r="AN185" s="1633" t="n"/>
      <c r="AO185" s="1633" t="n"/>
      <c r="AP185" s="1633" t="n"/>
      <c r="AQ185" s="1633" t="n"/>
      <c r="AR185" s="1633" t="n"/>
      <c r="AS185" s="1633" t="n"/>
      <c r="AT185" s="1633" t="n"/>
      <c r="AU185" s="1633" t="n"/>
      <c r="AV185" s="1633" t="n"/>
      <c r="AW185" s="1633" t="n"/>
      <c r="AX185" s="1633" t="n"/>
      <c r="AY185" s="1633" t="n"/>
      <c r="AZ185" s="1633" t="n"/>
    </row>
    <row r="186" ht="12" customFormat="1" customHeight="1" s="1573">
      <c r="A186" s="1508" t="inlineStr">
        <is>
          <t>Text_985</t>
        </is>
      </c>
      <c r="B186" s="2410" t="n">
        <v>0.392948771723577</v>
      </c>
      <c r="C186" s="2410" t="n">
        <v>-0.109310506336769</v>
      </c>
      <c r="D186" s="2410" t="n">
        <v>-0.00792212317925885</v>
      </c>
      <c r="E186" s="2410" t="n">
        <v>0.00404059918845485</v>
      </c>
      <c r="F186" s="2410" t="n">
        <v>0.0650384647363714</v>
      </c>
      <c r="G186" s="2410" t="n">
        <v>0.0970672131284257</v>
      </c>
      <c r="H186" s="2402" t="n">
        <v>0.0342481678658864</v>
      </c>
      <c r="I186" s="1640" t="n"/>
      <c r="J186" s="1633" t="n"/>
      <c r="K186" s="1633" t="n"/>
      <c r="L186" s="1633" t="n"/>
      <c r="M186" s="1633" t="n"/>
      <c r="N186" s="1633" t="n"/>
      <c r="O186" s="1633" t="n"/>
      <c r="P186" s="1633" t="n"/>
      <c r="Q186" s="1633" t="n"/>
      <c r="R186" s="1633" t="n"/>
      <c r="S186" s="1633" t="n"/>
      <c r="T186" s="1633" t="n"/>
      <c r="U186" s="1633" t="n"/>
      <c r="V186" s="1633" t="n"/>
      <c r="W186" s="1633" t="n"/>
      <c r="X186" s="1633" t="n"/>
      <c r="Y186" s="1633" t="n"/>
      <c r="Z186" s="1633" t="n"/>
      <c r="AA186" s="1633" t="n"/>
      <c r="AB186" s="1633" t="n"/>
      <c r="AC186" s="1633" t="n"/>
      <c r="AD186" s="1633" t="n"/>
      <c r="AE186" s="1633" t="n"/>
      <c r="AF186" s="1633" t="n"/>
      <c r="AG186" s="1633" t="n"/>
      <c r="AH186" s="1633" t="n"/>
      <c r="AI186" s="1633" t="n"/>
      <c r="AJ186" s="1633" t="n"/>
      <c r="AK186" s="1633" t="n"/>
      <c r="AL186" s="1633" t="n"/>
      <c r="AM186" s="1633" t="n"/>
      <c r="AN186" s="1633" t="n"/>
      <c r="AO186" s="1633" t="n"/>
      <c r="AP186" s="1633" t="n"/>
      <c r="AQ186" s="1633" t="n"/>
      <c r="AR186" s="1633" t="n"/>
      <c r="AS186" s="1633" t="n"/>
      <c r="AT186" s="1633" t="n"/>
      <c r="AU186" s="1633" t="n"/>
      <c r="AV186" s="1633" t="n"/>
      <c r="AW186" s="1633" t="n"/>
      <c r="AX186" s="1633" t="n"/>
      <c r="AY186" s="1633" t="n"/>
      <c r="AZ186" s="1633" t="n"/>
    </row>
    <row r="187" ht="12" customFormat="1" customHeight="1" s="1573">
      <c r="A187" s="1508" t="inlineStr">
        <is>
          <t>Text_986</t>
        </is>
      </c>
      <c r="B187" s="2410" t="n">
        <v>0.128040308109089</v>
      </c>
      <c r="C187" s="2410" t="n">
        <v>0.192660940140656</v>
      </c>
      <c r="D187" s="2410" t="n">
        <v>-0.255983450257686</v>
      </c>
      <c r="E187" s="2410" t="n">
        <v>0.0174102043982151</v>
      </c>
      <c r="F187" s="2410" t="n">
        <v>0.0605857776181032</v>
      </c>
      <c r="G187" s="2410" t="n">
        <v>0.10032121651204</v>
      </c>
      <c r="H187" s="2402" t="n">
        <v>0.0686626090716131</v>
      </c>
      <c r="I187" s="1640" t="n"/>
      <c r="J187" s="1633" t="n"/>
      <c r="K187" s="1633" t="n"/>
      <c r="L187" s="1633" t="n"/>
      <c r="M187" s="1633" t="n"/>
      <c r="N187" s="1633" t="n"/>
      <c r="O187" s="1633" t="n"/>
      <c r="P187" s="1633" t="n"/>
      <c r="Q187" s="1633" t="n"/>
      <c r="R187" s="1633" t="n"/>
      <c r="S187" s="1633" t="n"/>
      <c r="T187" s="1633" t="n"/>
      <c r="U187" s="1633" t="n"/>
      <c r="V187" s="1633" t="n"/>
      <c r="W187" s="1633" t="n"/>
      <c r="X187" s="1633" t="n"/>
      <c r="Y187" s="1633" t="n"/>
      <c r="Z187" s="1633" t="n"/>
      <c r="AA187" s="1633" t="n"/>
      <c r="AB187" s="1633" t="n"/>
      <c r="AC187" s="1633" t="n"/>
      <c r="AD187" s="1633" t="n"/>
      <c r="AE187" s="1633" t="n"/>
      <c r="AF187" s="1633" t="n"/>
      <c r="AG187" s="1633" t="n"/>
      <c r="AH187" s="1633" t="n"/>
      <c r="AI187" s="1633" t="n"/>
      <c r="AJ187" s="1633" t="n"/>
      <c r="AK187" s="1633" t="n"/>
      <c r="AL187" s="1633" t="n"/>
      <c r="AM187" s="1633" t="n"/>
      <c r="AN187" s="1633" t="n"/>
      <c r="AO187" s="1633" t="n"/>
      <c r="AP187" s="1633" t="n"/>
      <c r="AQ187" s="1633" t="n"/>
      <c r="AR187" s="1633" t="n"/>
      <c r="AS187" s="1633" t="n"/>
      <c r="AT187" s="1633" t="n"/>
      <c r="AU187" s="1633" t="n"/>
      <c r="AV187" s="1633" t="n"/>
      <c r="AW187" s="1633" t="n"/>
      <c r="AX187" s="1633" t="n"/>
      <c r="AY187" s="1633" t="n"/>
      <c r="AZ187" s="1633" t="n"/>
    </row>
    <row r="188" ht="12" customFormat="1" customHeight="1" s="1573">
      <c r="A188" s="1466" t="inlineStr">
        <is>
          <t>Text_987</t>
        </is>
      </c>
      <c r="B188" s="2398" t="n">
        <v>0.377348060928058</v>
      </c>
      <c r="C188" s="2398" t="n">
        <v>-0.0438966659636521</v>
      </c>
      <c r="D188" s="2398" t="n">
        <v>-0.113659630188081</v>
      </c>
      <c r="E188" s="2398" t="n">
        <v>0.009006217725704559</v>
      </c>
      <c r="F188" s="2398" t="n">
        <v>0.0632851528393029</v>
      </c>
      <c r="G188" s="2398" t="n">
        <v>0.0943638418503825</v>
      </c>
      <c r="H188" s="2396" t="n">
        <v>0.0197165601967349</v>
      </c>
      <c r="I188" s="1640" t="n"/>
      <c r="J188" s="1633" t="n"/>
      <c r="K188" s="1633" t="n"/>
      <c r="L188" s="1633" t="n"/>
      <c r="M188" s="1633" t="n"/>
      <c r="N188" s="1633" t="n"/>
      <c r="O188" s="1633" t="n"/>
      <c r="P188" s="1633" t="n"/>
      <c r="Q188" s="1633" t="n"/>
      <c r="R188" s="1633" t="n"/>
      <c r="S188" s="1633" t="n"/>
      <c r="T188" s="1633" t="n"/>
      <c r="U188" s="1633" t="n"/>
      <c r="V188" s="1633" t="n"/>
      <c r="W188" s="1633" t="n"/>
      <c r="X188" s="1633" t="n"/>
      <c r="Y188" s="1633" t="n"/>
      <c r="Z188" s="1633" t="n"/>
      <c r="AA188" s="1633" t="n"/>
      <c r="AB188" s="1633" t="n"/>
      <c r="AC188" s="1633" t="n"/>
      <c r="AD188" s="1633" t="n"/>
      <c r="AE188" s="1633" t="n"/>
      <c r="AF188" s="1633" t="n"/>
      <c r="AG188" s="1633" t="n"/>
      <c r="AH188" s="1633" t="n"/>
      <c r="AI188" s="1633" t="n"/>
      <c r="AJ188" s="1633" t="n"/>
      <c r="AK188" s="1633" t="n"/>
      <c r="AL188" s="1633" t="n"/>
      <c r="AM188" s="1633" t="n"/>
      <c r="AN188" s="1633" t="n"/>
      <c r="AO188" s="1633" t="n"/>
      <c r="AP188" s="1633" t="n"/>
      <c r="AQ188" s="1633" t="n"/>
      <c r="AR188" s="1633" t="n"/>
      <c r="AS188" s="1633" t="n"/>
      <c r="AT188" s="1633" t="n"/>
      <c r="AU188" s="1633" t="n"/>
      <c r="AV188" s="1633" t="n"/>
      <c r="AW188" s="1633" t="n"/>
      <c r="AX188" s="1633" t="n"/>
      <c r="AY188" s="1633" t="n"/>
      <c r="AZ188" s="1633" t="n"/>
    </row>
    <row r="189" ht="12" customFormat="1" customHeight="1" s="1573">
      <c r="B189" s="2398" t="n"/>
      <c r="C189" s="2398" t="n"/>
      <c r="D189" s="2398" t="n"/>
      <c r="E189" s="2398" t="n"/>
      <c r="F189" s="2398" t="n"/>
      <c r="G189" s="2398" t="n"/>
      <c r="H189" s="2396" t="n"/>
      <c r="I189" s="1640" t="n"/>
      <c r="J189" s="1633" t="n"/>
      <c r="K189" s="1633" t="n"/>
      <c r="L189" s="1633" t="n"/>
      <c r="M189" s="1633" t="n"/>
      <c r="N189" s="1633" t="n"/>
      <c r="O189" s="1633" t="n"/>
      <c r="P189" s="1633" t="n"/>
      <c r="Q189" s="1633" t="n"/>
      <c r="R189" s="1633" t="n"/>
      <c r="S189" s="1633" t="n"/>
      <c r="T189" s="1633" t="n"/>
      <c r="U189" s="1633" t="n"/>
      <c r="V189" s="1633" t="n"/>
      <c r="W189" s="1633" t="n"/>
      <c r="X189" s="1633" t="n"/>
      <c r="Y189" s="1633" t="n"/>
      <c r="Z189" s="1633" t="n"/>
      <c r="AA189" s="1633" t="n"/>
      <c r="AB189" s="1633" t="n"/>
      <c r="AC189" s="1633" t="n"/>
      <c r="AD189" s="1633" t="n"/>
      <c r="AE189" s="1633" t="n"/>
      <c r="AF189" s="1633" t="n"/>
      <c r="AG189" s="1633" t="n"/>
      <c r="AH189" s="1633" t="n"/>
      <c r="AI189" s="1633" t="n"/>
      <c r="AJ189" s="1633" t="n"/>
      <c r="AK189" s="1633" t="n"/>
      <c r="AL189" s="1633" t="n"/>
      <c r="AM189" s="1633" t="n"/>
      <c r="AN189" s="1633" t="n"/>
      <c r="AO189" s="1633" t="n"/>
      <c r="AP189" s="1633" t="n"/>
      <c r="AQ189" s="1633" t="n"/>
      <c r="AR189" s="1633" t="n"/>
      <c r="AS189" s="1633" t="n"/>
      <c r="AT189" s="1633" t="n"/>
      <c r="AU189" s="1633" t="n"/>
      <c r="AV189" s="1633" t="n"/>
      <c r="AW189" s="1633" t="n"/>
      <c r="AX189" s="1633" t="n"/>
      <c r="AY189" s="1633" t="n"/>
      <c r="AZ189" s="1633" t="n"/>
    </row>
    <row r="190" ht="12" customFormat="1" customHeight="1" s="1573">
      <c r="A190" s="1652" t="inlineStr">
        <is>
          <t>Text_988</t>
        </is>
      </c>
      <c r="B190" s="2399" t="n">
        <v>0.432162218675536</v>
      </c>
      <c r="C190" s="2399" t="n">
        <v>0.08043355713567681</v>
      </c>
      <c r="D190" s="2399" t="n">
        <v>-0.0851718571251231</v>
      </c>
      <c r="E190" s="2399" t="n">
        <v>-0.0372789653079882</v>
      </c>
      <c r="F190" s="2399" t="n">
        <v>0.0944166747821532</v>
      </c>
      <c r="G190" s="2399" t="n">
        <v>0.0942392962937879</v>
      </c>
      <c r="H190" s="2400" t="n">
        <v>0.0177264972616526</v>
      </c>
      <c r="I190" s="1640" t="n"/>
      <c r="J190" s="1633" t="n"/>
      <c r="K190" s="1633" t="n"/>
      <c r="L190" s="1633" t="n"/>
      <c r="M190" s="1633" t="n"/>
      <c r="N190" s="1633" t="n"/>
      <c r="O190" s="1633" t="n"/>
      <c r="P190" s="1633" t="n"/>
      <c r="Q190" s="1633" t="n"/>
      <c r="R190" s="1633" t="n"/>
      <c r="S190" s="1633" t="n"/>
      <c r="T190" s="1633" t="n"/>
      <c r="U190" s="1633" t="n"/>
      <c r="V190" s="1633" t="n"/>
      <c r="W190" s="1633" t="n"/>
      <c r="X190" s="1633" t="n"/>
      <c r="Y190" s="1633" t="n"/>
      <c r="Z190" s="1633" t="n"/>
      <c r="AA190" s="1633" t="n"/>
      <c r="AB190" s="1633" t="n"/>
      <c r="AC190" s="1633" t="n"/>
      <c r="AD190" s="1633" t="n"/>
      <c r="AE190" s="1633" t="n"/>
      <c r="AF190" s="1633" t="n"/>
      <c r="AG190" s="1633" t="n"/>
      <c r="AH190" s="1633" t="n"/>
      <c r="AI190" s="1633" t="n"/>
      <c r="AJ190" s="1633" t="n"/>
      <c r="AK190" s="1633" t="n"/>
      <c r="AL190" s="1633" t="n"/>
      <c r="AM190" s="1633" t="n"/>
      <c r="AN190" s="1633" t="n"/>
      <c r="AO190" s="1633" t="n"/>
      <c r="AP190" s="1633" t="n"/>
      <c r="AQ190" s="1633" t="n"/>
      <c r="AR190" s="1633" t="n"/>
      <c r="AS190" s="1633" t="n"/>
      <c r="AT190" s="1633" t="n"/>
      <c r="AU190" s="1633" t="n"/>
      <c r="AV190" s="1633" t="n"/>
      <c r="AW190" s="1633" t="n"/>
      <c r="AX190" s="1633" t="n"/>
      <c r="AY190" s="1633" t="n"/>
      <c r="AZ190" s="1633" t="n"/>
    </row>
    <row r="191" ht="12" customFormat="1" customHeight="1" s="1573">
      <c r="A191" s="1655">
        <f t="array" ref="A191">A101</f>
        <v/>
      </c>
      <c r="B191" s="2411" t="n"/>
      <c r="C191" s="2411" t="n"/>
      <c r="D191" s="2411" t="n"/>
      <c r="E191" s="2411" t="n"/>
      <c r="F191" s="2411" t="n"/>
      <c r="G191" s="2411" t="n"/>
      <c r="H191" s="2411" t="n"/>
      <c r="I191" s="2398" t="n"/>
      <c r="J191" s="1633" t="n"/>
      <c r="K191" s="1633" t="n"/>
      <c r="L191" s="1633" t="n"/>
      <c r="M191" s="1633" t="n"/>
      <c r="N191" s="1633" t="n"/>
      <c r="O191" s="1633" t="n"/>
      <c r="P191" s="1633" t="n"/>
      <c r="Q191" s="1633" t="n"/>
      <c r="R191" s="1633" t="n"/>
      <c r="S191" s="1633" t="n"/>
      <c r="T191" s="1633" t="n"/>
      <c r="U191" s="1633" t="n"/>
      <c r="V191" s="1633" t="n"/>
      <c r="W191" s="1633" t="n"/>
      <c r="X191" s="1633" t="n"/>
      <c r="Y191" s="1633" t="n"/>
      <c r="Z191" s="1633" t="n"/>
      <c r="AA191" s="1633" t="n"/>
      <c r="AB191" s="1633" t="n"/>
      <c r="AC191" s="1633" t="n"/>
      <c r="AD191" s="1633" t="n"/>
      <c r="AE191" s="1633" t="n"/>
      <c r="AF191" s="1633" t="n"/>
      <c r="AG191" s="1633" t="n"/>
      <c r="AH191" s="1633" t="n"/>
      <c r="AI191" s="1633" t="n"/>
      <c r="AJ191" s="1633" t="n"/>
      <c r="AK191" s="1633" t="n"/>
      <c r="AL191" s="1633" t="n"/>
      <c r="AM191" s="1633" t="n"/>
      <c r="AN191" s="1633" t="n"/>
      <c r="AO191" s="1633" t="n"/>
      <c r="AP191" s="1633" t="n"/>
      <c r="AQ191" s="1633" t="n"/>
      <c r="AR191" s="1633" t="n"/>
      <c r="AS191" s="1633" t="n"/>
      <c r="AT191" s="1633" t="n"/>
      <c r="AU191" s="1633" t="n"/>
      <c r="AV191" s="1633" t="n"/>
      <c r="AW191" s="1633" t="n"/>
      <c r="AX191" s="1633" t="n"/>
      <c r="AY191" s="1633" t="n"/>
      <c r="AZ191" s="1633" t="n"/>
    </row>
    <row r="192" ht="12" customFormat="1" customHeight="1" s="1573">
      <c r="A192" s="1581" t="n"/>
      <c r="B192" s="2398" t="n"/>
      <c r="C192" s="2398" t="n"/>
      <c r="D192" s="2398" t="n"/>
      <c r="E192" s="2398" t="n"/>
      <c r="F192" s="2398" t="n"/>
      <c r="G192" s="2398" t="n"/>
      <c r="H192" s="2398" t="n"/>
      <c r="I192" s="2398" t="n"/>
      <c r="J192" s="1633" t="n"/>
      <c r="K192" s="1633" t="n"/>
      <c r="L192" s="1633" t="n"/>
      <c r="M192" s="1633" t="n"/>
      <c r="N192" s="1633" t="n"/>
      <c r="O192" s="1633" t="n"/>
      <c r="P192" s="1633" t="n"/>
      <c r="Q192" s="1633" t="n"/>
      <c r="R192" s="1633" t="n"/>
      <c r="S192" s="1633" t="n"/>
      <c r="T192" s="1633" t="n"/>
      <c r="U192" s="1633" t="n"/>
      <c r="V192" s="1633" t="n"/>
      <c r="W192" s="1633" t="n"/>
      <c r="X192" s="1633" t="n"/>
      <c r="Y192" s="1633" t="n"/>
      <c r="Z192" s="1633" t="n"/>
      <c r="AA192" s="1633" t="n"/>
      <c r="AB192" s="1633" t="n"/>
      <c r="AC192" s="1633" t="n"/>
      <c r="AD192" s="1633" t="n"/>
      <c r="AE192" s="1633" t="n"/>
      <c r="AF192" s="1633" t="n"/>
      <c r="AG192" s="1633" t="n"/>
      <c r="AH192" s="1633" t="n"/>
      <c r="AI192" s="1633" t="n"/>
      <c r="AJ192" s="1633" t="n"/>
      <c r="AK192" s="1633" t="n"/>
      <c r="AL192" s="1633" t="n"/>
      <c r="AM192" s="1633" t="n"/>
      <c r="AN192" s="1633" t="n"/>
      <c r="AO192" s="1633" t="n"/>
      <c r="AP192" s="1633" t="n"/>
      <c r="AQ192" s="1633" t="n"/>
      <c r="AR192" s="1633" t="n"/>
      <c r="AS192" s="1633" t="n"/>
      <c r="AT192" s="1633" t="n"/>
      <c r="AU192" s="1633" t="n"/>
      <c r="AV192" s="1633" t="n"/>
      <c r="AW192" s="1633" t="n"/>
      <c r="AX192" s="1633" t="n"/>
      <c r="AY192" s="1633" t="n"/>
      <c r="AZ192" s="1633" t="n"/>
    </row>
    <row r="193" ht="12" customFormat="1" customHeight="1" s="1573">
      <c r="A193" s="1466" t="inlineStr">
        <is>
          <t>Text_990</t>
        </is>
      </c>
      <c r="B193" s="1467" t="inlineStr">
        <is>
          <t>Text_784</t>
        </is>
      </c>
      <c r="C193" s="1583" t="inlineStr">
        <is>
          <t>Text_785</t>
        </is>
      </c>
      <c r="D193" s="1209" t="n"/>
      <c r="I193" s="2398" t="n"/>
      <c r="J193" s="2398" t="n"/>
      <c r="K193" s="1633" t="n"/>
      <c r="L193" s="1633" t="n"/>
      <c r="M193" s="1633" t="n"/>
      <c r="N193" s="1633" t="n"/>
      <c r="O193" s="1633" t="n"/>
      <c r="P193" s="1633" t="n"/>
      <c r="Q193" s="1633" t="n"/>
      <c r="R193" s="1633" t="n"/>
      <c r="S193" s="1633" t="n"/>
      <c r="T193" s="1633" t="n"/>
      <c r="U193" s="1633" t="n"/>
      <c r="V193" s="1633" t="n"/>
      <c r="W193" s="1633" t="n"/>
      <c r="X193" s="1633" t="n"/>
      <c r="Y193" s="1633" t="n"/>
      <c r="Z193" s="1633" t="n"/>
      <c r="AA193" s="1633" t="n"/>
      <c r="AB193" s="1633" t="n"/>
      <c r="AC193" s="1633" t="n"/>
      <c r="AD193" s="1633" t="n"/>
      <c r="AE193" s="1633" t="n"/>
      <c r="AF193" s="1633" t="n"/>
      <c r="AG193" s="1633" t="n"/>
      <c r="AH193" s="1633" t="n"/>
      <c r="AI193" s="1633" t="n"/>
      <c r="AJ193" s="1633" t="n"/>
      <c r="AK193" s="1633" t="n"/>
      <c r="AL193" s="1633" t="n"/>
      <c r="AM193" s="1633" t="n"/>
      <c r="AN193" s="1633" t="n"/>
      <c r="AO193" s="1633" t="n"/>
      <c r="AP193" s="1633" t="n"/>
      <c r="AQ193" s="1633" t="n"/>
      <c r="AR193" s="1633" t="n"/>
      <c r="AS193" s="1633" t="n"/>
      <c r="AT193" s="1633" t="n"/>
      <c r="AU193" s="1633" t="n"/>
      <c r="AV193" s="1633" t="n"/>
      <c r="AW193" s="1633" t="n"/>
      <c r="AX193" s="1633" t="n"/>
      <c r="AY193" s="1633" t="n"/>
      <c r="AZ193" s="1633" t="n"/>
    </row>
    <row r="194" ht="12" customFormat="1" customHeight="1" s="1573">
      <c r="A194" s="1469" t="inlineStr">
        <is>
          <t>Text_911</t>
        </is>
      </c>
      <c r="B194" s="1669" t="n"/>
      <c r="C194" s="1669" t="n"/>
      <c r="D194" s="1669" t="n"/>
      <c r="E194" s="1669" t="n"/>
      <c r="F194" s="1669" t="n"/>
      <c r="G194" s="1669" t="n"/>
      <c r="H194" s="1669" t="n"/>
      <c r="J194" s="2398" t="n"/>
      <c r="K194" s="1633" t="n"/>
      <c r="L194" s="1633" t="n"/>
      <c r="M194" s="1633" t="n"/>
      <c r="N194" s="1633" t="n"/>
      <c r="O194" s="1633" t="n"/>
      <c r="P194" s="1633" t="n"/>
      <c r="Q194" s="1633" t="n"/>
      <c r="R194" s="1633" t="n"/>
      <c r="S194" s="1633" t="n"/>
      <c r="T194" s="1633" t="n"/>
      <c r="U194" s="1633" t="n"/>
      <c r="V194" s="1633" t="n"/>
      <c r="W194" s="1633" t="n"/>
      <c r="X194" s="1633" t="n"/>
      <c r="Y194" s="1633" t="n"/>
      <c r="Z194" s="1633" t="n"/>
      <c r="AA194" s="1633" t="n"/>
      <c r="AB194" s="1633" t="n"/>
      <c r="AC194" s="1633" t="n"/>
      <c r="AD194" s="1633" t="n"/>
      <c r="AE194" s="1633" t="n"/>
      <c r="AF194" s="1633" t="n"/>
      <c r="AG194" s="1633" t="n"/>
      <c r="AH194" s="1633" t="n"/>
      <c r="AI194" s="1633" t="n"/>
      <c r="AJ194" s="1633" t="n"/>
      <c r="AK194" s="1633" t="n"/>
      <c r="AL194" s="1633" t="n"/>
      <c r="AM194" s="1633" t="n"/>
      <c r="AN194" s="1633" t="n"/>
      <c r="AO194" s="1633" t="n"/>
      <c r="AP194" s="1633" t="n"/>
      <c r="AQ194" s="1633" t="n"/>
      <c r="AR194" s="1633" t="n"/>
      <c r="AS194" s="1633" t="n"/>
      <c r="AT194" s="1633" t="n"/>
      <c r="AU194" s="1633" t="n"/>
      <c r="AV194" s="1633" t="n"/>
      <c r="AW194" s="1633" t="n"/>
      <c r="AX194" s="1633" t="n"/>
      <c r="AY194" s="1633" t="n"/>
      <c r="AZ194" s="1633" t="n"/>
    </row>
    <row r="195" ht="12" customFormat="1" customHeight="1" s="1573">
      <c r="A195" s="1670" t="n"/>
      <c r="B195" s="1515" t="n">
        <v>2203.99704309452</v>
      </c>
      <c r="C195" s="1515" t="n">
        <v>2001.60282902646</v>
      </c>
      <c r="D195" s="1515" t="n">
        <v>1939.04514589107</v>
      </c>
      <c r="E195" s="1515" t="n">
        <v>1786.22070631353</v>
      </c>
      <c r="F195" s="1515" t="n">
        <v>2253.37931097812</v>
      </c>
      <c r="G195" s="1515" t="n">
        <v>2198.10466564316</v>
      </c>
      <c r="H195" s="1516" t="n">
        <v>1825.18261514918</v>
      </c>
      <c r="I195" s="1671" t="n"/>
      <c r="K195" s="1633" t="n"/>
      <c r="L195" s="1633" t="n"/>
      <c r="M195" s="1633" t="n"/>
      <c r="N195" s="1633" t="n"/>
      <c r="O195" s="1633" t="n"/>
      <c r="P195" s="1633" t="n"/>
      <c r="Q195" s="1633" t="n"/>
      <c r="R195" s="1633" t="n"/>
      <c r="S195" s="1633" t="n"/>
      <c r="T195" s="1633" t="n"/>
      <c r="U195" s="1633" t="n"/>
      <c r="V195" s="1633" t="n"/>
      <c r="W195" s="1633" t="n"/>
      <c r="X195" s="1633" t="n"/>
      <c r="Y195" s="1633" t="n"/>
      <c r="Z195" s="1633" t="n"/>
      <c r="AA195" s="1633" t="n"/>
      <c r="AB195" s="1633" t="n"/>
      <c r="AC195" s="1633" t="n"/>
      <c r="AD195" s="1633" t="n"/>
      <c r="AE195" s="1633" t="n"/>
      <c r="AF195" s="1633" t="n"/>
      <c r="AG195" s="1633" t="n"/>
      <c r="AH195" s="1633" t="n"/>
      <c r="AI195" s="1633" t="n"/>
      <c r="AJ195" s="1633" t="n"/>
      <c r="AK195" s="1633" t="n"/>
      <c r="AL195" s="1633" t="n"/>
      <c r="AM195" s="1633" t="n"/>
      <c r="AN195" s="1633" t="n"/>
      <c r="AO195" s="1633" t="n"/>
      <c r="AP195" s="1633" t="n"/>
      <c r="AQ195" s="1633" t="n"/>
      <c r="AR195" s="1633" t="n"/>
      <c r="AS195" s="1633" t="n"/>
      <c r="AT195" s="1633" t="n"/>
      <c r="AU195" s="1633" t="n"/>
      <c r="AV195" s="1633" t="n"/>
      <c r="AW195" s="1633" t="n"/>
      <c r="AX195" s="1633" t="n"/>
      <c r="AY195" s="1633" t="n"/>
      <c r="AZ195" s="1633" t="n"/>
    </row>
    <row r="196" ht="12" customFormat="1" customHeight="1" s="1573">
      <c r="A196" s="1604" t="inlineStr">
        <is>
          <t>Text_991</t>
        </is>
      </c>
      <c r="B196" s="2104" t="n">
        <v>112.411954946242</v>
      </c>
      <c r="C196" s="2104" t="n">
        <v>123.53034285467</v>
      </c>
      <c r="D196" s="2104" t="n">
        <v>145.253845212834</v>
      </c>
      <c r="E196" s="2104" t="n">
        <v>162.141417752225</v>
      </c>
      <c r="F196" s="2104" t="n">
        <v>148.470057716668</v>
      </c>
      <c r="G196" s="2104" t="n">
        <v>154.845972545139</v>
      </c>
      <c r="H196" s="2105" t="n">
        <v>129.76453198206</v>
      </c>
      <c r="I196" s="1640" t="n"/>
      <c r="J196" s="1672" t="n"/>
      <c r="K196" s="1633" t="n"/>
      <c r="L196" s="1633" t="n"/>
      <c r="M196" s="1633" t="n"/>
      <c r="N196" s="1633" t="n"/>
      <c r="O196" s="1633" t="n"/>
      <c r="P196" s="1633" t="n"/>
      <c r="Q196" s="1633" t="n"/>
      <c r="R196" s="1633" t="n"/>
      <c r="S196" s="1633" t="n"/>
      <c r="T196" s="1633" t="n"/>
      <c r="U196" s="1633" t="n"/>
      <c r="V196" s="1633" t="n"/>
      <c r="W196" s="1633" t="n"/>
      <c r="X196" s="1633" t="n"/>
      <c r="Y196" s="1633" t="n"/>
      <c r="Z196" s="1633" t="n"/>
      <c r="AA196" s="1633" t="n"/>
      <c r="AB196" s="1633" t="n"/>
      <c r="AC196" s="1633" t="n"/>
      <c r="AD196" s="1633" t="n"/>
      <c r="AE196" s="1633" t="n"/>
      <c r="AF196" s="1633" t="n"/>
      <c r="AG196" s="1633" t="n"/>
      <c r="AH196" s="1633" t="n"/>
      <c r="AI196" s="1633" t="n"/>
      <c r="AJ196" s="1633" t="n"/>
      <c r="AK196" s="1633" t="n"/>
      <c r="AL196" s="1633" t="n"/>
      <c r="AM196" s="1633" t="n"/>
      <c r="AN196" s="1633" t="n"/>
      <c r="AO196" s="1633" t="n"/>
      <c r="AP196" s="1633" t="n"/>
      <c r="AQ196" s="1633" t="n"/>
      <c r="AR196" s="1633" t="n"/>
      <c r="AS196" s="1633" t="n"/>
      <c r="AT196" s="1633" t="n"/>
      <c r="AU196" s="1633" t="n"/>
      <c r="AV196" s="1633" t="n"/>
      <c r="AW196" s="1633" t="n"/>
      <c r="AX196" s="1633" t="n"/>
      <c r="AY196" s="1633" t="n"/>
      <c r="AZ196" s="1633" t="n"/>
    </row>
    <row r="197" ht="12" customFormat="1" customHeight="1" s="1573">
      <c r="A197" s="1523" t="inlineStr">
        <is>
          <t>Text_992</t>
        </is>
      </c>
      <c r="B197" s="1874" t="n">
        <v>156.397003704973</v>
      </c>
      <c r="C197" s="1874" t="n">
        <v>195.740072077976</v>
      </c>
      <c r="D197" s="1874" t="n">
        <v>158.192386597385</v>
      </c>
      <c r="E197" s="1874" t="n">
        <v>190.995044623439</v>
      </c>
      <c r="F197" s="1874" t="n">
        <v>195.260833689269</v>
      </c>
      <c r="G197" s="1874" t="n">
        <v>165.691937881286</v>
      </c>
      <c r="H197" s="1748" t="n">
        <v>198.148260642945</v>
      </c>
      <c r="I197" s="1640" t="n"/>
      <c r="J197" s="1633" t="n"/>
      <c r="K197" s="1633" t="n"/>
      <c r="L197" s="1633" t="n"/>
      <c r="M197" s="1633" t="n"/>
      <c r="N197" s="1633" t="n"/>
      <c r="O197" s="1633" t="n"/>
      <c r="P197" s="1633" t="n"/>
      <c r="Q197" s="1633" t="n"/>
      <c r="R197" s="1633" t="n"/>
      <c r="S197" s="1633" t="n"/>
      <c r="T197" s="1633" t="n"/>
      <c r="U197" s="1633" t="n"/>
      <c r="V197" s="1633" t="n"/>
      <c r="W197" s="1633" t="n"/>
      <c r="X197" s="1633" t="n"/>
      <c r="Y197" s="1633" t="n"/>
      <c r="Z197" s="1633" t="n"/>
      <c r="AA197" s="1633" t="n"/>
      <c r="AB197" s="1633" t="n"/>
      <c r="AC197" s="1633" t="n"/>
      <c r="AD197" s="1633" t="n"/>
      <c r="AE197" s="1633" t="n"/>
      <c r="AF197" s="1633" t="n"/>
      <c r="AG197" s="1633" t="n"/>
      <c r="AH197" s="1633" t="n"/>
      <c r="AI197" s="1633" t="n"/>
      <c r="AJ197" s="1633" t="n"/>
      <c r="AK197" s="1633" t="n"/>
      <c r="AL197" s="1633" t="n"/>
      <c r="AM197" s="1633" t="n"/>
      <c r="AN197" s="1633" t="n"/>
      <c r="AO197" s="1633" t="n"/>
      <c r="AP197" s="1633" t="n"/>
      <c r="AQ197" s="1633" t="n"/>
      <c r="AR197" s="1633" t="n"/>
      <c r="AS197" s="1633" t="n"/>
      <c r="AT197" s="1633" t="n"/>
      <c r="AU197" s="1633" t="n"/>
      <c r="AV197" s="1633" t="n"/>
      <c r="AW197" s="1633" t="n"/>
      <c r="AX197" s="1633" t="n"/>
      <c r="AY197" s="1633" t="n"/>
      <c r="AZ197" s="1633" t="n"/>
    </row>
    <row r="198" ht="12" customFormat="1" customHeight="1" s="1573">
      <c r="A198" s="1606" t="inlineStr">
        <is>
          <t>Text_993</t>
        </is>
      </c>
      <c r="B198" s="1874" t="n">
        <v>21.514459450892</v>
      </c>
      <c r="C198" s="1874" t="n">
        <v>31.0316383112738</v>
      </c>
      <c r="D198" s="1874" t="n">
        <v>32.3642574411943</v>
      </c>
      <c r="E198" s="1874" t="n">
        <v>27.8890717575855</v>
      </c>
      <c r="F198" s="1874" t="n">
        <v>31.4975704120776</v>
      </c>
      <c r="G198" s="1874" t="n">
        <v>37.8740405613984</v>
      </c>
      <c r="H198" s="1748" t="n">
        <v>40.833339305069</v>
      </c>
      <c r="I198" s="1640" t="n"/>
      <c r="J198" s="1633" t="n"/>
      <c r="K198" s="1633" t="n"/>
      <c r="L198" s="1633" t="n"/>
      <c r="M198" s="1633" t="n"/>
      <c r="N198" s="1633" t="n"/>
      <c r="O198" s="1633" t="n"/>
      <c r="P198" s="1633" t="n"/>
      <c r="Q198" s="1633" t="n"/>
      <c r="R198" s="1633" t="n"/>
      <c r="S198" s="1633" t="n"/>
      <c r="T198" s="1633" t="n"/>
      <c r="U198" s="1633" t="n"/>
      <c r="V198" s="1633" t="n"/>
      <c r="W198" s="1633" t="n"/>
      <c r="X198" s="1633" t="n"/>
      <c r="Y198" s="1633" t="n"/>
      <c r="Z198" s="1633" t="n"/>
      <c r="AA198" s="1633" t="n"/>
      <c r="AB198" s="1633" t="n"/>
      <c r="AC198" s="1633" t="n"/>
      <c r="AD198" s="1633" t="n"/>
      <c r="AE198" s="1633" t="n"/>
      <c r="AF198" s="1633" t="n"/>
      <c r="AG198" s="1633" t="n"/>
      <c r="AH198" s="1633" t="n"/>
      <c r="AI198" s="1633" t="n"/>
      <c r="AJ198" s="1633" t="n"/>
      <c r="AK198" s="1633" t="n"/>
      <c r="AL198" s="1633" t="n"/>
      <c r="AM198" s="1633" t="n"/>
      <c r="AN198" s="1633" t="n"/>
      <c r="AO198" s="1633" t="n"/>
      <c r="AP198" s="1633" t="n"/>
      <c r="AQ198" s="1633" t="n"/>
      <c r="AR198" s="1633" t="n"/>
      <c r="AS198" s="1633" t="n"/>
      <c r="AT198" s="1633" t="n"/>
      <c r="AU198" s="1633" t="n"/>
      <c r="AV198" s="1633" t="n"/>
      <c r="AW198" s="1633" t="n"/>
      <c r="AX198" s="1633" t="n"/>
      <c r="AY198" s="1633" t="n"/>
      <c r="AZ198" s="1633" t="n"/>
    </row>
    <row r="199" ht="12" customFormat="1" customHeight="1" s="1573">
      <c r="A199" s="1606" t="inlineStr">
        <is>
          <t>Text_994</t>
        </is>
      </c>
      <c r="B199" s="1874" t="n">
        <v>92.8236386259376</v>
      </c>
      <c r="C199" s="1874" t="n">
        <v>70.20901030811589</v>
      </c>
      <c r="D199" s="1874" t="n">
        <v>88.3727868787043</v>
      </c>
      <c r="E199" s="1874" t="n">
        <v>71.8653647583242</v>
      </c>
      <c r="F199" s="1874" t="n">
        <v>95.4732169815136</v>
      </c>
      <c r="G199" s="1874" t="n">
        <v>84.9025727559634</v>
      </c>
      <c r="H199" s="1748" t="n">
        <v>102.386668672794</v>
      </c>
      <c r="I199" s="1640" t="n"/>
      <c r="J199" s="1633" t="n"/>
      <c r="K199" s="1633" t="n"/>
      <c r="L199" s="1633" t="n"/>
      <c r="M199" s="1633" t="n"/>
      <c r="N199" s="1633" t="n"/>
      <c r="O199" s="1633" t="n"/>
      <c r="P199" s="1633" t="n"/>
      <c r="Q199" s="1633" t="n"/>
      <c r="R199" s="1633" t="n"/>
      <c r="S199" s="1633" t="n"/>
      <c r="T199" s="1633" t="n"/>
      <c r="U199" s="1633" t="n"/>
      <c r="V199" s="1633" t="n"/>
      <c r="W199" s="1633" t="n"/>
      <c r="X199" s="1633" t="n"/>
      <c r="Y199" s="1633" t="n"/>
      <c r="Z199" s="1633" t="n"/>
      <c r="AA199" s="1633" t="n"/>
      <c r="AB199" s="1633" t="n"/>
      <c r="AC199" s="1633" t="n"/>
      <c r="AD199" s="1633" t="n"/>
      <c r="AE199" s="1633" t="n"/>
      <c r="AF199" s="1633" t="n"/>
      <c r="AG199" s="1633" t="n"/>
      <c r="AH199" s="1633" t="n"/>
      <c r="AI199" s="1633" t="n"/>
      <c r="AJ199" s="1633" t="n"/>
      <c r="AK199" s="1633" t="n"/>
      <c r="AL199" s="1633" t="n"/>
      <c r="AM199" s="1633" t="n"/>
      <c r="AN199" s="1633" t="n"/>
      <c r="AO199" s="1633" t="n"/>
      <c r="AP199" s="1633" t="n"/>
      <c r="AQ199" s="1633" t="n"/>
      <c r="AR199" s="1633" t="n"/>
      <c r="AS199" s="1633" t="n"/>
      <c r="AT199" s="1633" t="n"/>
      <c r="AU199" s="1633" t="n"/>
      <c r="AV199" s="1633" t="n"/>
      <c r="AW199" s="1633" t="n"/>
      <c r="AX199" s="1633" t="n"/>
      <c r="AY199" s="1633" t="n"/>
      <c r="AZ199" s="1633" t="n"/>
    </row>
    <row r="200" ht="12" customFormat="1" customHeight="1" s="1573">
      <c r="A200" s="1606" t="inlineStr">
        <is>
          <t>Text_995</t>
        </is>
      </c>
      <c r="B200" s="1874" t="n">
        <v>42.1504267465923</v>
      </c>
      <c r="C200" s="1874" t="n">
        <v>40.3240914949784</v>
      </c>
      <c r="D200" s="1874" t="n">
        <v>53.9793526726239</v>
      </c>
      <c r="E200" s="1874" t="n">
        <v>37.8522526994582</v>
      </c>
      <c r="F200" s="1874" t="n">
        <v>41.8281261829799</v>
      </c>
      <c r="G200" s="1874" t="n">
        <v>45.3909694493713</v>
      </c>
      <c r="H200" s="1748" t="n">
        <v>48.3182994630881</v>
      </c>
      <c r="I200" s="1640" t="n"/>
      <c r="J200" s="1633" t="n"/>
      <c r="K200" s="1633" t="n"/>
      <c r="L200" s="1633" t="n"/>
      <c r="M200" s="1633" t="n"/>
      <c r="N200" s="1633" t="n"/>
      <c r="O200" s="1633" t="n"/>
      <c r="P200" s="1633" t="n"/>
      <c r="Q200" s="1633" t="n"/>
      <c r="R200" s="1633" t="n"/>
      <c r="S200" s="1633" t="n"/>
      <c r="T200" s="1633" t="n"/>
      <c r="U200" s="1633" t="n"/>
      <c r="V200" s="1633" t="n"/>
      <c r="W200" s="1633" t="n"/>
      <c r="X200" s="1633" t="n"/>
      <c r="Y200" s="1633" t="n"/>
      <c r="Z200" s="1633" t="n"/>
      <c r="AA200" s="1633" t="n"/>
      <c r="AB200" s="1633" t="n"/>
      <c r="AC200" s="1633" t="n"/>
      <c r="AD200" s="1633" t="n"/>
      <c r="AE200" s="1633" t="n"/>
      <c r="AF200" s="1633" t="n"/>
      <c r="AG200" s="1633" t="n"/>
      <c r="AH200" s="1633" t="n"/>
      <c r="AI200" s="1633" t="n"/>
      <c r="AJ200" s="1633" t="n"/>
      <c r="AK200" s="1633" t="n"/>
      <c r="AL200" s="1633" t="n"/>
      <c r="AM200" s="1633" t="n"/>
      <c r="AN200" s="1633" t="n"/>
      <c r="AO200" s="1633" t="n"/>
      <c r="AP200" s="1633" t="n"/>
      <c r="AQ200" s="1633" t="n"/>
      <c r="AR200" s="1633" t="n"/>
      <c r="AS200" s="1633" t="n"/>
      <c r="AT200" s="1633" t="n"/>
      <c r="AU200" s="1633" t="n"/>
      <c r="AV200" s="1633" t="n"/>
      <c r="AW200" s="1633" t="n"/>
      <c r="AX200" s="1633" t="n"/>
      <c r="AY200" s="1633" t="n"/>
      <c r="AZ200" s="1633" t="n"/>
    </row>
    <row r="201" ht="12" customFormat="1" customHeight="1" s="1573">
      <c r="A201" s="1543" t="inlineStr">
        <is>
          <t>Text_996</t>
        </is>
      </c>
      <c r="B201" s="2412" t="n">
        <v>400.822511091326</v>
      </c>
      <c r="C201" s="2412" t="n">
        <v>437.140361961149</v>
      </c>
      <c r="D201" s="2412" t="n">
        <v>583.0689186879461</v>
      </c>
      <c r="E201" s="2412" t="n">
        <v>406.882408610371</v>
      </c>
      <c r="F201" s="2412" t="n">
        <v>545.404610800403</v>
      </c>
      <c r="G201" s="2412" t="n">
        <v>568.192714968321</v>
      </c>
      <c r="H201" s="2413" t="n">
        <v>480.852087886607</v>
      </c>
      <c r="I201" s="1640" t="n"/>
      <c r="J201" s="1633" t="n"/>
      <c r="K201" s="1633" t="n"/>
      <c r="L201" s="1633" t="n"/>
      <c r="M201" s="1633" t="n"/>
      <c r="N201" s="1633" t="n"/>
      <c r="O201" s="1633" t="n"/>
      <c r="P201" s="1633" t="n"/>
      <c r="Q201" s="1633" t="n"/>
      <c r="R201" s="1633" t="n"/>
      <c r="S201" s="1633" t="n"/>
      <c r="T201" s="1633" t="n"/>
      <c r="U201" s="1633" t="n"/>
      <c r="V201" s="1633" t="n"/>
      <c r="W201" s="1633" t="n"/>
      <c r="X201" s="1633" t="n"/>
      <c r="Y201" s="1633" t="n"/>
      <c r="Z201" s="1633" t="n"/>
      <c r="AA201" s="1633" t="n"/>
      <c r="AB201" s="1633" t="n"/>
      <c r="AC201" s="1633" t="n"/>
      <c r="AD201" s="1633" t="n"/>
      <c r="AE201" s="1633" t="n"/>
      <c r="AF201" s="1633" t="n"/>
      <c r="AG201" s="1633" t="n"/>
      <c r="AH201" s="1633" t="n"/>
      <c r="AI201" s="1633" t="n"/>
      <c r="AJ201" s="1633" t="n"/>
      <c r="AK201" s="1633" t="n"/>
      <c r="AL201" s="1633" t="n"/>
      <c r="AM201" s="1633" t="n"/>
      <c r="AN201" s="1633" t="n"/>
      <c r="AO201" s="1633" t="n"/>
      <c r="AP201" s="1633" t="n"/>
      <c r="AQ201" s="1633" t="n"/>
      <c r="AR201" s="1633" t="n"/>
      <c r="AS201" s="1633" t="n"/>
      <c r="AT201" s="1633" t="n"/>
      <c r="AU201" s="1633" t="n"/>
      <c r="AV201" s="1633" t="n"/>
      <c r="AW201" s="1633" t="n"/>
      <c r="AX201" s="1633" t="n"/>
      <c r="AY201" s="1633" t="n"/>
      <c r="AZ201" s="1633" t="n"/>
    </row>
    <row r="202" ht="12" customFormat="1" customHeight="1" s="1573">
      <c r="A202" s="1655">
        <f t="array" ref="A202">A191</f>
        <v/>
      </c>
      <c r="B202" s="1675" t="n"/>
      <c r="C202" s="1675" t="n"/>
      <c r="D202" s="1675" t="n"/>
      <c r="E202" s="1675" t="n"/>
      <c r="F202" s="1675" t="n"/>
      <c r="G202" s="1675" t="n"/>
      <c r="H202" s="1675" t="n"/>
      <c r="I202" s="1633" t="n"/>
      <c r="J202" s="1633" t="n"/>
      <c r="K202" s="1633" t="n"/>
      <c r="L202" s="1633" t="n"/>
      <c r="M202" s="1633" t="n"/>
      <c r="N202" s="1633" t="n"/>
      <c r="O202" s="1633" t="n"/>
      <c r="P202" s="1633" t="n"/>
      <c r="Q202" s="1633" t="n"/>
      <c r="R202" s="1633" t="n"/>
      <c r="S202" s="1633" t="n"/>
      <c r="T202" s="1633" t="n"/>
      <c r="U202" s="1633" t="n"/>
      <c r="V202" s="1633" t="n"/>
      <c r="W202" s="1633" t="n"/>
      <c r="X202" s="1633" t="n"/>
      <c r="Y202" s="1633" t="n"/>
      <c r="Z202" s="1633" t="n"/>
      <c r="AA202" s="1633" t="n"/>
      <c r="AB202" s="1633" t="n"/>
      <c r="AC202" s="1633" t="n"/>
      <c r="AD202" s="1633" t="n"/>
      <c r="AE202" s="1633" t="n"/>
      <c r="AF202" s="1633" t="n"/>
      <c r="AG202" s="1633" t="n"/>
      <c r="AH202" s="1633" t="n"/>
      <c r="AI202" s="1633" t="n"/>
      <c r="AJ202" s="1633" t="n"/>
      <c r="AK202" s="1633" t="n"/>
      <c r="AL202" s="1633" t="n"/>
      <c r="AM202" s="1633" t="n"/>
      <c r="AN202" s="1633" t="n"/>
      <c r="AO202" s="1633" t="n"/>
      <c r="AP202" s="1633" t="n"/>
      <c r="AQ202" s="1633" t="n"/>
      <c r="AR202" s="1633" t="n"/>
      <c r="AS202" s="1633" t="n"/>
      <c r="AT202" s="1633" t="n"/>
      <c r="AU202" s="1633" t="n"/>
      <c r="AV202" s="1633" t="n"/>
      <c r="AW202" s="1633" t="n"/>
      <c r="AX202" s="1633" t="n"/>
      <c r="AY202" s="1633" t="n"/>
      <c r="AZ202" s="1633" t="n"/>
    </row>
    <row r="203" ht="12" customFormat="1" customHeight="1" s="1573">
      <c r="B203" s="1633" t="n"/>
      <c r="C203" s="1633" t="n"/>
      <c r="D203" s="1633" t="n"/>
      <c r="E203" s="1633" t="n"/>
      <c r="F203" s="1633" t="n"/>
      <c r="G203" s="1633" t="n"/>
      <c r="H203" s="1633" t="n"/>
      <c r="I203" s="1464" t="n"/>
      <c r="J203" s="1633" t="n"/>
      <c r="K203" s="1633" t="n"/>
      <c r="L203" s="1633" t="n"/>
      <c r="M203" s="1633" t="n"/>
      <c r="N203" s="1633" t="n"/>
      <c r="O203" s="1633" t="n"/>
      <c r="P203" s="1633" t="n"/>
      <c r="Q203" s="1633" t="n"/>
      <c r="R203" s="1633" t="n"/>
      <c r="S203" s="1633" t="n"/>
      <c r="T203" s="1633" t="n"/>
      <c r="U203" s="1633" t="n"/>
      <c r="V203" s="1633" t="n"/>
      <c r="W203" s="1633" t="n"/>
      <c r="X203" s="1633" t="n"/>
      <c r="Y203" s="1633" t="n"/>
      <c r="Z203" s="1633" t="n"/>
      <c r="AA203" s="1633" t="n"/>
      <c r="AB203" s="1633" t="n"/>
      <c r="AC203" s="1633" t="n"/>
      <c r="AD203" s="1633" t="n"/>
      <c r="AE203" s="1633" t="n"/>
      <c r="AF203" s="1633" t="n"/>
      <c r="AG203" s="1633" t="n"/>
      <c r="AH203" s="1633" t="n"/>
      <c r="AI203" s="1633" t="n"/>
      <c r="AJ203" s="1633" t="n"/>
      <c r="AK203" s="1633" t="n"/>
      <c r="AL203" s="1633" t="n"/>
      <c r="AM203" s="1633" t="n"/>
      <c r="AN203" s="1633" t="n"/>
      <c r="AO203" s="1633" t="n"/>
      <c r="AP203" s="1633" t="n"/>
      <c r="AQ203" s="1633" t="n"/>
      <c r="AR203" s="1633" t="n"/>
      <c r="AS203" s="1633" t="n"/>
      <c r="AT203" s="1633" t="n"/>
      <c r="AU203" s="1633" t="n"/>
      <c r="AV203" s="1633" t="n"/>
      <c r="AW203" s="1633" t="n"/>
      <c r="AX203" s="1633" t="n"/>
      <c r="AY203" s="1633" t="n"/>
      <c r="AZ203" s="1633" t="n"/>
    </row>
    <row r="204" ht="13.7" customFormat="1" customHeight="1" s="1573">
      <c r="B204" s="1633" t="n"/>
      <c r="C204" s="1633" t="n"/>
      <c r="D204" s="1633" t="n"/>
      <c r="E204" s="1633" t="n"/>
      <c r="F204" s="1633" t="n"/>
      <c r="G204" s="1633" t="n"/>
      <c r="H204" s="1633" t="n"/>
      <c r="I204" s="1633" t="n"/>
      <c r="J204" s="1464" t="n"/>
      <c r="K204" s="1633" t="n"/>
      <c r="L204" s="1633" t="n"/>
      <c r="M204" s="1633" t="n"/>
      <c r="N204" s="1633" t="n"/>
      <c r="O204" s="1633" t="n"/>
      <c r="P204" s="1633" t="n"/>
      <c r="Q204" s="1633" t="n"/>
      <c r="R204" s="1633" t="n"/>
      <c r="S204" s="1633" t="n"/>
      <c r="T204" s="1633" t="n"/>
      <c r="U204" s="1633" t="n"/>
      <c r="V204" s="1633" t="n"/>
      <c r="W204" s="1633" t="n"/>
      <c r="X204" s="1633" t="n"/>
      <c r="Y204" s="1633" t="n"/>
      <c r="Z204" s="1633" t="n"/>
      <c r="AA204" s="1633" t="n"/>
      <c r="AB204" s="1633" t="n"/>
      <c r="AC204" s="1633" t="n"/>
      <c r="AD204" s="1633" t="n"/>
      <c r="AE204" s="1633" t="n"/>
      <c r="AF204" s="1633" t="n"/>
      <c r="AG204" s="1633" t="n"/>
      <c r="AH204" s="1633" t="n"/>
      <c r="AI204" s="1633" t="n"/>
      <c r="AJ204" s="1633" t="n"/>
      <c r="AK204" s="1633" t="n"/>
      <c r="AL204" s="1633" t="n"/>
      <c r="AM204" s="1633" t="n"/>
      <c r="AN204" s="1633" t="n"/>
      <c r="AO204" s="1633" t="n"/>
      <c r="AP204" s="1633" t="n"/>
      <c r="AQ204" s="1633" t="n"/>
      <c r="AR204" s="1633" t="n"/>
      <c r="AS204" s="1633" t="n"/>
      <c r="AT204" s="1633" t="n"/>
      <c r="AU204" s="1633" t="n"/>
      <c r="AV204" s="1633" t="n"/>
      <c r="AW204" s="1633" t="n"/>
      <c r="AX204" s="1633" t="n"/>
      <c r="AY204" s="1633" t="n"/>
      <c r="AZ204" s="1633" t="n"/>
    </row>
    <row r="205" ht="13.7" customFormat="1" customHeight="1" s="1573">
      <c r="B205" s="1633" t="n"/>
      <c r="C205" s="1633" t="n"/>
      <c r="D205" s="1633" t="n"/>
      <c r="E205" s="1633" t="n"/>
      <c r="F205" s="1633" t="n"/>
      <c r="G205" s="1633" t="n"/>
      <c r="H205" s="1633" t="n"/>
      <c r="I205" s="1633" t="n"/>
      <c r="J205" s="1633" t="n"/>
      <c r="K205" s="1633" t="n"/>
      <c r="L205" s="1633" t="n"/>
      <c r="M205" s="1633" t="n"/>
      <c r="N205" s="1633" t="n"/>
      <c r="O205" s="1633" t="n"/>
      <c r="P205" s="1633" t="n"/>
      <c r="Q205" s="1633" t="n"/>
      <c r="R205" s="1633" t="n"/>
      <c r="S205" s="1633" t="n"/>
      <c r="T205" s="1633" t="n"/>
      <c r="U205" s="1633" t="n"/>
      <c r="V205" s="1633" t="n"/>
      <c r="W205" s="1633" t="n"/>
      <c r="X205" s="1633" t="n"/>
      <c r="Y205" s="1633" t="n"/>
      <c r="Z205" s="1633" t="n"/>
      <c r="AA205" s="1633" t="n"/>
      <c r="AB205" s="1633" t="n"/>
      <c r="AC205" s="1633" t="n"/>
      <c r="AD205" s="1633" t="n"/>
      <c r="AE205" s="1633" t="n"/>
      <c r="AF205" s="1633" t="n"/>
      <c r="AG205" s="1633" t="n"/>
      <c r="AH205" s="1633" t="n"/>
      <c r="AI205" s="1633" t="n"/>
      <c r="AJ205" s="1633" t="n"/>
      <c r="AK205" s="1633" t="n"/>
      <c r="AL205" s="1633" t="n"/>
      <c r="AM205" s="1633" t="n"/>
      <c r="AN205" s="1633" t="n"/>
      <c r="AO205" s="1633" t="n"/>
      <c r="AP205" s="1633" t="n"/>
      <c r="AQ205" s="1633" t="n"/>
      <c r="AR205" s="1633" t="n"/>
      <c r="AS205" s="1633" t="n"/>
      <c r="AT205" s="1633" t="n"/>
      <c r="AU205" s="1633" t="n"/>
      <c r="AV205" s="1633" t="n"/>
      <c r="AW205" s="1633" t="n"/>
      <c r="AX205" s="1633" t="n"/>
      <c r="AY205" s="1633" t="n"/>
      <c r="AZ205" s="1633" t="n"/>
    </row>
    <row r="206" ht="13.7" customFormat="1" customHeight="1" s="1573">
      <c r="B206" s="1633" t="n"/>
      <c r="C206" s="1633" t="n"/>
      <c r="D206" s="1633" t="n"/>
      <c r="E206" s="1633" t="n"/>
      <c r="F206" s="1633" t="n"/>
      <c r="G206" s="1633" t="n"/>
      <c r="H206" s="1633" t="n"/>
      <c r="I206" s="1633" t="n"/>
      <c r="J206" s="1633" t="n"/>
      <c r="K206" s="1633" t="n"/>
      <c r="L206" s="1633" t="n"/>
      <c r="M206" s="1633" t="n"/>
      <c r="N206" s="1633" t="n"/>
      <c r="O206" s="1633" t="n"/>
      <c r="P206" s="1633" t="n"/>
      <c r="Q206" s="1633" t="n"/>
      <c r="R206" s="1633" t="n"/>
      <c r="S206" s="1633" t="n"/>
      <c r="T206" s="1633" t="n"/>
      <c r="U206" s="1633" t="n"/>
      <c r="V206" s="1633" t="n"/>
      <c r="W206" s="1633" t="n"/>
      <c r="X206" s="1633" t="n"/>
      <c r="Y206" s="1633" t="n"/>
      <c r="Z206" s="1633" t="n"/>
      <c r="AA206" s="1633" t="n"/>
      <c r="AB206" s="1633" t="n"/>
      <c r="AC206" s="1633" t="n"/>
      <c r="AD206" s="1633" t="n"/>
      <c r="AE206" s="1633" t="n"/>
      <c r="AF206" s="1633" t="n"/>
      <c r="AG206" s="1633" t="n"/>
      <c r="AH206" s="1633" t="n"/>
      <c r="AI206" s="1633" t="n"/>
      <c r="AJ206" s="1633" t="n"/>
      <c r="AK206" s="1633" t="n"/>
      <c r="AL206" s="1633" t="n"/>
      <c r="AM206" s="1633" t="n"/>
      <c r="AN206" s="1633" t="n"/>
      <c r="AO206" s="1633" t="n"/>
      <c r="AP206" s="1633" t="n"/>
      <c r="AQ206" s="1633" t="n"/>
      <c r="AR206" s="1633" t="n"/>
      <c r="AS206" s="1633" t="n"/>
      <c r="AT206" s="1633" t="n"/>
      <c r="AU206" s="1633" t="n"/>
      <c r="AV206" s="1633" t="n"/>
      <c r="AW206" s="1633" t="n"/>
      <c r="AX206" s="1633" t="n"/>
      <c r="AY206" s="1633" t="n"/>
      <c r="AZ206" s="1633" t="n"/>
    </row>
    <row r="207" ht="13.7" customFormat="1" customHeight="1" s="1573">
      <c r="B207" s="1633" t="n"/>
      <c r="C207" s="1633" t="n"/>
      <c r="D207" s="1633" t="n"/>
      <c r="E207" s="1633" t="n"/>
      <c r="F207" s="1633" t="n"/>
      <c r="G207" s="1633" t="n"/>
      <c r="H207" s="1633" t="n"/>
      <c r="I207" s="1633" t="n"/>
      <c r="J207" s="1633" t="n"/>
      <c r="K207" s="1633" t="n"/>
      <c r="L207" s="1633" t="n"/>
      <c r="M207" s="1633" t="n"/>
      <c r="N207" s="1633" t="n"/>
      <c r="O207" s="1633" t="n"/>
      <c r="P207" s="1633" t="n"/>
      <c r="Q207" s="1633" t="n"/>
      <c r="R207" s="1633" t="n"/>
      <c r="S207" s="1633" t="n"/>
      <c r="T207" s="1633" t="n"/>
      <c r="U207" s="1633" t="n"/>
      <c r="V207" s="1633" t="n"/>
      <c r="W207" s="1633" t="n"/>
      <c r="X207" s="1633" t="n"/>
      <c r="Y207" s="1633" t="n"/>
      <c r="Z207" s="1633" t="n"/>
      <c r="AA207" s="1633" t="n"/>
      <c r="AB207" s="1633" t="n"/>
      <c r="AC207" s="1633" t="n"/>
      <c r="AD207" s="1633" t="n"/>
      <c r="AE207" s="1633" t="n"/>
      <c r="AF207" s="1633" t="n"/>
      <c r="AG207" s="1633" t="n"/>
      <c r="AH207" s="1633" t="n"/>
      <c r="AI207" s="1633" t="n"/>
      <c r="AJ207" s="1633" t="n"/>
      <c r="AK207" s="1633" t="n"/>
      <c r="AL207" s="1633" t="n"/>
      <c r="AM207" s="1633" t="n"/>
      <c r="AN207" s="1633" t="n"/>
      <c r="AO207" s="1633" t="n"/>
      <c r="AP207" s="1633" t="n"/>
      <c r="AQ207" s="1633" t="n"/>
      <c r="AR207" s="1633" t="n"/>
      <c r="AS207" s="1633" t="n"/>
      <c r="AT207" s="1633" t="n"/>
      <c r="AU207" s="1633" t="n"/>
      <c r="AV207" s="1633" t="n"/>
      <c r="AW207" s="1633" t="n"/>
      <c r="AX207" s="1633" t="n"/>
      <c r="AY207" s="1633" t="n"/>
      <c r="AZ207" s="1633" t="n"/>
    </row>
    <row r="208" ht="13.7" customFormat="1" customHeight="1" s="1573">
      <c r="B208" s="1633" t="n"/>
      <c r="C208" s="1633" t="n"/>
      <c r="D208" s="1633" t="n"/>
      <c r="E208" s="1633" t="n"/>
      <c r="F208" s="1633" t="n"/>
      <c r="G208" s="1633" t="n"/>
      <c r="H208" s="1633" t="n"/>
      <c r="I208" s="1633" t="n"/>
      <c r="J208" s="1633" t="n"/>
      <c r="K208" s="1633" t="n"/>
      <c r="L208" s="1633" t="n"/>
      <c r="M208" s="1633" t="n"/>
      <c r="N208" s="1633" t="n"/>
      <c r="O208" s="1633" t="n"/>
      <c r="P208" s="1633" t="n"/>
      <c r="Q208" s="1633" t="n"/>
      <c r="R208" s="1633" t="n"/>
      <c r="S208" s="1633" t="n"/>
      <c r="T208" s="1633" t="n"/>
      <c r="U208" s="1633" t="n"/>
      <c r="V208" s="1633" t="n"/>
      <c r="W208" s="1633" t="n"/>
      <c r="X208" s="1633" t="n"/>
      <c r="Y208" s="1633" t="n"/>
      <c r="Z208" s="1633" t="n"/>
      <c r="AA208" s="1633" t="n"/>
      <c r="AB208" s="1633" t="n"/>
      <c r="AC208" s="1633" t="n"/>
      <c r="AD208" s="1633" t="n"/>
      <c r="AE208" s="1633" t="n"/>
      <c r="AF208" s="1633" t="n"/>
      <c r="AG208" s="1633" t="n"/>
      <c r="AH208" s="1633" t="n"/>
      <c r="AI208" s="1633" t="n"/>
      <c r="AJ208" s="1633" t="n"/>
      <c r="AK208" s="1633" t="n"/>
      <c r="AL208" s="1633" t="n"/>
      <c r="AM208" s="1633" t="n"/>
      <c r="AN208" s="1633" t="n"/>
      <c r="AO208" s="1633" t="n"/>
      <c r="AP208" s="1633" t="n"/>
      <c r="AQ208" s="1633" t="n"/>
      <c r="AR208" s="1633" t="n"/>
      <c r="AS208" s="1633" t="n"/>
      <c r="AT208" s="1633" t="n"/>
      <c r="AU208" s="1633" t="n"/>
      <c r="AV208" s="1633" t="n"/>
      <c r="AW208" s="1633" t="n"/>
      <c r="AX208" s="1633" t="n"/>
      <c r="AY208" s="1633" t="n"/>
      <c r="AZ208" s="1633" t="n"/>
    </row>
    <row r="209" ht="13.7" customFormat="1" customHeight="1" s="1573">
      <c r="B209" s="1633" t="n"/>
      <c r="C209" s="1633" t="n"/>
      <c r="D209" s="1633" t="n"/>
      <c r="E209" s="1633" t="n"/>
      <c r="F209" s="1633" t="n"/>
      <c r="G209" s="1633" t="n"/>
      <c r="H209" s="1633" t="n"/>
      <c r="I209" s="1633" t="n"/>
      <c r="J209" s="1633" t="n"/>
      <c r="K209" s="1633" t="n"/>
      <c r="L209" s="1633" t="n"/>
      <c r="M209" s="1633" t="n"/>
      <c r="N209" s="1633" t="n"/>
      <c r="O209" s="1633" t="n"/>
      <c r="P209" s="1633" t="n"/>
      <c r="Q209" s="1633" t="n"/>
      <c r="R209" s="1633" t="n"/>
      <c r="S209" s="1633" t="n"/>
      <c r="T209" s="1633" t="n"/>
      <c r="U209" s="1633" t="n"/>
      <c r="V209" s="1633" t="n"/>
      <c r="W209" s="1633" t="n"/>
      <c r="X209" s="1633" t="n"/>
      <c r="Y209" s="1633" t="n"/>
      <c r="Z209" s="1633" t="n"/>
      <c r="AA209" s="1633" t="n"/>
      <c r="AB209" s="1633" t="n"/>
      <c r="AC209" s="1633" t="n"/>
      <c r="AD209" s="1633" t="n"/>
      <c r="AE209" s="1633" t="n"/>
      <c r="AF209" s="1633" t="n"/>
      <c r="AG209" s="1633" t="n"/>
      <c r="AH209" s="1633" t="n"/>
      <c r="AI209" s="1633" t="n"/>
      <c r="AJ209" s="1633" t="n"/>
      <c r="AK209" s="1633" t="n"/>
      <c r="AL209" s="1633" t="n"/>
      <c r="AM209" s="1633" t="n"/>
      <c r="AN209" s="1633" t="n"/>
      <c r="AO209" s="1633" t="n"/>
      <c r="AP209" s="1633" t="n"/>
      <c r="AQ209" s="1633" t="n"/>
      <c r="AR209" s="1633" t="n"/>
      <c r="AS209" s="1633" t="n"/>
      <c r="AT209" s="1633" t="n"/>
      <c r="AU209" s="1633" t="n"/>
      <c r="AV209" s="1633" t="n"/>
      <c r="AW209" s="1633" t="n"/>
      <c r="AX209" s="1633" t="n"/>
      <c r="AY209" s="1633" t="n"/>
      <c r="AZ209" s="1633" t="n"/>
    </row>
    <row r="210" ht="13.7" customFormat="1" customHeight="1" s="1573">
      <c r="B210" s="1633" t="n"/>
      <c r="C210" s="1633" t="n"/>
      <c r="D210" s="1633" t="n"/>
      <c r="E210" s="1633" t="n"/>
      <c r="F210" s="1633" t="n"/>
      <c r="G210" s="1633" t="n"/>
      <c r="H210" s="1633" t="n"/>
      <c r="I210" s="1633" t="n"/>
      <c r="J210" s="1633" t="n"/>
      <c r="K210" s="1633" t="n"/>
      <c r="L210" s="1633" t="n"/>
      <c r="M210" s="1633" t="n"/>
      <c r="N210" s="1633" t="n"/>
      <c r="O210" s="1633" t="n"/>
      <c r="P210" s="1633" t="n"/>
      <c r="Q210" s="1633" t="n"/>
      <c r="R210" s="1633" t="n"/>
      <c r="S210" s="1633" t="n"/>
      <c r="T210" s="1633" t="n"/>
      <c r="U210" s="1633" t="n"/>
      <c r="V210" s="1633" t="n"/>
      <c r="W210" s="1633" t="n"/>
      <c r="X210" s="1633" t="n"/>
      <c r="Y210" s="1633" t="n"/>
      <c r="Z210" s="1633" t="n"/>
      <c r="AA210" s="1633" t="n"/>
      <c r="AB210" s="1633" t="n"/>
      <c r="AC210" s="1633" t="n"/>
      <c r="AD210" s="1633" t="n"/>
      <c r="AE210" s="1633" t="n"/>
      <c r="AF210" s="1633" t="n"/>
      <c r="AG210" s="1633" t="n"/>
      <c r="AH210" s="1633" t="n"/>
      <c r="AI210" s="1633" t="n"/>
      <c r="AJ210" s="1633" t="n"/>
      <c r="AK210" s="1633" t="n"/>
      <c r="AL210" s="1633" t="n"/>
      <c r="AM210" s="1633" t="n"/>
      <c r="AN210" s="1633" t="n"/>
      <c r="AO210" s="1633" t="n"/>
      <c r="AP210" s="1633" t="n"/>
      <c r="AQ210" s="1633" t="n"/>
      <c r="AR210" s="1633" t="n"/>
      <c r="AS210" s="1633" t="n"/>
      <c r="AT210" s="1633" t="n"/>
      <c r="AU210" s="1633" t="n"/>
      <c r="AV210" s="1633" t="n"/>
      <c r="AW210" s="1633" t="n"/>
      <c r="AX210" s="1633" t="n"/>
      <c r="AY210" s="1633" t="n"/>
      <c r="AZ210" s="1633" t="n"/>
    </row>
    <row r="211" ht="13.7" customFormat="1" customHeight="1" s="1573">
      <c r="B211" s="1633" t="n"/>
      <c r="C211" s="1633" t="n"/>
      <c r="D211" s="1633" t="n"/>
      <c r="E211" s="1633" t="n"/>
      <c r="F211" s="1633" t="n"/>
      <c r="G211" s="1633" t="n"/>
      <c r="H211" s="1633" t="n"/>
      <c r="I211" s="1633" t="n"/>
      <c r="J211" s="1633" t="n"/>
      <c r="K211" s="1633" t="n"/>
      <c r="L211" s="1633" t="n"/>
      <c r="M211" s="1633" t="n"/>
      <c r="N211" s="1633" t="n"/>
      <c r="O211" s="1633" t="n"/>
      <c r="P211" s="1633" t="n"/>
      <c r="Q211" s="1633" t="n"/>
      <c r="R211" s="1633" t="n"/>
      <c r="S211" s="1633" t="n"/>
      <c r="T211" s="1633" t="n"/>
      <c r="U211" s="1633" t="n"/>
      <c r="V211" s="1633" t="n"/>
      <c r="W211" s="1633" t="n"/>
      <c r="X211" s="1633" t="n"/>
      <c r="Y211" s="1633" t="n"/>
      <c r="Z211" s="1633" t="n"/>
      <c r="AA211" s="1633" t="n"/>
      <c r="AB211" s="1633" t="n"/>
      <c r="AC211" s="1633" t="n"/>
      <c r="AD211" s="1633" t="n"/>
      <c r="AE211" s="1633" t="n"/>
      <c r="AF211" s="1633" t="n"/>
      <c r="AG211" s="1633" t="n"/>
      <c r="AH211" s="1633" t="n"/>
      <c r="AI211" s="1633" t="n"/>
      <c r="AJ211" s="1633" t="n"/>
      <c r="AK211" s="1633" t="n"/>
      <c r="AL211" s="1633" t="n"/>
      <c r="AM211" s="1633" t="n"/>
      <c r="AN211" s="1633" t="n"/>
      <c r="AO211" s="1633" t="n"/>
      <c r="AP211" s="1633" t="n"/>
      <c r="AQ211" s="1633" t="n"/>
      <c r="AR211" s="1633" t="n"/>
      <c r="AS211" s="1633" t="n"/>
      <c r="AT211" s="1633" t="n"/>
      <c r="AU211" s="1633" t="n"/>
      <c r="AV211" s="1633" t="n"/>
      <c r="AW211" s="1633" t="n"/>
      <c r="AX211" s="1633" t="n"/>
      <c r="AY211" s="1633" t="n"/>
      <c r="AZ211" s="1633" t="n"/>
    </row>
    <row r="212" ht="13.7" customFormat="1" customHeight="1" s="1573">
      <c r="B212" s="1633" t="n"/>
      <c r="C212" s="1633" t="n"/>
      <c r="D212" s="1633" t="n"/>
      <c r="E212" s="1633" t="n"/>
      <c r="F212" s="1633" t="n"/>
      <c r="G212" s="1633" t="n"/>
      <c r="H212" s="1633" t="n"/>
      <c r="I212" s="1633" t="n"/>
      <c r="J212" s="1633" t="n"/>
      <c r="K212" s="1633" t="n"/>
      <c r="L212" s="1633" t="n"/>
      <c r="M212" s="1633" t="n"/>
      <c r="N212" s="1633" t="n"/>
      <c r="O212" s="1633" t="n"/>
      <c r="P212" s="1633" t="n"/>
      <c r="Q212" s="1633" t="n"/>
      <c r="R212" s="1633" t="n"/>
      <c r="S212" s="1633" t="n"/>
      <c r="T212" s="1633" t="n"/>
      <c r="U212" s="1633" t="n"/>
      <c r="V212" s="1633" t="n"/>
      <c r="W212" s="1633" t="n"/>
      <c r="X212" s="1633" t="n"/>
      <c r="Y212" s="1633" t="n"/>
      <c r="Z212" s="1633" t="n"/>
      <c r="AA212" s="1633" t="n"/>
      <c r="AB212" s="1633" t="n"/>
      <c r="AC212" s="1633" t="n"/>
      <c r="AD212" s="1633" t="n"/>
      <c r="AE212" s="1633" t="n"/>
      <c r="AF212" s="1633" t="n"/>
      <c r="AG212" s="1633" t="n"/>
      <c r="AH212" s="1633" t="n"/>
      <c r="AI212" s="1633" t="n"/>
      <c r="AJ212" s="1633" t="n"/>
      <c r="AK212" s="1633" t="n"/>
      <c r="AL212" s="1633" t="n"/>
      <c r="AM212" s="1633" t="n"/>
      <c r="AN212" s="1633" t="n"/>
      <c r="AO212" s="1633" t="n"/>
      <c r="AP212" s="1633" t="n"/>
      <c r="AQ212" s="1633" t="n"/>
      <c r="AR212" s="1633" t="n"/>
      <c r="AS212" s="1633" t="n"/>
      <c r="AT212" s="1633" t="n"/>
      <c r="AU212" s="1633" t="n"/>
      <c r="AV212" s="1633" t="n"/>
      <c r="AW212" s="1633" t="n"/>
      <c r="AX212" s="1633" t="n"/>
      <c r="AY212" s="1633" t="n"/>
      <c r="AZ212" s="1633" t="n"/>
    </row>
    <row r="213" ht="13.7" customFormat="1" customHeight="1" s="1573">
      <c r="B213" s="1633" t="n"/>
      <c r="C213" s="1633" t="n"/>
      <c r="D213" s="1633" t="n"/>
      <c r="E213" s="1633" t="n"/>
      <c r="F213" s="1633" t="n"/>
      <c r="G213" s="1633" t="n"/>
      <c r="H213" s="1633" t="n"/>
      <c r="I213" s="1633" t="n"/>
      <c r="J213" s="1633" t="n"/>
      <c r="K213" s="1633" t="n"/>
      <c r="L213" s="1633" t="n"/>
      <c r="M213" s="1633" t="n"/>
      <c r="N213" s="1633" t="n"/>
      <c r="O213" s="1633" t="n"/>
      <c r="P213" s="1633" t="n"/>
      <c r="Q213" s="1633" t="n"/>
      <c r="R213" s="1633" t="n"/>
      <c r="S213" s="1633" t="n"/>
      <c r="T213" s="1633" t="n"/>
      <c r="U213" s="1633" t="n"/>
      <c r="V213" s="1633" t="n"/>
      <c r="W213" s="1633" t="n"/>
      <c r="X213" s="1633" t="n"/>
      <c r="Y213" s="1633" t="n"/>
      <c r="Z213" s="1633" t="n"/>
      <c r="AA213" s="1633" t="n"/>
      <c r="AB213" s="1633" t="n"/>
      <c r="AC213" s="1633" t="n"/>
      <c r="AD213" s="1633" t="n"/>
      <c r="AE213" s="1633" t="n"/>
      <c r="AF213" s="1633" t="n"/>
      <c r="AG213" s="1633" t="n"/>
      <c r="AH213" s="1633" t="n"/>
      <c r="AI213" s="1633" t="n"/>
      <c r="AJ213" s="1633" t="n"/>
      <c r="AK213" s="1633" t="n"/>
      <c r="AL213" s="1633" t="n"/>
      <c r="AM213" s="1633" t="n"/>
      <c r="AN213" s="1633" t="n"/>
      <c r="AO213" s="1633" t="n"/>
      <c r="AP213" s="1633" t="n"/>
      <c r="AQ213" s="1633" t="n"/>
      <c r="AR213" s="1633" t="n"/>
      <c r="AS213" s="1633" t="n"/>
      <c r="AT213" s="1633" t="n"/>
      <c r="AU213" s="1633" t="n"/>
      <c r="AV213" s="1633" t="n"/>
      <c r="AW213" s="1633" t="n"/>
      <c r="AX213" s="1633" t="n"/>
      <c r="AY213" s="1633" t="n"/>
      <c r="AZ213" s="1633" t="n"/>
    </row>
    <row r="214" ht="13.7" customFormat="1" customHeight="1" s="1573">
      <c r="B214" s="1633" t="n"/>
      <c r="C214" s="1633" t="n"/>
      <c r="D214" s="1633" t="n"/>
      <c r="E214" s="1633" t="n"/>
      <c r="F214" s="1633" t="n"/>
      <c r="G214" s="1633" t="n"/>
      <c r="H214" s="1633" t="n"/>
      <c r="I214" s="1633" t="n"/>
      <c r="J214" s="1633" t="n"/>
      <c r="K214" s="1633" t="n"/>
      <c r="L214" s="1633" t="n"/>
      <c r="M214" s="1633" t="n"/>
      <c r="N214" s="1633" t="n"/>
      <c r="O214" s="1633" t="n"/>
      <c r="P214" s="1633" t="n"/>
      <c r="Q214" s="1633" t="n"/>
      <c r="R214" s="1633" t="n"/>
      <c r="S214" s="1633" t="n"/>
      <c r="T214" s="1633" t="n"/>
      <c r="U214" s="1633" t="n"/>
      <c r="V214" s="1633" t="n"/>
      <c r="W214" s="1633" t="n"/>
      <c r="X214" s="1633" t="n"/>
      <c r="Y214" s="1633" t="n"/>
      <c r="Z214" s="1633" t="n"/>
      <c r="AA214" s="1633" t="n"/>
      <c r="AB214" s="1633" t="n"/>
      <c r="AC214" s="1633" t="n"/>
      <c r="AD214" s="1633" t="n"/>
      <c r="AE214" s="1633" t="n"/>
      <c r="AF214" s="1633" t="n"/>
      <c r="AG214" s="1633" t="n"/>
      <c r="AH214" s="1633" t="n"/>
      <c r="AI214" s="1633" t="n"/>
      <c r="AJ214" s="1633" t="n"/>
      <c r="AK214" s="1633" t="n"/>
      <c r="AL214" s="1633" t="n"/>
      <c r="AM214" s="1633" t="n"/>
      <c r="AN214" s="1633" t="n"/>
      <c r="AO214" s="1633" t="n"/>
      <c r="AP214" s="1633" t="n"/>
      <c r="AQ214" s="1633" t="n"/>
      <c r="AR214" s="1633" t="n"/>
      <c r="AS214" s="1633" t="n"/>
      <c r="AT214" s="1633" t="n"/>
      <c r="AU214" s="1633" t="n"/>
      <c r="AV214" s="1633" t="n"/>
      <c r="AW214" s="1633" t="n"/>
      <c r="AX214" s="1633" t="n"/>
      <c r="AY214" s="1633" t="n"/>
      <c r="AZ214" s="1633" t="n"/>
    </row>
    <row r="215" ht="13.7" customFormat="1" customHeight="1" s="1573">
      <c r="B215" s="1633" t="n"/>
      <c r="C215" s="1633" t="n"/>
      <c r="D215" s="1633" t="n"/>
      <c r="E215" s="1633" t="n"/>
      <c r="F215" s="1633" t="n"/>
      <c r="G215" s="1633" t="n"/>
      <c r="H215" s="1633" t="n"/>
      <c r="I215" s="1633" t="n"/>
      <c r="J215" s="1633" t="n"/>
      <c r="K215" s="1633" t="n"/>
      <c r="L215" s="1633" t="n"/>
      <c r="M215" s="1633" t="n"/>
      <c r="N215" s="1633" t="n"/>
      <c r="O215" s="1633" t="n"/>
      <c r="P215" s="1633" t="n"/>
      <c r="Q215" s="1633" t="n"/>
      <c r="R215" s="1633" t="n"/>
      <c r="S215" s="1633" t="n"/>
      <c r="T215" s="1633" t="n"/>
      <c r="U215" s="1633" t="n"/>
      <c r="V215" s="1633" t="n"/>
      <c r="W215" s="1633" t="n"/>
      <c r="X215" s="1633" t="n"/>
      <c r="Y215" s="1633" t="n"/>
      <c r="Z215" s="1633" t="n"/>
      <c r="AA215" s="1633" t="n"/>
      <c r="AB215" s="1633" t="n"/>
      <c r="AC215" s="1633" t="n"/>
      <c r="AD215" s="1633" t="n"/>
      <c r="AE215" s="1633" t="n"/>
      <c r="AF215" s="1633" t="n"/>
      <c r="AG215" s="1633" t="n"/>
      <c r="AH215" s="1633" t="n"/>
      <c r="AI215" s="1633" t="n"/>
      <c r="AJ215" s="1633" t="n"/>
      <c r="AK215" s="1633" t="n"/>
      <c r="AL215" s="1633" t="n"/>
      <c r="AM215" s="1633" t="n"/>
      <c r="AN215" s="1633" t="n"/>
      <c r="AO215" s="1633" t="n"/>
      <c r="AP215" s="1633" t="n"/>
      <c r="AQ215" s="1633" t="n"/>
      <c r="AR215" s="1633" t="n"/>
      <c r="AS215" s="1633" t="n"/>
      <c r="AT215" s="1633" t="n"/>
      <c r="AU215" s="1633" t="n"/>
      <c r="AV215" s="1633" t="n"/>
      <c r="AW215" s="1633" t="n"/>
      <c r="AX215" s="1633" t="n"/>
      <c r="AY215" s="1633" t="n"/>
      <c r="AZ215" s="1633" t="n"/>
    </row>
    <row r="216" ht="13.7" customFormat="1" customHeight="1" s="1573">
      <c r="B216" s="1633" t="n"/>
      <c r="C216" s="1633" t="n"/>
      <c r="D216" s="1633" t="n"/>
      <c r="E216" s="1633" t="n"/>
      <c r="F216" s="1633" t="n"/>
      <c r="G216" s="1633" t="n"/>
      <c r="H216" s="1633" t="n"/>
      <c r="I216" s="1633" t="n"/>
      <c r="J216" s="1633" t="n"/>
      <c r="K216" s="1633" t="n"/>
      <c r="L216" s="1633" t="n"/>
      <c r="M216" s="1633" t="n"/>
      <c r="N216" s="1633" t="n"/>
      <c r="O216" s="1633" t="n"/>
      <c r="P216" s="1633" t="n"/>
      <c r="Q216" s="1633" t="n"/>
      <c r="R216" s="1633" t="n"/>
      <c r="S216" s="1633" t="n"/>
      <c r="T216" s="1633" t="n"/>
      <c r="U216" s="1633" t="n"/>
      <c r="V216" s="1633" t="n"/>
      <c r="W216" s="1633" t="n"/>
      <c r="X216" s="1633" t="n"/>
      <c r="Y216" s="1633" t="n"/>
      <c r="Z216" s="1633" t="n"/>
      <c r="AA216" s="1633" t="n"/>
      <c r="AB216" s="1633" t="n"/>
      <c r="AC216" s="1633" t="n"/>
      <c r="AD216" s="1633" t="n"/>
      <c r="AE216" s="1633" t="n"/>
      <c r="AF216" s="1633" t="n"/>
      <c r="AG216" s="1633" t="n"/>
      <c r="AH216" s="1633" t="n"/>
      <c r="AI216" s="1633" t="n"/>
      <c r="AJ216" s="1633" t="n"/>
      <c r="AK216" s="1633" t="n"/>
      <c r="AL216" s="1633" t="n"/>
      <c r="AM216" s="1633" t="n"/>
      <c r="AN216" s="1633" t="n"/>
      <c r="AO216" s="1633" t="n"/>
      <c r="AP216" s="1633" t="n"/>
      <c r="AQ216" s="1633" t="n"/>
      <c r="AR216" s="1633" t="n"/>
      <c r="AS216" s="1633" t="n"/>
      <c r="AT216" s="1633" t="n"/>
      <c r="AU216" s="1633" t="n"/>
      <c r="AV216" s="1633" t="n"/>
      <c r="AW216" s="1633" t="n"/>
      <c r="AX216" s="1633" t="n"/>
      <c r="AY216" s="1633" t="n"/>
      <c r="AZ216" s="1633" t="n"/>
    </row>
    <row r="217" ht="13.7" customFormat="1" customHeight="1" s="1573">
      <c r="B217" s="1633" t="n"/>
      <c r="C217" s="1633" t="n"/>
      <c r="D217" s="1633" t="n"/>
      <c r="E217" s="1633" t="n"/>
      <c r="F217" s="1633" t="n"/>
      <c r="G217" s="1633" t="n"/>
      <c r="H217" s="1633" t="n"/>
      <c r="I217" s="1633" t="n"/>
      <c r="J217" s="1633" t="n"/>
      <c r="K217" s="1633" t="n"/>
      <c r="L217" s="1633" t="n"/>
      <c r="M217" s="1633" t="n"/>
      <c r="N217" s="1633" t="n"/>
      <c r="O217" s="1633" t="n"/>
      <c r="P217" s="1633" t="n"/>
      <c r="Q217" s="1633" t="n"/>
      <c r="R217" s="1633" t="n"/>
      <c r="S217" s="1633" t="n"/>
      <c r="T217" s="1633" t="n"/>
      <c r="U217" s="1633" t="n"/>
      <c r="V217" s="1633" t="n"/>
      <c r="W217" s="1633" t="n"/>
      <c r="X217" s="1633" t="n"/>
      <c r="Y217" s="1633" t="n"/>
      <c r="Z217" s="1633" t="n"/>
      <c r="AA217" s="1633" t="n"/>
      <c r="AB217" s="1633" t="n"/>
      <c r="AC217" s="1633" t="n"/>
      <c r="AD217" s="1633" t="n"/>
      <c r="AE217" s="1633" t="n"/>
      <c r="AF217" s="1633" t="n"/>
      <c r="AG217" s="1633" t="n"/>
      <c r="AH217" s="1633" t="n"/>
      <c r="AI217" s="1633" t="n"/>
      <c r="AJ217" s="1633" t="n"/>
      <c r="AK217" s="1633" t="n"/>
      <c r="AL217" s="1633" t="n"/>
      <c r="AM217" s="1633" t="n"/>
      <c r="AN217" s="1633" t="n"/>
      <c r="AO217" s="1633" t="n"/>
      <c r="AP217" s="1633" t="n"/>
      <c r="AQ217" s="1633" t="n"/>
      <c r="AR217" s="1633" t="n"/>
      <c r="AS217" s="1633" t="n"/>
      <c r="AT217" s="1633" t="n"/>
      <c r="AU217" s="1633" t="n"/>
      <c r="AV217" s="1633" t="n"/>
      <c r="AW217" s="1633" t="n"/>
      <c r="AX217" s="1633" t="n"/>
      <c r="AY217" s="1633" t="n"/>
      <c r="AZ217" s="1633" t="n"/>
    </row>
    <row r="218" ht="13.7" customFormat="1" customHeight="1" s="1573">
      <c r="B218" s="1633" t="n"/>
      <c r="C218" s="1633" t="n"/>
      <c r="D218" s="1633" t="n"/>
      <c r="E218" s="1633" t="n"/>
      <c r="F218" s="1633" t="n"/>
      <c r="G218" s="1633" t="n"/>
      <c r="H218" s="1633" t="n"/>
      <c r="I218" s="1633" t="n"/>
      <c r="J218" s="1633" t="n"/>
      <c r="K218" s="1633" t="n"/>
      <c r="L218" s="1633" t="n"/>
      <c r="M218" s="1633" t="n"/>
      <c r="N218" s="1633" t="n"/>
      <c r="O218" s="1633" t="n"/>
      <c r="P218" s="1633" t="n"/>
      <c r="Q218" s="1633" t="n"/>
      <c r="R218" s="1633" t="n"/>
      <c r="S218" s="1633" t="n"/>
      <c r="T218" s="1633" t="n"/>
      <c r="U218" s="1633" t="n"/>
      <c r="V218" s="1633" t="n"/>
      <c r="W218" s="1633" t="n"/>
      <c r="X218" s="1633" t="n"/>
      <c r="Y218" s="1633" t="n"/>
      <c r="Z218" s="1633" t="n"/>
      <c r="AA218" s="1633" t="n"/>
      <c r="AB218" s="1633" t="n"/>
      <c r="AC218" s="1633" t="n"/>
      <c r="AD218" s="1633" t="n"/>
      <c r="AE218" s="1633" t="n"/>
      <c r="AF218" s="1633" t="n"/>
      <c r="AG218" s="1633" t="n"/>
      <c r="AH218" s="1633" t="n"/>
      <c r="AI218" s="1633" t="n"/>
      <c r="AJ218" s="1633" t="n"/>
      <c r="AK218" s="1633" t="n"/>
      <c r="AL218" s="1633" t="n"/>
      <c r="AM218" s="1633" t="n"/>
      <c r="AN218" s="1633" t="n"/>
      <c r="AO218" s="1633" t="n"/>
      <c r="AP218" s="1633" t="n"/>
      <c r="AQ218" s="1633" t="n"/>
      <c r="AR218" s="1633" t="n"/>
      <c r="AS218" s="1633" t="n"/>
      <c r="AT218" s="1633" t="n"/>
      <c r="AU218" s="1633" t="n"/>
      <c r="AV218" s="1633" t="n"/>
      <c r="AW218" s="1633" t="n"/>
      <c r="AX218" s="1633" t="n"/>
      <c r="AY218" s="1633" t="n"/>
      <c r="AZ218" s="1633" t="n"/>
    </row>
    <row r="219" ht="13.7" customFormat="1" customHeight="1" s="1573">
      <c r="B219" s="1633" t="n"/>
      <c r="C219" s="1633" t="n"/>
      <c r="D219" s="1633" t="n"/>
      <c r="E219" s="1633" t="n"/>
      <c r="F219" s="1633" t="n"/>
      <c r="G219" s="1633" t="n"/>
      <c r="H219" s="1633" t="n"/>
      <c r="I219" s="1633" t="n"/>
      <c r="J219" s="1633" t="n"/>
      <c r="K219" s="1633" t="n"/>
      <c r="L219" s="1633" t="n"/>
      <c r="M219" s="1633" t="n"/>
      <c r="N219" s="1633" t="n"/>
      <c r="O219" s="1633" t="n"/>
      <c r="P219" s="1633" t="n"/>
      <c r="Q219" s="1633" t="n"/>
      <c r="R219" s="1633" t="n"/>
      <c r="S219" s="1633" t="n"/>
      <c r="T219" s="1633" t="n"/>
      <c r="U219" s="1633" t="n"/>
      <c r="V219" s="1633" t="n"/>
      <c r="W219" s="1633" t="n"/>
      <c r="X219" s="1633" t="n"/>
      <c r="Y219" s="1633" t="n"/>
      <c r="Z219" s="1633" t="n"/>
      <c r="AA219" s="1633" t="n"/>
      <c r="AB219" s="1633" t="n"/>
      <c r="AC219" s="1633" t="n"/>
      <c r="AD219" s="1633" t="n"/>
      <c r="AE219" s="1633" t="n"/>
      <c r="AF219" s="1633" t="n"/>
      <c r="AG219" s="1633" t="n"/>
      <c r="AH219" s="1633" t="n"/>
      <c r="AI219" s="1633" t="n"/>
      <c r="AJ219" s="1633" t="n"/>
      <c r="AK219" s="1633" t="n"/>
      <c r="AL219" s="1633" t="n"/>
      <c r="AM219" s="1633" t="n"/>
      <c r="AN219" s="1633" t="n"/>
      <c r="AO219" s="1633" t="n"/>
      <c r="AP219" s="1633" t="n"/>
      <c r="AQ219" s="1633" t="n"/>
      <c r="AR219" s="1633" t="n"/>
      <c r="AS219" s="1633" t="n"/>
      <c r="AT219" s="1633" t="n"/>
      <c r="AU219" s="1633" t="n"/>
      <c r="AV219" s="1633" t="n"/>
      <c r="AW219" s="1633" t="n"/>
      <c r="AX219" s="1633" t="n"/>
      <c r="AY219" s="1633" t="n"/>
      <c r="AZ219" s="1633" t="n"/>
    </row>
    <row r="220" ht="13.7" customFormat="1" customHeight="1" s="1573">
      <c r="B220" s="1633" t="n"/>
      <c r="C220" s="1633" t="n"/>
      <c r="D220" s="1633" t="n"/>
      <c r="E220" s="1633" t="n"/>
      <c r="F220" s="1633" t="n"/>
      <c r="G220" s="1633" t="n"/>
      <c r="H220" s="1633" t="n"/>
      <c r="I220" s="1633" t="n"/>
      <c r="J220" s="1633" t="n"/>
      <c r="K220" s="1633" t="n"/>
      <c r="L220" s="1633" t="n"/>
      <c r="M220" s="1633" t="n"/>
      <c r="N220" s="1633" t="n"/>
      <c r="O220" s="1633" t="n"/>
      <c r="P220" s="1633" t="n"/>
      <c r="Q220" s="1633" t="n"/>
      <c r="R220" s="1633" t="n"/>
      <c r="S220" s="1633" t="n"/>
      <c r="T220" s="1633" t="n"/>
      <c r="U220" s="1633" t="n"/>
      <c r="V220" s="1633" t="n"/>
      <c r="W220" s="1633" t="n"/>
      <c r="X220" s="1633" t="n"/>
      <c r="Y220" s="1633" t="n"/>
      <c r="Z220" s="1633" t="n"/>
      <c r="AA220" s="1633" t="n"/>
      <c r="AB220" s="1633" t="n"/>
      <c r="AC220" s="1633" t="n"/>
      <c r="AD220" s="1633" t="n"/>
      <c r="AE220" s="1633" t="n"/>
      <c r="AF220" s="1633" t="n"/>
      <c r="AG220" s="1633" t="n"/>
      <c r="AH220" s="1633" t="n"/>
      <c r="AI220" s="1633" t="n"/>
      <c r="AJ220" s="1633" t="n"/>
      <c r="AK220" s="1633" t="n"/>
      <c r="AL220" s="1633" t="n"/>
      <c r="AM220" s="1633" t="n"/>
      <c r="AN220" s="1633" t="n"/>
      <c r="AO220" s="1633" t="n"/>
      <c r="AP220" s="1633" t="n"/>
      <c r="AQ220" s="1633" t="n"/>
      <c r="AR220" s="1633" t="n"/>
      <c r="AS220" s="1633" t="n"/>
      <c r="AT220" s="1633" t="n"/>
      <c r="AU220" s="1633" t="n"/>
      <c r="AV220" s="1633" t="n"/>
      <c r="AW220" s="1633" t="n"/>
      <c r="AX220" s="1633" t="n"/>
      <c r="AY220" s="1633" t="n"/>
      <c r="AZ220" s="1633" t="n"/>
    </row>
    <row r="221" ht="13.7" customFormat="1" customHeight="1" s="1573">
      <c r="B221" s="1633" t="n"/>
      <c r="C221" s="1633" t="n"/>
      <c r="D221" s="1633" t="n"/>
      <c r="E221" s="1633" t="n"/>
      <c r="F221" s="1633" t="n"/>
      <c r="G221" s="1633" t="n"/>
      <c r="H221" s="1633" t="n"/>
      <c r="I221" s="1633" t="n"/>
      <c r="J221" s="1633" t="n"/>
      <c r="K221" s="1633" t="n"/>
      <c r="L221" s="1633" t="n"/>
      <c r="M221" s="1633" t="n"/>
      <c r="N221" s="1633" t="n"/>
      <c r="O221" s="1633" t="n"/>
      <c r="P221" s="1633" t="n"/>
      <c r="Q221" s="1633" t="n"/>
      <c r="R221" s="1633" t="n"/>
      <c r="S221" s="1633" t="n"/>
      <c r="T221" s="1633" t="n"/>
      <c r="U221" s="1633" t="n"/>
      <c r="V221" s="1633" t="n"/>
      <c r="W221" s="1633" t="n"/>
      <c r="X221" s="1633" t="n"/>
      <c r="Y221" s="1633" t="n"/>
      <c r="Z221" s="1633" t="n"/>
      <c r="AA221" s="1633" t="n"/>
      <c r="AB221" s="1633" t="n"/>
      <c r="AC221" s="1633" t="n"/>
      <c r="AD221" s="1633" t="n"/>
      <c r="AE221" s="1633" t="n"/>
      <c r="AF221" s="1633" t="n"/>
      <c r="AG221" s="1633" t="n"/>
      <c r="AH221" s="1633" t="n"/>
      <c r="AI221" s="1633" t="n"/>
      <c r="AJ221" s="1633" t="n"/>
      <c r="AK221" s="1633" t="n"/>
      <c r="AL221" s="1633" t="n"/>
      <c r="AM221" s="1633" t="n"/>
      <c r="AN221" s="1633" t="n"/>
      <c r="AO221" s="1633" t="n"/>
      <c r="AP221" s="1633" t="n"/>
      <c r="AQ221" s="1633" t="n"/>
      <c r="AR221" s="1633" t="n"/>
      <c r="AS221" s="1633" t="n"/>
      <c r="AT221" s="1633" t="n"/>
      <c r="AU221" s="1633" t="n"/>
      <c r="AV221" s="1633" t="n"/>
      <c r="AW221" s="1633" t="n"/>
      <c r="AX221" s="1633" t="n"/>
      <c r="AY221" s="1633" t="n"/>
      <c r="AZ221" s="1633" t="n"/>
    </row>
    <row r="222" ht="13.7" customFormat="1" customHeight="1" s="1573">
      <c r="B222" s="1633" t="n"/>
      <c r="C222" s="1633" t="n"/>
      <c r="D222" s="1633" t="n"/>
      <c r="E222" s="1633" t="n"/>
      <c r="F222" s="1633" t="n"/>
      <c r="G222" s="1633" t="n"/>
      <c r="H222" s="1633" t="n"/>
      <c r="I222" s="1633" t="n"/>
      <c r="J222" s="1633" t="n"/>
      <c r="K222" s="1633" t="n"/>
      <c r="L222" s="1633" t="n"/>
      <c r="M222" s="1633" t="n"/>
      <c r="N222" s="1633" t="n"/>
      <c r="O222" s="1633" t="n"/>
      <c r="P222" s="1633" t="n"/>
      <c r="Q222" s="1633" t="n"/>
      <c r="R222" s="1633" t="n"/>
      <c r="S222" s="1633" t="n"/>
      <c r="T222" s="1633" t="n"/>
      <c r="U222" s="1633" t="n"/>
      <c r="V222" s="1633" t="n"/>
      <c r="W222" s="1633" t="n"/>
      <c r="X222" s="1633" t="n"/>
      <c r="Y222" s="1633" t="n"/>
      <c r="Z222" s="1633" t="n"/>
      <c r="AA222" s="1633" t="n"/>
      <c r="AB222" s="1633" t="n"/>
      <c r="AC222" s="1633" t="n"/>
      <c r="AD222" s="1633" t="n"/>
      <c r="AE222" s="1633" t="n"/>
      <c r="AF222" s="1633" t="n"/>
      <c r="AG222" s="1633" t="n"/>
      <c r="AH222" s="1633" t="n"/>
      <c r="AI222" s="1633" t="n"/>
      <c r="AJ222" s="1633" t="n"/>
      <c r="AK222" s="1633" t="n"/>
      <c r="AL222" s="1633" t="n"/>
      <c r="AM222" s="1633" t="n"/>
      <c r="AN222" s="1633" t="n"/>
      <c r="AO222" s="1633" t="n"/>
      <c r="AP222" s="1633" t="n"/>
      <c r="AQ222" s="1633" t="n"/>
      <c r="AR222" s="1633" t="n"/>
      <c r="AS222" s="1633" t="n"/>
      <c r="AT222" s="1633" t="n"/>
      <c r="AU222" s="1633" t="n"/>
      <c r="AV222" s="1633" t="n"/>
      <c r="AW222" s="1633" t="n"/>
      <c r="AX222" s="1633" t="n"/>
      <c r="AY222" s="1633" t="n"/>
      <c r="AZ222" s="1633" t="n"/>
    </row>
    <row r="223" ht="13.7" customFormat="1" customHeight="1" s="1573">
      <c r="B223" s="1633" t="n"/>
      <c r="C223" s="1633" t="n"/>
      <c r="D223" s="1633" t="n"/>
      <c r="E223" s="1633" t="n"/>
      <c r="F223" s="1633" t="n"/>
      <c r="G223" s="1633" t="n"/>
      <c r="H223" s="1633" t="n"/>
      <c r="I223" s="1633" t="n"/>
      <c r="J223" s="1633" t="n"/>
      <c r="K223" s="1633" t="n"/>
      <c r="L223" s="1633" t="n"/>
      <c r="M223" s="1633" t="n"/>
      <c r="N223" s="1633" t="n"/>
      <c r="O223" s="1633" t="n"/>
      <c r="P223" s="1633" t="n"/>
      <c r="Q223" s="1633" t="n"/>
      <c r="R223" s="1633" t="n"/>
      <c r="S223" s="1633" t="n"/>
      <c r="T223" s="1633" t="n"/>
      <c r="U223" s="1633" t="n"/>
      <c r="V223" s="1633" t="n"/>
      <c r="W223" s="1633" t="n"/>
      <c r="X223" s="1633" t="n"/>
      <c r="Y223" s="1633" t="n"/>
      <c r="Z223" s="1633" t="n"/>
      <c r="AA223" s="1633" t="n"/>
      <c r="AB223" s="1633" t="n"/>
      <c r="AC223" s="1633" t="n"/>
      <c r="AD223" s="1633" t="n"/>
      <c r="AE223" s="1633" t="n"/>
      <c r="AF223" s="1633" t="n"/>
      <c r="AG223" s="1633" t="n"/>
      <c r="AH223" s="1633" t="n"/>
      <c r="AI223" s="1633" t="n"/>
      <c r="AJ223" s="1633" t="n"/>
      <c r="AK223" s="1633" t="n"/>
      <c r="AL223" s="1633" t="n"/>
      <c r="AM223" s="1633" t="n"/>
      <c r="AN223" s="1633" t="n"/>
      <c r="AO223" s="1633" t="n"/>
      <c r="AP223" s="1633" t="n"/>
      <c r="AQ223" s="1633" t="n"/>
      <c r="AR223" s="1633" t="n"/>
      <c r="AS223" s="1633" t="n"/>
      <c r="AT223" s="1633" t="n"/>
      <c r="AU223" s="1633" t="n"/>
      <c r="AV223" s="1633" t="n"/>
      <c r="AW223" s="1633" t="n"/>
      <c r="AX223" s="1633" t="n"/>
      <c r="AY223" s="1633" t="n"/>
      <c r="AZ223" s="1633" t="n"/>
    </row>
    <row r="224" ht="13.7" customFormat="1" customHeight="1" s="1573">
      <c r="B224" s="1633" t="n"/>
      <c r="C224" s="1633" t="n"/>
      <c r="D224" s="1633" t="n"/>
      <c r="E224" s="1633" t="n"/>
      <c r="F224" s="1633" t="n"/>
      <c r="G224" s="1633" t="n"/>
      <c r="H224" s="1633" t="n"/>
      <c r="I224" s="1633" t="n"/>
      <c r="J224" s="1633" t="n"/>
      <c r="K224" s="1633" t="n"/>
      <c r="L224" s="1633" t="n"/>
      <c r="M224" s="1633" t="n"/>
      <c r="N224" s="1633" t="n"/>
      <c r="O224" s="1633" t="n"/>
      <c r="P224" s="1633" t="n"/>
      <c r="Q224" s="1633" t="n"/>
      <c r="R224" s="1633" t="n"/>
      <c r="S224" s="1633" t="n"/>
      <c r="T224" s="1633" t="n"/>
      <c r="U224" s="1633" t="n"/>
      <c r="V224" s="1633" t="n"/>
      <c r="W224" s="1633" t="n"/>
      <c r="X224" s="1633" t="n"/>
      <c r="Y224" s="1633" t="n"/>
      <c r="Z224" s="1633" t="n"/>
      <c r="AA224" s="1633" t="n"/>
      <c r="AB224" s="1633" t="n"/>
      <c r="AC224" s="1633" t="n"/>
      <c r="AD224" s="1633" t="n"/>
      <c r="AE224" s="1633" t="n"/>
      <c r="AF224" s="1633" t="n"/>
      <c r="AG224" s="1633" t="n"/>
      <c r="AH224" s="1633" t="n"/>
      <c r="AI224" s="1633" t="n"/>
      <c r="AJ224" s="1633" t="n"/>
      <c r="AK224" s="1633" t="n"/>
      <c r="AL224" s="1633" t="n"/>
      <c r="AM224" s="1633" t="n"/>
      <c r="AN224" s="1633" t="n"/>
      <c r="AO224" s="1633" t="n"/>
      <c r="AP224" s="1633" t="n"/>
      <c r="AQ224" s="1633" t="n"/>
      <c r="AR224" s="1633" t="n"/>
      <c r="AS224" s="1633" t="n"/>
      <c r="AT224" s="1633" t="n"/>
      <c r="AU224" s="1633" t="n"/>
      <c r="AV224" s="1633" t="n"/>
      <c r="AW224" s="1633" t="n"/>
      <c r="AX224" s="1633" t="n"/>
      <c r="AY224" s="1633" t="n"/>
      <c r="AZ224" s="1633" t="n"/>
    </row>
    <row r="225" ht="13.7" customFormat="1" customHeight="1" s="1573">
      <c r="B225" s="1633" t="n"/>
      <c r="C225" s="1633" t="n"/>
      <c r="D225" s="1633" t="n"/>
      <c r="E225" s="1633" t="n"/>
      <c r="F225" s="1633" t="n"/>
      <c r="G225" s="1633" t="n"/>
      <c r="H225" s="1633" t="n"/>
      <c r="I225" s="1633" t="n"/>
      <c r="J225" s="1633" t="n"/>
      <c r="K225" s="1633" t="n"/>
      <c r="L225" s="1633" t="n"/>
      <c r="M225" s="1633" t="n"/>
      <c r="N225" s="1633" t="n"/>
      <c r="O225" s="1633" t="n"/>
      <c r="P225" s="1633" t="n"/>
      <c r="Q225" s="1633" t="n"/>
      <c r="R225" s="1633" t="n"/>
      <c r="S225" s="1633" t="n"/>
      <c r="T225" s="1633" t="n"/>
      <c r="U225" s="1633" t="n"/>
      <c r="V225" s="1633" t="n"/>
      <c r="W225" s="1633" t="n"/>
      <c r="X225" s="1633" t="n"/>
      <c r="Y225" s="1633" t="n"/>
      <c r="Z225" s="1633" t="n"/>
      <c r="AA225" s="1633" t="n"/>
      <c r="AB225" s="1633" t="n"/>
      <c r="AC225" s="1633" t="n"/>
      <c r="AD225" s="1633" t="n"/>
      <c r="AE225" s="1633" t="n"/>
      <c r="AF225" s="1633" t="n"/>
      <c r="AG225" s="1633" t="n"/>
      <c r="AH225" s="1633" t="n"/>
      <c r="AI225" s="1633" t="n"/>
      <c r="AJ225" s="1633" t="n"/>
      <c r="AK225" s="1633" t="n"/>
      <c r="AL225" s="1633" t="n"/>
      <c r="AM225" s="1633" t="n"/>
      <c r="AN225" s="1633" t="n"/>
      <c r="AO225" s="1633" t="n"/>
      <c r="AP225" s="1633" t="n"/>
      <c r="AQ225" s="1633" t="n"/>
      <c r="AR225" s="1633" t="n"/>
      <c r="AS225" s="1633" t="n"/>
      <c r="AT225" s="1633" t="n"/>
      <c r="AU225" s="1633" t="n"/>
      <c r="AV225" s="1633" t="n"/>
      <c r="AW225" s="1633" t="n"/>
      <c r="AX225" s="1633" t="n"/>
      <c r="AY225" s="1633" t="n"/>
      <c r="AZ225" s="1633" t="n"/>
    </row>
    <row r="226" ht="13.7" customFormat="1" customHeight="1" s="1573">
      <c r="B226" s="1633" t="n"/>
      <c r="C226" s="1633" t="n"/>
      <c r="D226" s="1633" t="n"/>
      <c r="E226" s="1633" t="n"/>
      <c r="F226" s="1633" t="n"/>
      <c r="G226" s="1633" t="n"/>
      <c r="H226" s="1633" t="n"/>
      <c r="I226" s="1633" t="n"/>
      <c r="J226" s="1633" t="n"/>
      <c r="K226" s="1633" t="n"/>
      <c r="L226" s="1633" t="n"/>
      <c r="M226" s="1633" t="n"/>
      <c r="N226" s="1633" t="n"/>
      <c r="O226" s="1633" t="n"/>
      <c r="P226" s="1633" t="n"/>
      <c r="Q226" s="1633" t="n"/>
      <c r="R226" s="1633" t="n"/>
      <c r="S226" s="1633" t="n"/>
      <c r="T226" s="1633" t="n"/>
      <c r="U226" s="1633" t="n"/>
      <c r="V226" s="1633" t="n"/>
      <c r="W226" s="1633" t="n"/>
      <c r="X226" s="1633" t="n"/>
      <c r="Y226" s="1633" t="n"/>
      <c r="Z226" s="1633" t="n"/>
      <c r="AA226" s="1633" t="n"/>
      <c r="AB226" s="1633" t="n"/>
      <c r="AC226" s="1633" t="n"/>
      <c r="AD226" s="1633" t="n"/>
      <c r="AE226" s="1633" t="n"/>
      <c r="AF226" s="1633" t="n"/>
      <c r="AG226" s="1633" t="n"/>
      <c r="AH226" s="1633" t="n"/>
      <c r="AI226" s="1633" t="n"/>
      <c r="AJ226" s="1633" t="n"/>
      <c r="AK226" s="1633" t="n"/>
      <c r="AL226" s="1633" t="n"/>
      <c r="AM226" s="1633" t="n"/>
      <c r="AN226" s="1633" t="n"/>
      <c r="AO226" s="1633" t="n"/>
      <c r="AP226" s="1633" t="n"/>
      <c r="AQ226" s="1633" t="n"/>
      <c r="AR226" s="1633" t="n"/>
      <c r="AS226" s="1633" t="n"/>
      <c r="AT226" s="1633" t="n"/>
      <c r="AU226" s="1633" t="n"/>
      <c r="AV226" s="1633" t="n"/>
      <c r="AW226" s="1633" t="n"/>
      <c r="AX226" s="1633" t="n"/>
      <c r="AY226" s="1633" t="n"/>
      <c r="AZ226" s="1633" t="n"/>
    </row>
    <row r="227" ht="13.7" customFormat="1" customHeight="1" s="1573">
      <c r="B227" s="1633" t="n"/>
      <c r="C227" s="1633" t="n"/>
      <c r="D227" s="1633" t="n"/>
      <c r="E227" s="1633" t="n"/>
      <c r="F227" s="1633" t="n"/>
      <c r="G227" s="1633" t="n"/>
      <c r="H227" s="1633" t="n"/>
      <c r="I227" s="1633" t="n"/>
      <c r="J227" s="1633" t="n"/>
      <c r="K227" s="1633" t="n"/>
      <c r="L227" s="1633" t="n"/>
      <c r="M227" s="1633" t="n"/>
      <c r="N227" s="1633" t="n"/>
      <c r="O227" s="1633" t="n"/>
      <c r="P227" s="1633" t="n"/>
      <c r="Q227" s="1633" t="n"/>
      <c r="R227" s="1633" t="n"/>
      <c r="S227" s="1633" t="n"/>
      <c r="T227" s="1633" t="n"/>
      <c r="U227" s="1633" t="n"/>
      <c r="V227" s="1633" t="n"/>
      <c r="W227" s="1633" t="n"/>
      <c r="X227" s="1633" t="n"/>
      <c r="Y227" s="1633" t="n"/>
      <c r="Z227" s="1633" t="n"/>
      <c r="AA227" s="1633" t="n"/>
      <c r="AB227" s="1633" t="n"/>
      <c r="AC227" s="1633" t="n"/>
      <c r="AD227" s="1633" t="n"/>
      <c r="AE227" s="1633" t="n"/>
      <c r="AF227" s="1633" t="n"/>
      <c r="AG227" s="1633" t="n"/>
      <c r="AH227" s="1633" t="n"/>
      <c r="AI227" s="1633" t="n"/>
      <c r="AJ227" s="1633" t="n"/>
      <c r="AK227" s="1633" t="n"/>
      <c r="AL227" s="1633" t="n"/>
      <c r="AM227" s="1633" t="n"/>
      <c r="AN227" s="1633" t="n"/>
      <c r="AO227" s="1633" t="n"/>
      <c r="AP227" s="1633" t="n"/>
      <c r="AQ227" s="1633" t="n"/>
      <c r="AR227" s="1633" t="n"/>
      <c r="AS227" s="1633" t="n"/>
      <c r="AT227" s="1633" t="n"/>
      <c r="AU227" s="1633" t="n"/>
      <c r="AV227" s="1633" t="n"/>
      <c r="AW227" s="1633" t="n"/>
      <c r="AX227" s="1633" t="n"/>
      <c r="AY227" s="1633" t="n"/>
      <c r="AZ227" s="1633" t="n"/>
    </row>
    <row r="228" ht="13.7" customFormat="1" customHeight="1" s="1573">
      <c r="B228" s="1633" t="n"/>
      <c r="C228" s="1633" t="n"/>
      <c r="D228" s="1633" t="n"/>
      <c r="E228" s="1633" t="n"/>
      <c r="F228" s="1633" t="n"/>
      <c r="G228" s="1633" t="n"/>
      <c r="H228" s="1633" t="n"/>
      <c r="I228" s="1633" t="n"/>
      <c r="J228" s="1633" t="n"/>
      <c r="K228" s="1633" t="n"/>
      <c r="L228" s="1633" t="n"/>
      <c r="M228" s="1633" t="n"/>
      <c r="N228" s="1633" t="n"/>
      <c r="O228" s="1633" t="n"/>
      <c r="P228" s="1633" t="n"/>
      <c r="Q228" s="1633" t="n"/>
      <c r="R228" s="1633" t="n"/>
      <c r="S228" s="1633" t="n"/>
      <c r="T228" s="1633" t="n"/>
      <c r="U228" s="1633" t="n"/>
      <c r="V228" s="1633" t="n"/>
      <c r="W228" s="1633" t="n"/>
      <c r="X228" s="1633" t="n"/>
      <c r="Y228" s="1633" t="n"/>
      <c r="Z228" s="1633" t="n"/>
      <c r="AA228" s="1633" t="n"/>
      <c r="AB228" s="1633" t="n"/>
      <c r="AC228" s="1633" t="n"/>
      <c r="AD228" s="1633" t="n"/>
      <c r="AE228" s="1633" t="n"/>
      <c r="AF228" s="1633" t="n"/>
      <c r="AG228" s="1633" t="n"/>
      <c r="AH228" s="1633" t="n"/>
      <c r="AI228" s="1633" t="n"/>
      <c r="AJ228" s="1633" t="n"/>
      <c r="AK228" s="1633" t="n"/>
      <c r="AL228" s="1633" t="n"/>
      <c r="AM228" s="1633" t="n"/>
      <c r="AN228" s="1633" t="n"/>
      <c r="AO228" s="1633" t="n"/>
      <c r="AP228" s="1633" t="n"/>
      <c r="AQ228" s="1633" t="n"/>
      <c r="AR228" s="1633" t="n"/>
      <c r="AS228" s="1633" t="n"/>
      <c r="AT228" s="1633" t="n"/>
      <c r="AU228" s="1633" t="n"/>
      <c r="AV228" s="1633" t="n"/>
      <c r="AW228" s="1633" t="n"/>
      <c r="AX228" s="1633" t="n"/>
      <c r="AY228" s="1633" t="n"/>
      <c r="AZ228" s="1633" t="n"/>
    </row>
    <row r="229" ht="13.7" customFormat="1" customHeight="1" s="1573">
      <c r="B229" s="1633" t="n"/>
      <c r="C229" s="1633" t="n"/>
      <c r="D229" s="1633" t="n"/>
      <c r="E229" s="1633" t="n"/>
      <c r="F229" s="1633" t="n"/>
      <c r="G229" s="1633" t="n"/>
      <c r="H229" s="1633" t="n"/>
      <c r="I229" s="1633" t="n"/>
      <c r="J229" s="1633" t="n"/>
      <c r="K229" s="1633" t="n"/>
      <c r="L229" s="1633" t="n"/>
      <c r="M229" s="1633" t="n"/>
      <c r="N229" s="1633" t="n"/>
      <c r="O229" s="1633" t="n"/>
      <c r="P229" s="1633" t="n"/>
      <c r="Q229" s="1633" t="n"/>
      <c r="R229" s="1633" t="n"/>
      <c r="S229" s="1633" t="n"/>
      <c r="T229" s="1633" t="n"/>
      <c r="U229" s="1633" t="n"/>
      <c r="V229" s="1633" t="n"/>
      <c r="W229" s="1633" t="n"/>
      <c r="X229" s="1633" t="n"/>
      <c r="Y229" s="1633" t="n"/>
      <c r="Z229" s="1633" t="n"/>
      <c r="AA229" s="1633" t="n"/>
      <c r="AB229" s="1633" t="n"/>
      <c r="AC229" s="1633" t="n"/>
      <c r="AD229" s="1633" t="n"/>
      <c r="AE229" s="1633" t="n"/>
      <c r="AF229" s="1633" t="n"/>
      <c r="AG229" s="1633" t="n"/>
      <c r="AH229" s="1633" t="n"/>
      <c r="AI229" s="1633" t="n"/>
      <c r="AJ229" s="1633" t="n"/>
      <c r="AK229" s="1633" t="n"/>
      <c r="AL229" s="1633" t="n"/>
      <c r="AM229" s="1633" t="n"/>
      <c r="AN229" s="1633" t="n"/>
      <c r="AO229" s="1633" t="n"/>
      <c r="AP229" s="1633" t="n"/>
      <c r="AQ229" s="1633" t="n"/>
      <c r="AR229" s="1633" t="n"/>
      <c r="AS229" s="1633" t="n"/>
      <c r="AT229" s="1633" t="n"/>
      <c r="AU229" s="1633" t="n"/>
      <c r="AV229" s="1633" t="n"/>
      <c r="AW229" s="1633" t="n"/>
      <c r="AX229" s="1633" t="n"/>
      <c r="AY229" s="1633" t="n"/>
      <c r="AZ229" s="1633" t="n"/>
    </row>
    <row r="230" ht="13.7" customFormat="1" customHeight="1" s="1573">
      <c r="B230" s="1633" t="n"/>
      <c r="C230" s="1633" t="n"/>
      <c r="D230" s="1633" t="n"/>
      <c r="E230" s="1633" t="n"/>
      <c r="F230" s="1633" t="n"/>
      <c r="G230" s="1633" t="n"/>
      <c r="H230" s="1633" t="n"/>
      <c r="I230" s="1633" t="n"/>
      <c r="J230" s="1633" t="n"/>
      <c r="K230" s="1633" t="n"/>
      <c r="L230" s="1633" t="n"/>
      <c r="M230" s="1633" t="n"/>
      <c r="N230" s="1633" t="n"/>
      <c r="O230" s="1633" t="n"/>
      <c r="P230" s="1633" t="n"/>
      <c r="Q230" s="1633" t="n"/>
      <c r="R230" s="1633" t="n"/>
      <c r="S230" s="1633" t="n"/>
      <c r="T230" s="1633" t="n"/>
      <c r="U230" s="1633" t="n"/>
      <c r="V230" s="1633" t="n"/>
      <c r="W230" s="1633" t="n"/>
      <c r="X230" s="1633" t="n"/>
      <c r="Y230" s="1633" t="n"/>
      <c r="Z230" s="1633" t="n"/>
      <c r="AA230" s="1633" t="n"/>
      <c r="AB230" s="1633" t="n"/>
      <c r="AC230" s="1633" t="n"/>
      <c r="AD230" s="1633" t="n"/>
      <c r="AE230" s="1633" t="n"/>
      <c r="AF230" s="1633" t="n"/>
      <c r="AG230" s="1633" t="n"/>
      <c r="AH230" s="1633" t="n"/>
      <c r="AI230" s="1633" t="n"/>
      <c r="AJ230" s="1633" t="n"/>
      <c r="AK230" s="1633" t="n"/>
      <c r="AL230" s="1633" t="n"/>
      <c r="AM230" s="1633" t="n"/>
      <c r="AN230" s="1633" t="n"/>
      <c r="AO230" s="1633" t="n"/>
      <c r="AP230" s="1633" t="n"/>
      <c r="AQ230" s="1633" t="n"/>
      <c r="AR230" s="1633" t="n"/>
      <c r="AS230" s="1633" t="n"/>
      <c r="AT230" s="1633" t="n"/>
      <c r="AU230" s="1633" t="n"/>
      <c r="AV230" s="1633" t="n"/>
      <c r="AW230" s="1633" t="n"/>
      <c r="AX230" s="1633" t="n"/>
      <c r="AY230" s="1633" t="n"/>
      <c r="AZ230" s="1633" t="n"/>
    </row>
    <row r="231" ht="13.7" customFormat="1" customHeight="1" s="1573">
      <c r="B231" s="1633" t="n"/>
      <c r="C231" s="1633" t="n"/>
      <c r="D231" s="1633" t="n"/>
      <c r="E231" s="1633" t="n"/>
      <c r="F231" s="1633" t="n"/>
      <c r="G231" s="1633" t="n"/>
      <c r="H231" s="1633" t="n"/>
      <c r="I231" s="1633" t="n"/>
      <c r="J231" s="1633" t="n"/>
      <c r="K231" s="1633" t="n"/>
      <c r="L231" s="1633" t="n"/>
      <c r="M231" s="1633" t="n"/>
      <c r="N231" s="1633" t="n"/>
      <c r="O231" s="1633" t="n"/>
      <c r="P231" s="1633" t="n"/>
      <c r="Q231" s="1633" t="n"/>
      <c r="R231" s="1633" t="n"/>
      <c r="S231" s="1633" t="n"/>
      <c r="T231" s="1633" t="n"/>
      <c r="U231" s="1633" t="n"/>
      <c r="V231" s="1633" t="n"/>
      <c r="W231" s="1633" t="n"/>
      <c r="X231" s="1633" t="n"/>
      <c r="Y231" s="1633" t="n"/>
      <c r="Z231" s="1633" t="n"/>
      <c r="AA231" s="1633" t="n"/>
      <c r="AB231" s="1633" t="n"/>
      <c r="AC231" s="1633" t="n"/>
      <c r="AD231" s="1633" t="n"/>
      <c r="AE231" s="1633" t="n"/>
      <c r="AF231" s="1633" t="n"/>
      <c r="AG231" s="1633" t="n"/>
      <c r="AH231" s="1633" t="n"/>
      <c r="AI231" s="1633" t="n"/>
      <c r="AJ231" s="1633" t="n"/>
      <c r="AK231" s="1633" t="n"/>
      <c r="AL231" s="1633" t="n"/>
      <c r="AM231" s="1633" t="n"/>
      <c r="AN231" s="1633" t="n"/>
      <c r="AO231" s="1633" t="n"/>
      <c r="AP231" s="1633" t="n"/>
      <c r="AQ231" s="1633" t="n"/>
      <c r="AR231" s="1633" t="n"/>
      <c r="AS231" s="1633" t="n"/>
      <c r="AT231" s="1633" t="n"/>
      <c r="AU231" s="1633" t="n"/>
      <c r="AV231" s="1633" t="n"/>
      <c r="AW231" s="1633" t="n"/>
      <c r="AX231" s="1633" t="n"/>
      <c r="AY231" s="1633" t="n"/>
      <c r="AZ231" s="1633" t="n"/>
    </row>
    <row r="232" ht="13.7" customFormat="1" customHeight="1" s="1573">
      <c r="B232" s="1633" t="n"/>
      <c r="C232" s="1633" t="n"/>
      <c r="D232" s="1633" t="n"/>
      <c r="E232" s="1633" t="n"/>
      <c r="F232" s="1633" t="n"/>
      <c r="G232" s="1633" t="n"/>
      <c r="H232" s="1633" t="n"/>
      <c r="I232" s="1633" t="n"/>
      <c r="J232" s="1633" t="n"/>
      <c r="K232" s="1633" t="n"/>
      <c r="L232" s="1633" t="n"/>
      <c r="M232" s="1633" t="n"/>
      <c r="N232" s="1633" t="n"/>
      <c r="O232" s="1633" t="n"/>
      <c r="P232" s="1633" t="n"/>
      <c r="Q232" s="1633" t="n"/>
      <c r="R232" s="1633" t="n"/>
      <c r="S232" s="1633" t="n"/>
      <c r="T232" s="1633" t="n"/>
      <c r="U232" s="1633" t="n"/>
      <c r="V232" s="1633" t="n"/>
      <c r="W232" s="1633" t="n"/>
      <c r="X232" s="1633" t="n"/>
      <c r="Y232" s="1633" t="n"/>
      <c r="Z232" s="1633" t="n"/>
      <c r="AA232" s="1633" t="n"/>
      <c r="AB232" s="1633" t="n"/>
      <c r="AC232" s="1633" t="n"/>
      <c r="AD232" s="1633" t="n"/>
      <c r="AE232" s="1633" t="n"/>
      <c r="AF232" s="1633" t="n"/>
      <c r="AG232" s="1633" t="n"/>
      <c r="AH232" s="1633" t="n"/>
      <c r="AI232" s="1633" t="n"/>
      <c r="AJ232" s="1633" t="n"/>
      <c r="AK232" s="1633" t="n"/>
      <c r="AL232" s="1633" t="n"/>
      <c r="AM232" s="1633" t="n"/>
      <c r="AN232" s="1633" t="n"/>
      <c r="AO232" s="1633" t="n"/>
      <c r="AP232" s="1633" t="n"/>
      <c r="AQ232" s="1633" t="n"/>
      <c r="AR232" s="1633" t="n"/>
      <c r="AS232" s="1633" t="n"/>
      <c r="AT232" s="1633" t="n"/>
      <c r="AU232" s="1633" t="n"/>
      <c r="AV232" s="1633" t="n"/>
      <c r="AW232" s="1633" t="n"/>
      <c r="AX232" s="1633" t="n"/>
      <c r="AY232" s="1633" t="n"/>
      <c r="AZ232" s="1633" t="n"/>
    </row>
    <row r="233" ht="13.7" customFormat="1" customHeight="1" s="1573">
      <c r="B233" s="1633" t="n"/>
      <c r="C233" s="1633" t="n"/>
      <c r="D233" s="1633" t="n"/>
      <c r="E233" s="1633" t="n"/>
      <c r="F233" s="1633" t="n"/>
      <c r="G233" s="1633" t="n"/>
      <c r="H233" s="1633" t="n"/>
      <c r="I233" s="1633" t="n"/>
      <c r="J233" s="1633" t="n"/>
      <c r="K233" s="1633" t="n"/>
      <c r="L233" s="1633" t="n"/>
      <c r="M233" s="1633" t="n"/>
      <c r="N233" s="1633" t="n"/>
      <c r="O233" s="1633" t="n"/>
      <c r="P233" s="1633" t="n"/>
      <c r="Q233" s="1633" t="n"/>
      <c r="R233" s="1633" t="n"/>
      <c r="S233" s="1633" t="n"/>
      <c r="T233" s="1633" t="n"/>
      <c r="U233" s="1633" t="n"/>
      <c r="V233" s="1633" t="n"/>
      <c r="W233" s="1633" t="n"/>
      <c r="X233" s="1633" t="n"/>
      <c r="Y233" s="1633" t="n"/>
      <c r="Z233" s="1633" t="n"/>
      <c r="AA233" s="1633" t="n"/>
      <c r="AB233" s="1633" t="n"/>
      <c r="AC233" s="1633" t="n"/>
      <c r="AD233" s="1633" t="n"/>
      <c r="AE233" s="1633" t="n"/>
      <c r="AF233" s="1633" t="n"/>
      <c r="AG233" s="1633" t="n"/>
      <c r="AH233" s="1633" t="n"/>
      <c r="AI233" s="1633" t="n"/>
      <c r="AJ233" s="1633" t="n"/>
      <c r="AK233" s="1633" t="n"/>
      <c r="AL233" s="1633" t="n"/>
      <c r="AM233" s="1633" t="n"/>
      <c r="AN233" s="1633" t="n"/>
      <c r="AO233" s="1633" t="n"/>
      <c r="AP233" s="1633" t="n"/>
      <c r="AQ233" s="1633" t="n"/>
      <c r="AR233" s="1633" t="n"/>
      <c r="AS233" s="1633" t="n"/>
      <c r="AT233" s="1633" t="n"/>
      <c r="AU233" s="1633" t="n"/>
      <c r="AV233" s="1633" t="n"/>
      <c r="AW233" s="1633" t="n"/>
      <c r="AX233" s="1633" t="n"/>
      <c r="AY233" s="1633" t="n"/>
      <c r="AZ233" s="1633" t="n"/>
    </row>
    <row r="234" ht="13.7" customFormat="1" customHeight="1" s="1573">
      <c r="B234" s="1633" t="n"/>
      <c r="C234" s="1633" t="n"/>
      <c r="D234" s="1633" t="n"/>
      <c r="E234" s="1633" t="n"/>
      <c r="F234" s="1633" t="n"/>
      <c r="G234" s="1633" t="n"/>
      <c r="H234" s="1633" t="n"/>
      <c r="I234" s="1633" t="n"/>
      <c r="J234" s="1633" t="n"/>
      <c r="K234" s="1633" t="n"/>
      <c r="L234" s="1633" t="n"/>
      <c r="M234" s="1633" t="n"/>
      <c r="N234" s="1633" t="n"/>
      <c r="O234" s="1633" t="n"/>
      <c r="P234" s="1633" t="n"/>
      <c r="Q234" s="1633" t="n"/>
      <c r="R234" s="1633" t="n"/>
      <c r="S234" s="1633" t="n"/>
      <c r="T234" s="1633" t="n"/>
      <c r="U234" s="1633" t="n"/>
      <c r="V234" s="1633" t="n"/>
      <c r="W234" s="1633" t="n"/>
      <c r="X234" s="1633" t="n"/>
      <c r="Y234" s="1633" t="n"/>
      <c r="Z234" s="1633" t="n"/>
      <c r="AA234" s="1633" t="n"/>
      <c r="AB234" s="1633" t="n"/>
      <c r="AC234" s="1633" t="n"/>
      <c r="AD234" s="1633" t="n"/>
      <c r="AE234" s="1633" t="n"/>
      <c r="AF234" s="1633" t="n"/>
      <c r="AG234" s="1633" t="n"/>
      <c r="AH234" s="1633" t="n"/>
      <c r="AI234" s="1633" t="n"/>
      <c r="AJ234" s="1633" t="n"/>
      <c r="AK234" s="1633" t="n"/>
      <c r="AL234" s="1633" t="n"/>
      <c r="AM234" s="1633" t="n"/>
      <c r="AN234" s="1633" t="n"/>
      <c r="AO234" s="1633" t="n"/>
      <c r="AP234" s="1633" t="n"/>
      <c r="AQ234" s="1633" t="n"/>
      <c r="AR234" s="1633" t="n"/>
      <c r="AS234" s="1633" t="n"/>
      <c r="AT234" s="1633" t="n"/>
      <c r="AU234" s="1633" t="n"/>
      <c r="AV234" s="1633" t="n"/>
      <c r="AW234" s="1633" t="n"/>
      <c r="AX234" s="1633" t="n"/>
      <c r="AY234" s="1633" t="n"/>
      <c r="AZ234" s="1633" t="n"/>
    </row>
    <row r="235" ht="13.7" customFormat="1" customHeight="1" s="1573">
      <c r="B235" s="1633" t="n"/>
      <c r="C235" s="1633" t="n"/>
      <c r="D235" s="1633" t="n"/>
      <c r="E235" s="1633" t="n"/>
      <c r="F235" s="1633" t="n"/>
      <c r="G235" s="1633" t="n"/>
      <c r="H235" s="1633" t="n"/>
      <c r="I235" s="1633" t="n"/>
      <c r="J235" s="1633" t="n"/>
      <c r="K235" s="1633" t="n"/>
      <c r="L235" s="1633" t="n"/>
      <c r="M235" s="1633" t="n"/>
      <c r="N235" s="1633" t="n"/>
      <c r="O235" s="1633" t="n"/>
      <c r="P235" s="1633" t="n"/>
      <c r="Q235" s="1633" t="n"/>
      <c r="R235" s="1633" t="n"/>
      <c r="S235" s="1633" t="n"/>
      <c r="T235" s="1633" t="n"/>
      <c r="U235" s="1633" t="n"/>
      <c r="V235" s="1633" t="n"/>
      <c r="W235" s="1633" t="n"/>
      <c r="X235" s="1633" t="n"/>
      <c r="Y235" s="1633" t="n"/>
      <c r="Z235" s="1633" t="n"/>
      <c r="AA235" s="1633" t="n"/>
      <c r="AB235" s="1633" t="n"/>
      <c r="AC235" s="1633" t="n"/>
      <c r="AD235" s="1633" t="n"/>
      <c r="AE235" s="1633" t="n"/>
      <c r="AF235" s="1633" t="n"/>
      <c r="AG235" s="1633" t="n"/>
      <c r="AH235" s="1633" t="n"/>
      <c r="AI235" s="1633" t="n"/>
      <c r="AJ235" s="1633" t="n"/>
      <c r="AK235" s="1633" t="n"/>
      <c r="AL235" s="1633" t="n"/>
      <c r="AM235" s="1633" t="n"/>
      <c r="AN235" s="1633" t="n"/>
      <c r="AO235" s="1633" t="n"/>
      <c r="AP235" s="1633" t="n"/>
      <c r="AQ235" s="1633" t="n"/>
      <c r="AR235" s="1633" t="n"/>
      <c r="AS235" s="1633" t="n"/>
      <c r="AT235" s="1633" t="n"/>
      <c r="AU235" s="1633" t="n"/>
      <c r="AV235" s="1633" t="n"/>
      <c r="AW235" s="1633" t="n"/>
      <c r="AX235" s="1633" t="n"/>
      <c r="AY235" s="1633" t="n"/>
      <c r="AZ235" s="1633" t="n"/>
    </row>
    <row r="236" ht="13.7" customFormat="1" customHeight="1" s="1573">
      <c r="B236" s="1633" t="n"/>
      <c r="C236" s="1633" t="n"/>
      <c r="D236" s="1633" t="n"/>
      <c r="E236" s="1633" t="n"/>
      <c r="F236" s="1633" t="n"/>
      <c r="G236" s="1633" t="n"/>
      <c r="H236" s="1633" t="n"/>
      <c r="I236" s="1633" t="n"/>
      <c r="J236" s="1633" t="n"/>
      <c r="K236" s="1633" t="n"/>
      <c r="L236" s="1633" t="n"/>
      <c r="M236" s="1633" t="n"/>
      <c r="N236" s="1633" t="n"/>
      <c r="O236" s="1633" t="n"/>
      <c r="P236" s="1633" t="n"/>
      <c r="Q236" s="1633" t="n"/>
      <c r="R236" s="1633" t="n"/>
      <c r="S236" s="1633" t="n"/>
      <c r="T236" s="1633" t="n"/>
      <c r="U236" s="1633" t="n"/>
      <c r="V236" s="1633" t="n"/>
      <c r="W236" s="1633" t="n"/>
      <c r="X236" s="1633" t="n"/>
      <c r="Y236" s="1633" t="n"/>
      <c r="Z236" s="1633" t="n"/>
      <c r="AA236" s="1633" t="n"/>
      <c r="AB236" s="1633" t="n"/>
      <c r="AC236" s="1633" t="n"/>
      <c r="AD236" s="1633" t="n"/>
      <c r="AE236" s="1633" t="n"/>
      <c r="AF236" s="1633" t="n"/>
      <c r="AG236" s="1633" t="n"/>
      <c r="AH236" s="1633" t="n"/>
      <c r="AI236" s="1633" t="n"/>
      <c r="AJ236" s="1633" t="n"/>
      <c r="AK236" s="1633" t="n"/>
      <c r="AL236" s="1633" t="n"/>
      <c r="AM236" s="1633" t="n"/>
      <c r="AN236" s="1633" t="n"/>
      <c r="AO236" s="1633" t="n"/>
      <c r="AP236" s="1633" t="n"/>
      <c r="AQ236" s="1633" t="n"/>
      <c r="AR236" s="1633" t="n"/>
      <c r="AS236" s="1633" t="n"/>
      <c r="AT236" s="1633" t="n"/>
      <c r="AU236" s="1633" t="n"/>
      <c r="AV236" s="1633" t="n"/>
      <c r="AW236" s="1633" t="n"/>
      <c r="AX236" s="1633" t="n"/>
      <c r="AY236" s="1633" t="n"/>
      <c r="AZ236" s="1633" t="n"/>
    </row>
    <row r="237" ht="13.7" customFormat="1" customHeight="1" s="1573">
      <c r="B237" s="1633" t="n"/>
      <c r="C237" s="1633" t="n"/>
      <c r="D237" s="1633" t="n"/>
      <c r="E237" s="1633" t="n"/>
      <c r="F237" s="1633" t="n"/>
      <c r="G237" s="1633" t="n"/>
      <c r="H237" s="1633" t="n"/>
      <c r="I237" s="1633" t="n"/>
      <c r="J237" s="1633" t="n"/>
      <c r="K237" s="1633" t="n"/>
      <c r="L237" s="1633" t="n"/>
      <c r="M237" s="1633" t="n"/>
      <c r="N237" s="1633" t="n"/>
      <c r="O237" s="1633" t="n"/>
      <c r="P237" s="1633" t="n"/>
      <c r="Q237" s="1633" t="n"/>
      <c r="R237" s="1633" t="n"/>
      <c r="S237" s="1633" t="n"/>
      <c r="T237" s="1633" t="n"/>
      <c r="U237" s="1633" t="n"/>
      <c r="V237" s="1633" t="n"/>
      <c r="W237" s="1633" t="n"/>
      <c r="X237" s="1633" t="n"/>
      <c r="Y237" s="1633" t="n"/>
      <c r="Z237" s="1633" t="n"/>
      <c r="AA237" s="1633" t="n"/>
      <c r="AB237" s="1633" t="n"/>
      <c r="AC237" s="1633" t="n"/>
      <c r="AD237" s="1633" t="n"/>
      <c r="AE237" s="1633" t="n"/>
      <c r="AF237" s="1633" t="n"/>
      <c r="AG237" s="1633" t="n"/>
      <c r="AH237" s="1633" t="n"/>
      <c r="AI237" s="1633" t="n"/>
      <c r="AJ237" s="1633" t="n"/>
      <c r="AK237" s="1633" t="n"/>
      <c r="AL237" s="1633" t="n"/>
      <c r="AM237" s="1633" t="n"/>
      <c r="AN237" s="1633" t="n"/>
      <c r="AO237" s="1633" t="n"/>
      <c r="AP237" s="1633" t="n"/>
      <c r="AQ237" s="1633" t="n"/>
      <c r="AR237" s="1633" t="n"/>
      <c r="AS237" s="1633" t="n"/>
      <c r="AT237" s="1633" t="n"/>
      <c r="AU237" s="1633" t="n"/>
      <c r="AV237" s="1633" t="n"/>
      <c r="AW237" s="1633" t="n"/>
      <c r="AX237" s="1633" t="n"/>
      <c r="AY237" s="1633" t="n"/>
      <c r="AZ237" s="1633" t="n"/>
    </row>
    <row r="238" ht="13.7" customFormat="1" customHeight="1" s="1573">
      <c r="B238" s="1633" t="n"/>
      <c r="C238" s="1633" t="n"/>
      <c r="D238" s="1633" t="n"/>
      <c r="E238" s="1633" t="n"/>
      <c r="F238" s="1633" t="n"/>
      <c r="G238" s="1633" t="n"/>
      <c r="H238" s="1633" t="n"/>
      <c r="I238" s="1633" t="n"/>
      <c r="J238" s="1633" t="n"/>
      <c r="K238" s="1633" t="n"/>
      <c r="L238" s="1633" t="n"/>
      <c r="M238" s="1633" t="n"/>
      <c r="N238" s="1633" t="n"/>
      <c r="O238" s="1633" t="n"/>
      <c r="P238" s="1633" t="n"/>
      <c r="Q238" s="1633" t="n"/>
      <c r="R238" s="1633" t="n"/>
      <c r="S238" s="1633" t="n"/>
      <c r="T238" s="1633" t="n"/>
      <c r="U238" s="1633" t="n"/>
      <c r="V238" s="1633" t="n"/>
      <c r="W238" s="1633" t="n"/>
      <c r="X238" s="1633" t="n"/>
      <c r="Y238" s="1633" t="n"/>
      <c r="Z238" s="1633" t="n"/>
      <c r="AA238" s="1633" t="n"/>
      <c r="AB238" s="1633" t="n"/>
      <c r="AC238" s="1633" t="n"/>
      <c r="AD238" s="1633" t="n"/>
      <c r="AE238" s="1633" t="n"/>
      <c r="AF238" s="1633" t="n"/>
      <c r="AG238" s="1633" t="n"/>
      <c r="AH238" s="1633" t="n"/>
      <c r="AI238" s="1633" t="n"/>
      <c r="AJ238" s="1633" t="n"/>
      <c r="AK238" s="1633" t="n"/>
      <c r="AL238" s="1633" t="n"/>
      <c r="AM238" s="1633" t="n"/>
      <c r="AN238" s="1633" t="n"/>
      <c r="AO238" s="1633" t="n"/>
      <c r="AP238" s="1633" t="n"/>
      <c r="AQ238" s="1633" t="n"/>
      <c r="AR238" s="1633" t="n"/>
      <c r="AS238" s="1633" t="n"/>
      <c r="AT238" s="1633" t="n"/>
      <c r="AU238" s="1633" t="n"/>
      <c r="AV238" s="1633" t="n"/>
      <c r="AW238" s="1633" t="n"/>
      <c r="AX238" s="1633" t="n"/>
      <c r="AY238" s="1633" t="n"/>
      <c r="AZ238" s="1633" t="n"/>
    </row>
    <row r="239" ht="13.7" customFormat="1" customHeight="1" s="1573">
      <c r="B239" s="1633" t="n"/>
      <c r="C239" s="1633" t="n"/>
      <c r="D239" s="1633" t="n"/>
      <c r="E239" s="1633" t="n"/>
      <c r="F239" s="1633" t="n"/>
      <c r="G239" s="1633" t="n"/>
      <c r="H239" s="1633" t="n"/>
      <c r="I239" s="1633" t="n"/>
      <c r="J239" s="1633" t="n"/>
      <c r="K239" s="1633" t="n"/>
      <c r="L239" s="1633" t="n"/>
      <c r="M239" s="1633" t="n"/>
      <c r="N239" s="1633" t="n"/>
      <c r="O239" s="1633" t="n"/>
      <c r="P239" s="1633" t="n"/>
      <c r="Q239" s="1633" t="n"/>
      <c r="R239" s="1633" t="n"/>
      <c r="S239" s="1633" t="n"/>
      <c r="T239" s="1633" t="n"/>
      <c r="U239" s="1633" t="n"/>
      <c r="V239" s="1633" t="n"/>
      <c r="W239" s="1633" t="n"/>
      <c r="X239" s="1633" t="n"/>
      <c r="Y239" s="1633" t="n"/>
      <c r="Z239" s="1633" t="n"/>
      <c r="AA239" s="1633" t="n"/>
      <c r="AB239" s="1633" t="n"/>
      <c r="AC239" s="1633" t="n"/>
      <c r="AD239" s="1633" t="n"/>
      <c r="AE239" s="1633" t="n"/>
      <c r="AF239" s="1633" t="n"/>
      <c r="AG239" s="1633" t="n"/>
      <c r="AH239" s="1633" t="n"/>
      <c r="AI239" s="1633" t="n"/>
      <c r="AJ239" s="1633" t="n"/>
      <c r="AK239" s="1633" t="n"/>
      <c r="AL239" s="1633" t="n"/>
      <c r="AM239" s="1633" t="n"/>
      <c r="AN239" s="1633" t="n"/>
      <c r="AO239" s="1633" t="n"/>
      <c r="AP239" s="1633" t="n"/>
      <c r="AQ239" s="1633" t="n"/>
      <c r="AR239" s="1633" t="n"/>
      <c r="AS239" s="1633" t="n"/>
      <c r="AT239" s="1633" t="n"/>
      <c r="AU239" s="1633" t="n"/>
      <c r="AV239" s="1633" t="n"/>
      <c r="AW239" s="1633" t="n"/>
      <c r="AX239" s="1633" t="n"/>
      <c r="AY239" s="1633" t="n"/>
      <c r="AZ239" s="1633" t="n"/>
    </row>
    <row r="240" ht="13.7" customFormat="1" customHeight="1" s="1573">
      <c r="B240" s="1633" t="n"/>
      <c r="C240" s="1633" t="n"/>
      <c r="D240" s="1633" t="n"/>
      <c r="E240" s="1633" t="n"/>
      <c r="F240" s="1633" t="n"/>
      <c r="G240" s="1633" t="n"/>
      <c r="H240" s="1633" t="n"/>
      <c r="I240" s="1633" t="n"/>
      <c r="J240" s="1633" t="n"/>
      <c r="K240" s="1633" t="n"/>
      <c r="L240" s="1633" t="n"/>
      <c r="M240" s="1633" t="n"/>
      <c r="N240" s="1633" t="n"/>
      <c r="O240" s="1633" t="n"/>
      <c r="P240" s="1633" t="n"/>
      <c r="Q240" s="1633" t="n"/>
      <c r="R240" s="1633" t="n"/>
      <c r="S240" s="1633" t="n"/>
      <c r="T240" s="1633" t="n"/>
      <c r="U240" s="1633" t="n"/>
      <c r="V240" s="1633" t="n"/>
      <c r="W240" s="1633" t="n"/>
      <c r="X240" s="1633" t="n"/>
      <c r="Y240" s="1633" t="n"/>
      <c r="Z240" s="1633" t="n"/>
      <c r="AA240" s="1633" t="n"/>
      <c r="AB240" s="1633" t="n"/>
      <c r="AC240" s="1633" t="n"/>
      <c r="AD240" s="1633" t="n"/>
      <c r="AE240" s="1633" t="n"/>
      <c r="AF240" s="1633" t="n"/>
      <c r="AG240" s="1633" t="n"/>
      <c r="AH240" s="1633" t="n"/>
      <c r="AI240" s="1633" t="n"/>
      <c r="AJ240" s="1633" t="n"/>
      <c r="AK240" s="1633" t="n"/>
      <c r="AL240" s="1633" t="n"/>
      <c r="AM240" s="1633" t="n"/>
      <c r="AN240" s="1633" t="n"/>
      <c r="AO240" s="1633" t="n"/>
      <c r="AP240" s="1633" t="n"/>
      <c r="AQ240" s="1633" t="n"/>
      <c r="AR240" s="1633" t="n"/>
      <c r="AS240" s="1633" t="n"/>
      <c r="AT240" s="1633" t="n"/>
      <c r="AU240" s="1633" t="n"/>
      <c r="AV240" s="1633" t="n"/>
      <c r="AW240" s="1633" t="n"/>
      <c r="AX240" s="1633" t="n"/>
      <c r="AY240" s="1633" t="n"/>
      <c r="AZ240" s="1633" t="n"/>
    </row>
    <row r="241" ht="13.7" customFormat="1" customHeight="1" s="1573">
      <c r="B241" s="1633" t="n"/>
      <c r="C241" s="1633" t="n"/>
      <c r="D241" s="1633" t="n"/>
      <c r="E241" s="1633" t="n"/>
      <c r="F241" s="1633" t="n"/>
      <c r="G241" s="1633" t="n"/>
      <c r="H241" s="1633" t="n"/>
      <c r="I241" s="1633" t="n"/>
      <c r="J241" s="1633" t="n"/>
      <c r="K241" s="1633" t="n"/>
      <c r="L241" s="1633" t="n"/>
      <c r="M241" s="1633" t="n"/>
      <c r="N241" s="1633" t="n"/>
      <c r="O241" s="1633" t="n"/>
      <c r="P241" s="1633" t="n"/>
      <c r="Q241" s="1633" t="n"/>
      <c r="R241" s="1633" t="n"/>
      <c r="S241" s="1633" t="n"/>
      <c r="T241" s="1633" t="n"/>
      <c r="U241" s="1633" t="n"/>
      <c r="V241" s="1633" t="n"/>
      <c r="W241" s="1633" t="n"/>
      <c r="X241" s="1633" t="n"/>
      <c r="Y241" s="1633" t="n"/>
      <c r="Z241" s="1633" t="n"/>
      <c r="AA241" s="1633" t="n"/>
      <c r="AB241" s="1633" t="n"/>
      <c r="AC241" s="1633" t="n"/>
      <c r="AD241" s="1633" t="n"/>
      <c r="AE241" s="1633" t="n"/>
      <c r="AF241" s="1633" t="n"/>
      <c r="AG241" s="1633" t="n"/>
      <c r="AH241" s="1633" t="n"/>
      <c r="AI241" s="1633" t="n"/>
      <c r="AJ241" s="1633" t="n"/>
      <c r="AK241" s="1633" t="n"/>
      <c r="AL241" s="1633" t="n"/>
      <c r="AM241" s="1633" t="n"/>
      <c r="AN241" s="1633" t="n"/>
      <c r="AO241" s="1633" t="n"/>
      <c r="AP241" s="1633" t="n"/>
      <c r="AQ241" s="1633" t="n"/>
      <c r="AR241" s="1633" t="n"/>
      <c r="AS241" s="1633" t="n"/>
      <c r="AT241" s="1633" t="n"/>
      <c r="AU241" s="1633" t="n"/>
      <c r="AV241" s="1633" t="n"/>
      <c r="AW241" s="1633" t="n"/>
      <c r="AX241" s="1633" t="n"/>
      <c r="AY241" s="1633" t="n"/>
      <c r="AZ241" s="1633" t="n"/>
    </row>
    <row r="242" ht="13.7" customFormat="1" customHeight="1" s="1573">
      <c r="B242" s="1633" t="n"/>
      <c r="C242" s="1633" t="n"/>
      <c r="D242" s="1633" t="n"/>
      <c r="E242" s="1633" t="n"/>
      <c r="F242" s="1633" t="n"/>
      <c r="G242" s="1633" t="n"/>
      <c r="H242" s="1633" t="n"/>
      <c r="I242" s="1633" t="n"/>
      <c r="J242" s="1633" t="n"/>
      <c r="K242" s="1633" t="n"/>
      <c r="L242" s="1633" t="n"/>
      <c r="M242" s="1633" t="n"/>
      <c r="N242" s="1633" t="n"/>
      <c r="O242" s="1633" t="n"/>
      <c r="P242" s="1633" t="n"/>
      <c r="Q242" s="1633" t="n"/>
      <c r="R242" s="1633" t="n"/>
      <c r="S242" s="1633" t="n"/>
      <c r="T242" s="1633" t="n"/>
      <c r="U242" s="1633" t="n"/>
      <c r="V242" s="1633" t="n"/>
      <c r="W242" s="1633" t="n"/>
      <c r="X242" s="1633" t="n"/>
      <c r="Y242" s="1633" t="n"/>
      <c r="Z242" s="1633" t="n"/>
      <c r="AA242" s="1633" t="n"/>
      <c r="AB242" s="1633" t="n"/>
      <c r="AC242" s="1633" t="n"/>
      <c r="AD242" s="1633" t="n"/>
      <c r="AE242" s="1633" t="n"/>
      <c r="AF242" s="1633" t="n"/>
      <c r="AG242" s="1633" t="n"/>
      <c r="AH242" s="1633" t="n"/>
      <c r="AI242" s="1633" t="n"/>
      <c r="AJ242" s="1633" t="n"/>
      <c r="AK242" s="1633" t="n"/>
      <c r="AL242" s="1633" t="n"/>
      <c r="AM242" s="1633" t="n"/>
      <c r="AN242" s="1633" t="n"/>
      <c r="AO242" s="1633" t="n"/>
      <c r="AP242" s="1633" t="n"/>
      <c r="AQ242" s="1633" t="n"/>
      <c r="AR242" s="1633" t="n"/>
      <c r="AS242" s="1633" t="n"/>
      <c r="AT242" s="1633" t="n"/>
      <c r="AU242" s="1633" t="n"/>
      <c r="AV242" s="1633" t="n"/>
      <c r="AW242" s="1633" t="n"/>
      <c r="AX242" s="1633" t="n"/>
      <c r="AY242" s="1633" t="n"/>
      <c r="AZ242" s="1633" t="n"/>
    </row>
    <row r="243" ht="13.7" customFormat="1" customHeight="1" s="1573">
      <c r="B243" s="1633" t="n"/>
      <c r="C243" s="1633" t="n"/>
      <c r="D243" s="1633" t="n"/>
      <c r="E243" s="1633" t="n"/>
      <c r="F243" s="1633" t="n"/>
      <c r="G243" s="1633" t="n"/>
      <c r="H243" s="1633" t="n"/>
      <c r="I243" s="1633" t="n"/>
      <c r="J243" s="1633" t="n"/>
      <c r="K243" s="1633" t="n"/>
      <c r="L243" s="1633" t="n"/>
      <c r="M243" s="1633" t="n"/>
      <c r="N243" s="1633" t="n"/>
      <c r="O243" s="1633" t="n"/>
      <c r="P243" s="1633" t="n"/>
      <c r="Q243" s="1633" t="n"/>
      <c r="R243" s="1633" t="n"/>
      <c r="S243" s="1633" t="n"/>
      <c r="T243" s="1633" t="n"/>
      <c r="U243" s="1633" t="n"/>
      <c r="V243" s="1633" t="n"/>
      <c r="W243" s="1633" t="n"/>
      <c r="X243" s="1633" t="n"/>
      <c r="Y243" s="1633" t="n"/>
      <c r="Z243" s="1633" t="n"/>
      <c r="AA243" s="1633" t="n"/>
      <c r="AB243" s="1633" t="n"/>
      <c r="AC243" s="1633" t="n"/>
      <c r="AD243" s="1633" t="n"/>
      <c r="AE243" s="1633" t="n"/>
      <c r="AF243" s="1633" t="n"/>
      <c r="AG243" s="1633" t="n"/>
      <c r="AH243" s="1633" t="n"/>
      <c r="AI243" s="1633" t="n"/>
      <c r="AJ243" s="1633" t="n"/>
      <c r="AK243" s="1633" t="n"/>
      <c r="AL243" s="1633" t="n"/>
      <c r="AM243" s="1633" t="n"/>
      <c r="AN243" s="1633" t="n"/>
      <c r="AO243" s="1633" t="n"/>
      <c r="AP243" s="1633" t="n"/>
      <c r="AQ243" s="1633" t="n"/>
      <c r="AR243" s="1633" t="n"/>
      <c r="AS243" s="1633" t="n"/>
      <c r="AT243" s="1633" t="n"/>
      <c r="AU243" s="1633" t="n"/>
      <c r="AV243" s="1633" t="n"/>
      <c r="AW243" s="1633" t="n"/>
      <c r="AX243" s="1633" t="n"/>
      <c r="AY243" s="1633" t="n"/>
      <c r="AZ243" s="1633" t="n"/>
    </row>
    <row r="244" ht="13.7" customFormat="1" customHeight="1" s="1573">
      <c r="B244" s="1633" t="n"/>
      <c r="C244" s="1633" t="n"/>
      <c r="D244" s="1633" t="n"/>
      <c r="E244" s="1633" t="n"/>
      <c r="F244" s="1633" t="n"/>
      <c r="G244" s="1633" t="n"/>
      <c r="H244" s="1633" t="n"/>
      <c r="I244" s="1633" t="n"/>
      <c r="J244" s="1633" t="n"/>
      <c r="K244" s="1633" t="n"/>
      <c r="L244" s="1633" t="n"/>
      <c r="M244" s="1633" t="n"/>
      <c r="N244" s="1633" t="n"/>
      <c r="O244" s="1633" t="n"/>
      <c r="P244" s="1633" t="n"/>
      <c r="Q244" s="1633" t="n"/>
      <c r="R244" s="1633" t="n"/>
      <c r="S244" s="1633" t="n"/>
      <c r="T244" s="1633" t="n"/>
      <c r="U244" s="1633" t="n"/>
      <c r="V244" s="1633" t="n"/>
      <c r="W244" s="1633" t="n"/>
      <c r="X244" s="1633" t="n"/>
      <c r="Y244" s="1633" t="n"/>
      <c r="Z244" s="1633" t="n"/>
      <c r="AA244" s="1633" t="n"/>
      <c r="AB244" s="1633" t="n"/>
      <c r="AC244" s="1633" t="n"/>
      <c r="AD244" s="1633" t="n"/>
      <c r="AE244" s="1633" t="n"/>
      <c r="AF244" s="1633" t="n"/>
      <c r="AG244" s="1633" t="n"/>
      <c r="AH244" s="1633" t="n"/>
      <c r="AI244" s="1633" t="n"/>
      <c r="AJ244" s="1633" t="n"/>
      <c r="AK244" s="1633" t="n"/>
      <c r="AL244" s="1633" t="n"/>
      <c r="AM244" s="1633" t="n"/>
      <c r="AN244" s="1633" t="n"/>
      <c r="AO244" s="1633" t="n"/>
      <c r="AP244" s="1633" t="n"/>
      <c r="AQ244" s="1633" t="n"/>
      <c r="AR244" s="1633" t="n"/>
      <c r="AS244" s="1633" t="n"/>
      <c r="AT244" s="1633" t="n"/>
      <c r="AU244" s="1633" t="n"/>
      <c r="AV244" s="1633" t="n"/>
      <c r="AW244" s="1633" t="n"/>
      <c r="AX244" s="1633" t="n"/>
      <c r="AY244" s="1633" t="n"/>
      <c r="AZ244" s="1633" t="n"/>
    </row>
    <row r="245" ht="13.7" customFormat="1" customHeight="1" s="1573">
      <c r="B245" s="1633" t="n"/>
      <c r="C245" s="1633" t="n"/>
      <c r="D245" s="1633" t="n"/>
      <c r="E245" s="1633" t="n"/>
      <c r="F245" s="1633" t="n"/>
      <c r="G245" s="1633" t="n"/>
      <c r="H245" s="1633" t="n"/>
      <c r="I245" s="1633" t="n"/>
      <c r="J245" s="1633" t="n"/>
      <c r="K245" s="1633" t="n"/>
      <c r="L245" s="1633" t="n"/>
      <c r="M245" s="1633" t="n"/>
      <c r="N245" s="1633" t="n"/>
      <c r="O245" s="1633" t="n"/>
      <c r="P245" s="1633" t="n"/>
      <c r="Q245" s="1633" t="n"/>
      <c r="R245" s="1633" t="n"/>
      <c r="S245" s="1633" t="n"/>
      <c r="T245" s="1633" t="n"/>
      <c r="U245" s="1633" t="n"/>
      <c r="V245" s="1633" t="n"/>
      <c r="W245" s="1633" t="n"/>
      <c r="X245" s="1633" t="n"/>
      <c r="Y245" s="1633" t="n"/>
      <c r="Z245" s="1633" t="n"/>
      <c r="AA245" s="1633" t="n"/>
      <c r="AB245" s="1633" t="n"/>
      <c r="AC245" s="1633" t="n"/>
      <c r="AD245" s="1633" t="n"/>
      <c r="AE245" s="1633" t="n"/>
      <c r="AF245" s="1633" t="n"/>
      <c r="AG245" s="1633" t="n"/>
      <c r="AH245" s="1633" t="n"/>
      <c r="AI245" s="1633" t="n"/>
      <c r="AJ245" s="1633" t="n"/>
      <c r="AK245" s="1633" t="n"/>
      <c r="AL245" s="1633" t="n"/>
      <c r="AM245" s="1633" t="n"/>
      <c r="AN245" s="1633" t="n"/>
      <c r="AO245" s="1633" t="n"/>
      <c r="AP245" s="1633" t="n"/>
      <c r="AQ245" s="1633" t="n"/>
      <c r="AR245" s="1633" t="n"/>
      <c r="AS245" s="1633" t="n"/>
      <c r="AT245" s="1633" t="n"/>
      <c r="AU245" s="1633" t="n"/>
      <c r="AV245" s="1633" t="n"/>
      <c r="AW245" s="1633" t="n"/>
      <c r="AX245" s="1633" t="n"/>
      <c r="AY245" s="1633" t="n"/>
      <c r="AZ245" s="1633" t="n"/>
    </row>
    <row r="246" ht="13.7" customFormat="1" customHeight="1" s="1573">
      <c r="B246" s="1633" t="n"/>
      <c r="C246" s="1633" t="n"/>
      <c r="D246" s="1633" t="n"/>
      <c r="E246" s="1633" t="n"/>
      <c r="F246" s="1633" t="n"/>
      <c r="G246" s="1633" t="n"/>
      <c r="H246" s="1633" t="n"/>
      <c r="I246" s="1633" t="n"/>
      <c r="J246" s="1633" t="n"/>
      <c r="K246" s="1633" t="n"/>
      <c r="L246" s="1633" t="n"/>
      <c r="M246" s="1633" t="n"/>
      <c r="N246" s="1633" t="n"/>
      <c r="O246" s="1633" t="n"/>
      <c r="P246" s="1633" t="n"/>
      <c r="Q246" s="1633" t="n"/>
      <c r="R246" s="1633" t="n"/>
      <c r="S246" s="1633" t="n"/>
      <c r="T246" s="1633" t="n"/>
      <c r="U246" s="1633" t="n"/>
      <c r="V246" s="1633" t="n"/>
      <c r="W246" s="1633" t="n"/>
      <c r="X246" s="1633" t="n"/>
      <c r="Y246" s="1633" t="n"/>
      <c r="Z246" s="1633" t="n"/>
      <c r="AA246" s="1633" t="n"/>
      <c r="AB246" s="1633" t="n"/>
      <c r="AC246" s="1633" t="n"/>
      <c r="AD246" s="1633" t="n"/>
      <c r="AE246" s="1633" t="n"/>
      <c r="AF246" s="1633" t="n"/>
      <c r="AG246" s="1633" t="n"/>
      <c r="AH246" s="1633" t="n"/>
      <c r="AI246" s="1633" t="n"/>
      <c r="AJ246" s="1633" t="n"/>
      <c r="AK246" s="1633" t="n"/>
      <c r="AL246" s="1633" t="n"/>
      <c r="AM246" s="1633" t="n"/>
      <c r="AN246" s="1633" t="n"/>
      <c r="AO246" s="1633" t="n"/>
      <c r="AP246" s="1633" t="n"/>
      <c r="AQ246" s="1633" t="n"/>
      <c r="AR246" s="1633" t="n"/>
      <c r="AS246" s="1633" t="n"/>
      <c r="AT246" s="1633" t="n"/>
      <c r="AU246" s="1633" t="n"/>
      <c r="AV246" s="1633" t="n"/>
      <c r="AW246" s="1633" t="n"/>
      <c r="AX246" s="1633" t="n"/>
      <c r="AY246" s="1633" t="n"/>
      <c r="AZ246" s="1633" t="n"/>
    </row>
    <row r="247" ht="13.7" customFormat="1" customHeight="1" s="1573">
      <c r="B247" s="1633" t="n"/>
      <c r="C247" s="1633" t="n"/>
      <c r="D247" s="1633" t="n"/>
      <c r="E247" s="1633" t="n"/>
      <c r="F247" s="1633" t="n"/>
      <c r="G247" s="1633" t="n"/>
      <c r="H247" s="1633" t="n"/>
      <c r="I247" s="1633" t="n"/>
      <c r="J247" s="1633" t="n"/>
      <c r="K247" s="1633" t="n"/>
      <c r="L247" s="1633" t="n"/>
      <c r="M247" s="1633" t="n"/>
      <c r="N247" s="1633" t="n"/>
      <c r="O247" s="1633" t="n"/>
      <c r="P247" s="1633" t="n"/>
      <c r="Q247" s="1633" t="n"/>
      <c r="R247" s="1633" t="n"/>
      <c r="S247" s="1633" t="n"/>
      <c r="T247" s="1633" t="n"/>
      <c r="U247" s="1633" t="n"/>
      <c r="V247" s="1633" t="n"/>
      <c r="W247" s="1633" t="n"/>
      <c r="X247" s="1633" t="n"/>
      <c r="Y247" s="1633" t="n"/>
      <c r="Z247" s="1633" t="n"/>
      <c r="AA247" s="1633" t="n"/>
      <c r="AB247" s="1633" t="n"/>
      <c r="AC247" s="1633" t="n"/>
      <c r="AD247" s="1633" t="n"/>
      <c r="AE247" s="1633" t="n"/>
      <c r="AF247" s="1633" t="n"/>
      <c r="AG247" s="1633" t="n"/>
      <c r="AH247" s="1633" t="n"/>
      <c r="AI247" s="1633" t="n"/>
      <c r="AJ247" s="1633" t="n"/>
      <c r="AK247" s="1633" t="n"/>
      <c r="AL247" s="1633" t="n"/>
      <c r="AM247" s="1633" t="n"/>
      <c r="AN247" s="1633" t="n"/>
      <c r="AO247" s="1633" t="n"/>
      <c r="AP247" s="1633" t="n"/>
      <c r="AQ247" s="1633" t="n"/>
      <c r="AR247" s="1633" t="n"/>
      <c r="AS247" s="1633" t="n"/>
      <c r="AT247" s="1633" t="n"/>
      <c r="AU247" s="1633" t="n"/>
      <c r="AV247" s="1633" t="n"/>
      <c r="AW247" s="1633" t="n"/>
      <c r="AX247" s="1633" t="n"/>
      <c r="AY247" s="1633" t="n"/>
      <c r="AZ247" s="1633" t="n"/>
    </row>
    <row r="248" ht="13.7" customFormat="1" customHeight="1" s="1573">
      <c r="B248" s="1633" t="n"/>
      <c r="C248" s="1633" t="n"/>
      <c r="D248" s="1633" t="n"/>
      <c r="E248" s="1633" t="n"/>
      <c r="F248" s="1633" t="n"/>
      <c r="G248" s="1633" t="n"/>
      <c r="H248" s="1633" t="n"/>
      <c r="I248" s="1633" t="n"/>
      <c r="J248" s="1633" t="n"/>
      <c r="K248" s="1633" t="n"/>
      <c r="L248" s="1633" t="n"/>
      <c r="M248" s="1633" t="n"/>
      <c r="N248" s="1633" t="n"/>
      <c r="O248" s="1633" t="n"/>
      <c r="P248" s="1633" t="n"/>
      <c r="Q248" s="1633" t="n"/>
      <c r="R248" s="1633" t="n"/>
      <c r="S248" s="1633" t="n"/>
      <c r="T248" s="1633" t="n"/>
      <c r="U248" s="1633" t="n"/>
      <c r="V248" s="1633" t="n"/>
      <c r="W248" s="1633" t="n"/>
      <c r="X248" s="1633" t="n"/>
      <c r="Y248" s="1633" t="n"/>
      <c r="Z248" s="1633" t="n"/>
      <c r="AA248" s="1633" t="n"/>
      <c r="AB248" s="1633" t="n"/>
      <c r="AC248" s="1633" t="n"/>
      <c r="AD248" s="1633" t="n"/>
      <c r="AE248" s="1633" t="n"/>
      <c r="AF248" s="1633" t="n"/>
      <c r="AG248" s="1633" t="n"/>
      <c r="AH248" s="1633" t="n"/>
      <c r="AI248" s="1633" t="n"/>
      <c r="AJ248" s="1633" t="n"/>
      <c r="AK248" s="1633" t="n"/>
      <c r="AL248" s="1633" t="n"/>
      <c r="AM248" s="1633" t="n"/>
      <c r="AN248" s="1633" t="n"/>
      <c r="AO248" s="1633" t="n"/>
      <c r="AP248" s="1633" t="n"/>
      <c r="AQ248" s="1633" t="n"/>
      <c r="AR248" s="1633" t="n"/>
      <c r="AS248" s="1633" t="n"/>
      <c r="AT248" s="1633" t="n"/>
      <c r="AU248" s="1633" t="n"/>
      <c r="AV248" s="1633" t="n"/>
      <c r="AW248" s="1633" t="n"/>
      <c r="AX248" s="1633" t="n"/>
      <c r="AY248" s="1633" t="n"/>
      <c r="AZ248" s="1633" t="n"/>
    </row>
    <row r="249" ht="13.7" customFormat="1" customHeight="1" s="1573">
      <c r="B249" s="1633" t="n"/>
      <c r="C249" s="1633" t="n"/>
      <c r="D249" s="1633" t="n"/>
      <c r="E249" s="1633" t="n"/>
      <c r="F249" s="1633" t="n"/>
      <c r="G249" s="1633" t="n"/>
      <c r="H249" s="1633" t="n"/>
      <c r="I249" s="1633" t="n"/>
      <c r="J249" s="1633" t="n"/>
      <c r="K249" s="1633" t="n"/>
      <c r="L249" s="1633" t="n"/>
      <c r="M249" s="1633" t="n"/>
      <c r="N249" s="1633" t="n"/>
      <c r="O249" s="1633" t="n"/>
      <c r="P249" s="1633" t="n"/>
      <c r="Q249" s="1633" t="n"/>
      <c r="R249" s="1633" t="n"/>
      <c r="S249" s="1633" t="n"/>
      <c r="T249" s="1633" t="n"/>
      <c r="U249" s="1633" t="n"/>
      <c r="V249" s="1633" t="n"/>
      <c r="W249" s="1633" t="n"/>
      <c r="X249" s="1633" t="n"/>
      <c r="Y249" s="1633" t="n"/>
      <c r="Z249" s="1633" t="n"/>
      <c r="AA249" s="1633" t="n"/>
      <c r="AB249" s="1633" t="n"/>
      <c r="AC249" s="1633" t="n"/>
      <c r="AD249" s="1633" t="n"/>
      <c r="AE249" s="1633" t="n"/>
      <c r="AF249" s="1633" t="n"/>
      <c r="AG249" s="1633" t="n"/>
      <c r="AH249" s="1633" t="n"/>
      <c r="AI249" s="1633" t="n"/>
      <c r="AJ249" s="1633" t="n"/>
      <c r="AK249" s="1633" t="n"/>
      <c r="AL249" s="1633" t="n"/>
      <c r="AM249" s="1633" t="n"/>
      <c r="AN249" s="1633" t="n"/>
      <c r="AO249" s="1633" t="n"/>
      <c r="AP249" s="1633" t="n"/>
      <c r="AQ249" s="1633" t="n"/>
      <c r="AR249" s="1633" t="n"/>
      <c r="AS249" s="1633" t="n"/>
      <c r="AT249" s="1633" t="n"/>
      <c r="AU249" s="1633" t="n"/>
      <c r="AV249" s="1633" t="n"/>
      <c r="AW249" s="1633" t="n"/>
      <c r="AX249" s="1633" t="n"/>
      <c r="AY249" s="1633" t="n"/>
      <c r="AZ249" s="1633" t="n"/>
    </row>
    <row r="250" ht="13.7" customFormat="1" customHeight="1" s="1573">
      <c r="B250" s="1633" t="n"/>
      <c r="C250" s="1633" t="n"/>
      <c r="D250" s="1633" t="n"/>
      <c r="E250" s="1633" t="n"/>
      <c r="F250" s="1633" t="n"/>
      <c r="G250" s="1633" t="n"/>
      <c r="H250" s="1633" t="n"/>
      <c r="I250" s="1633" t="n"/>
      <c r="J250" s="1633" t="n"/>
      <c r="K250" s="1633" t="n"/>
      <c r="L250" s="1633" t="n"/>
      <c r="M250" s="1633" t="n"/>
      <c r="N250" s="1633" t="n"/>
      <c r="O250" s="1633" t="n"/>
      <c r="P250" s="1633" t="n"/>
      <c r="Q250" s="1633" t="n"/>
      <c r="R250" s="1633" t="n"/>
      <c r="S250" s="1633" t="n"/>
      <c r="T250" s="1633" t="n"/>
      <c r="U250" s="1633" t="n"/>
      <c r="V250" s="1633" t="n"/>
      <c r="W250" s="1633" t="n"/>
      <c r="X250" s="1633" t="n"/>
      <c r="Y250" s="1633" t="n"/>
      <c r="Z250" s="1633" t="n"/>
      <c r="AA250" s="1633" t="n"/>
      <c r="AB250" s="1633" t="n"/>
      <c r="AC250" s="1633" t="n"/>
      <c r="AD250" s="1633" t="n"/>
      <c r="AE250" s="1633" t="n"/>
      <c r="AF250" s="1633" t="n"/>
      <c r="AG250" s="1633" t="n"/>
      <c r="AH250" s="1633" t="n"/>
      <c r="AI250" s="1633" t="n"/>
      <c r="AJ250" s="1633" t="n"/>
      <c r="AK250" s="1633" t="n"/>
      <c r="AL250" s="1633" t="n"/>
      <c r="AM250" s="1633" t="n"/>
      <c r="AN250" s="1633" t="n"/>
      <c r="AO250" s="1633" t="n"/>
      <c r="AP250" s="1633" t="n"/>
      <c r="AQ250" s="1633" t="n"/>
      <c r="AR250" s="1633" t="n"/>
      <c r="AS250" s="1633" t="n"/>
      <c r="AT250" s="1633" t="n"/>
      <c r="AU250" s="1633" t="n"/>
      <c r="AV250" s="1633" t="n"/>
      <c r="AW250" s="1633" t="n"/>
      <c r="AX250" s="1633" t="n"/>
      <c r="AY250" s="1633" t="n"/>
      <c r="AZ250" s="1633" t="n"/>
    </row>
    <row r="251" ht="13.7" customFormat="1" customHeight="1" s="1573">
      <c r="B251" s="1633" t="n"/>
      <c r="C251" s="1633" t="n"/>
      <c r="D251" s="1633" t="n"/>
      <c r="E251" s="1633" t="n"/>
      <c r="F251" s="1633" t="n"/>
      <c r="G251" s="1633" t="n"/>
      <c r="H251" s="1633" t="n"/>
      <c r="I251" s="1633" t="n"/>
      <c r="J251" s="1633" t="n"/>
      <c r="K251" s="1633" t="n"/>
      <c r="L251" s="1633" t="n"/>
      <c r="M251" s="1633" t="n"/>
      <c r="N251" s="1633" t="n"/>
      <c r="O251" s="1633" t="n"/>
      <c r="P251" s="1633" t="n"/>
      <c r="Q251" s="1633" t="n"/>
      <c r="R251" s="1633" t="n"/>
      <c r="S251" s="1633" t="n"/>
      <c r="T251" s="1633" t="n"/>
      <c r="U251" s="1633" t="n"/>
      <c r="V251" s="1633" t="n"/>
      <c r="W251" s="1633" t="n"/>
      <c r="X251" s="1633" t="n"/>
      <c r="Y251" s="1633" t="n"/>
      <c r="Z251" s="1633" t="n"/>
      <c r="AA251" s="1633" t="n"/>
      <c r="AB251" s="1633" t="n"/>
      <c r="AC251" s="1633" t="n"/>
      <c r="AD251" s="1633" t="n"/>
      <c r="AE251" s="1633" t="n"/>
      <c r="AF251" s="1633" t="n"/>
      <c r="AG251" s="1633" t="n"/>
      <c r="AH251" s="1633" t="n"/>
      <c r="AI251" s="1633" t="n"/>
      <c r="AJ251" s="1633" t="n"/>
      <c r="AK251" s="1633" t="n"/>
      <c r="AL251" s="1633" t="n"/>
      <c r="AM251" s="1633" t="n"/>
      <c r="AN251" s="1633" t="n"/>
      <c r="AO251" s="1633" t="n"/>
      <c r="AP251" s="1633" t="n"/>
      <c r="AQ251" s="1633" t="n"/>
      <c r="AR251" s="1633" t="n"/>
      <c r="AS251" s="1633" t="n"/>
      <c r="AT251" s="1633" t="n"/>
      <c r="AU251" s="1633" t="n"/>
      <c r="AV251" s="1633" t="n"/>
      <c r="AW251" s="1633" t="n"/>
      <c r="AX251" s="1633" t="n"/>
      <c r="AY251" s="1633" t="n"/>
      <c r="AZ251" s="1633" t="n"/>
    </row>
    <row r="252" ht="13.7" customFormat="1" customHeight="1" s="1573">
      <c r="B252" s="1633" t="n"/>
      <c r="C252" s="1633" t="n"/>
      <c r="D252" s="1633" t="n"/>
      <c r="E252" s="1633" t="n"/>
      <c r="F252" s="1633" t="n"/>
      <c r="G252" s="1633" t="n"/>
      <c r="H252" s="1633" t="n"/>
      <c r="I252" s="1633" t="n"/>
      <c r="J252" s="1633" t="n"/>
      <c r="K252" s="1633" t="n"/>
      <c r="L252" s="1633" t="n"/>
      <c r="M252" s="1633" t="n"/>
      <c r="N252" s="1633" t="n"/>
      <c r="O252" s="1633" t="n"/>
      <c r="P252" s="1633" t="n"/>
      <c r="Q252" s="1633" t="n"/>
      <c r="R252" s="1633" t="n"/>
      <c r="S252" s="1633" t="n"/>
      <c r="T252" s="1633" t="n"/>
      <c r="U252" s="1633" t="n"/>
      <c r="V252" s="1633" t="n"/>
      <c r="W252" s="1633" t="n"/>
      <c r="X252" s="1633" t="n"/>
      <c r="Y252" s="1633" t="n"/>
      <c r="Z252" s="1633" t="n"/>
      <c r="AA252" s="1633" t="n"/>
      <c r="AB252" s="1633" t="n"/>
      <c r="AC252" s="1633" t="n"/>
      <c r="AD252" s="1633" t="n"/>
      <c r="AE252" s="1633" t="n"/>
      <c r="AF252" s="1633" t="n"/>
      <c r="AG252" s="1633" t="n"/>
      <c r="AH252" s="1633" t="n"/>
      <c r="AI252" s="1633" t="n"/>
      <c r="AJ252" s="1633" t="n"/>
      <c r="AK252" s="1633" t="n"/>
      <c r="AL252" s="1633" t="n"/>
      <c r="AM252" s="1633" t="n"/>
      <c r="AN252" s="1633" t="n"/>
      <c r="AO252" s="1633" t="n"/>
      <c r="AP252" s="1633" t="n"/>
      <c r="AQ252" s="1633" t="n"/>
      <c r="AR252" s="1633" t="n"/>
      <c r="AS252" s="1633" t="n"/>
      <c r="AT252" s="1633" t="n"/>
      <c r="AU252" s="1633" t="n"/>
      <c r="AV252" s="1633" t="n"/>
      <c r="AW252" s="1633" t="n"/>
      <c r="AX252" s="1633" t="n"/>
      <c r="AY252" s="1633" t="n"/>
      <c r="AZ252" s="1633" t="n"/>
    </row>
    <row r="253" ht="13.7" customFormat="1" customHeight="1" s="1573">
      <c r="B253" s="1633" t="n"/>
      <c r="C253" s="1633" t="n"/>
      <c r="D253" s="1633" t="n"/>
      <c r="E253" s="1633" t="n"/>
      <c r="F253" s="1633" t="n"/>
      <c r="G253" s="1633" t="n"/>
      <c r="H253" s="1633" t="n"/>
      <c r="I253" s="1633" t="n"/>
      <c r="J253" s="1633" t="n"/>
      <c r="K253" s="1633" t="n"/>
      <c r="L253" s="1633" t="n"/>
      <c r="M253" s="1633" t="n"/>
      <c r="N253" s="1633" t="n"/>
      <c r="O253" s="1633" t="n"/>
      <c r="P253" s="1633" t="n"/>
      <c r="Q253" s="1633" t="n"/>
      <c r="R253" s="1633" t="n"/>
      <c r="S253" s="1633" t="n"/>
      <c r="T253" s="1633" t="n"/>
      <c r="U253" s="1633" t="n"/>
      <c r="V253" s="1633" t="n"/>
      <c r="W253" s="1633" t="n"/>
      <c r="X253" s="1633" t="n"/>
      <c r="Y253" s="1633" t="n"/>
      <c r="Z253" s="1633" t="n"/>
      <c r="AA253" s="1633" t="n"/>
      <c r="AB253" s="1633" t="n"/>
      <c r="AC253" s="1633" t="n"/>
      <c r="AD253" s="1633" t="n"/>
      <c r="AE253" s="1633" t="n"/>
      <c r="AF253" s="1633" t="n"/>
      <c r="AG253" s="1633" t="n"/>
      <c r="AH253" s="1633" t="n"/>
      <c r="AI253" s="1633" t="n"/>
      <c r="AJ253" s="1633" t="n"/>
      <c r="AK253" s="1633" t="n"/>
      <c r="AL253" s="1633" t="n"/>
      <c r="AM253" s="1633" t="n"/>
      <c r="AN253" s="1633" t="n"/>
      <c r="AO253" s="1633" t="n"/>
      <c r="AP253" s="1633" t="n"/>
      <c r="AQ253" s="1633" t="n"/>
      <c r="AR253" s="1633" t="n"/>
      <c r="AS253" s="1633" t="n"/>
      <c r="AT253" s="1633" t="n"/>
      <c r="AU253" s="1633" t="n"/>
      <c r="AV253" s="1633" t="n"/>
      <c r="AW253" s="1633" t="n"/>
      <c r="AX253" s="1633" t="n"/>
      <c r="AY253" s="1633" t="n"/>
      <c r="AZ253" s="1633" t="n"/>
    </row>
    <row r="254" ht="13.7" customFormat="1" customHeight="1" s="1573">
      <c r="B254" s="1633" t="n"/>
      <c r="C254" s="1633" t="n"/>
      <c r="D254" s="1633" t="n"/>
      <c r="E254" s="1633" t="n"/>
      <c r="F254" s="1633" t="n"/>
      <c r="G254" s="1633" t="n"/>
      <c r="H254" s="1633" t="n"/>
      <c r="I254" s="1633" t="n"/>
      <c r="J254" s="1633" t="n"/>
      <c r="K254" s="1633" t="n"/>
      <c r="L254" s="1633" t="n"/>
      <c r="M254" s="1633" t="n"/>
      <c r="N254" s="1633" t="n"/>
      <c r="O254" s="1633" t="n"/>
      <c r="P254" s="1633" t="n"/>
      <c r="Q254" s="1633" t="n"/>
      <c r="R254" s="1633" t="n"/>
      <c r="S254" s="1633" t="n"/>
      <c r="T254" s="1633" t="n"/>
      <c r="U254" s="1633" t="n"/>
      <c r="V254" s="1633" t="n"/>
      <c r="W254" s="1633" t="n"/>
      <c r="X254" s="1633" t="n"/>
      <c r="Y254" s="1633" t="n"/>
      <c r="Z254" s="1633" t="n"/>
      <c r="AA254" s="1633" t="n"/>
      <c r="AB254" s="1633" t="n"/>
      <c r="AC254" s="1633" t="n"/>
      <c r="AD254" s="1633" t="n"/>
      <c r="AE254" s="1633" t="n"/>
      <c r="AF254" s="1633" t="n"/>
      <c r="AG254" s="1633" t="n"/>
      <c r="AH254" s="1633" t="n"/>
      <c r="AI254" s="1633" t="n"/>
      <c r="AJ254" s="1633" t="n"/>
      <c r="AK254" s="1633" t="n"/>
      <c r="AL254" s="1633" t="n"/>
      <c r="AM254" s="1633" t="n"/>
      <c r="AN254" s="1633" t="n"/>
      <c r="AO254" s="1633" t="n"/>
      <c r="AP254" s="1633" t="n"/>
      <c r="AQ254" s="1633" t="n"/>
      <c r="AR254" s="1633" t="n"/>
      <c r="AS254" s="1633" t="n"/>
      <c r="AT254" s="1633" t="n"/>
      <c r="AU254" s="1633" t="n"/>
      <c r="AV254" s="1633" t="n"/>
      <c r="AW254" s="1633" t="n"/>
      <c r="AX254" s="1633" t="n"/>
      <c r="AY254" s="1633" t="n"/>
      <c r="AZ254" s="1633" t="n"/>
    </row>
    <row r="255" ht="13.55" customFormat="1" customHeight="1" s="1573">
      <c r="B255" s="1633" t="n"/>
      <c r="C255" s="1633" t="n"/>
      <c r="D255" s="1633" t="n"/>
      <c r="E255" s="1633" t="n"/>
      <c r="F255" s="1633" t="n"/>
      <c r="G255" s="1633" t="n"/>
      <c r="H255" s="1633" t="n"/>
      <c r="I255" s="1633" t="n"/>
      <c r="J255" s="1633" t="n"/>
      <c r="K255" s="1633" t="n"/>
      <c r="L255" s="1633" t="n"/>
      <c r="M255" s="1633" t="n"/>
      <c r="N255" s="1633" t="n"/>
      <c r="O255" s="1633" t="n"/>
      <c r="P255" s="1633" t="n"/>
      <c r="Q255" s="1633" t="n"/>
      <c r="R255" s="1633" t="n"/>
      <c r="S255" s="1633" t="n"/>
      <c r="T255" s="1633" t="n"/>
      <c r="U255" s="1633" t="n"/>
      <c r="V255" s="1633" t="n"/>
      <c r="W255" s="1633" t="n"/>
      <c r="X255" s="1633" t="n"/>
      <c r="Y255" s="1633" t="n"/>
      <c r="Z255" s="1633" t="n"/>
      <c r="AA255" s="1633" t="n"/>
      <c r="AB255" s="1633" t="n"/>
      <c r="AC255" s="1633" t="n"/>
      <c r="AD255" s="1633" t="n"/>
      <c r="AE255" s="1633" t="n"/>
      <c r="AF255" s="1633" t="n"/>
      <c r="AG255" s="1633" t="n"/>
      <c r="AH255" s="1633" t="n"/>
      <c r="AI255" s="1633" t="n"/>
      <c r="AJ255" s="1633" t="n"/>
      <c r="AK255" s="1633" t="n"/>
      <c r="AL255" s="1633" t="n"/>
      <c r="AM255" s="1633" t="n"/>
      <c r="AN255" s="1633" t="n"/>
      <c r="AO255" s="1633" t="n"/>
      <c r="AP255" s="1633" t="n"/>
      <c r="AQ255" s="1633" t="n"/>
      <c r="AR255" s="1633" t="n"/>
      <c r="AS255" s="1633" t="n"/>
      <c r="AT255" s="1633" t="n"/>
      <c r="AU255" s="1633" t="n"/>
      <c r="AV255" s="1633" t="n"/>
      <c r="AW255" s="1633" t="n"/>
      <c r="AX255" s="1633" t="n"/>
      <c r="AY255" s="1633" t="n"/>
      <c r="AZ255" s="1633" t="n"/>
    </row>
    <row r="256" ht="13.55" customFormat="1" customHeight="1" s="1573">
      <c r="B256" s="1633" t="n"/>
      <c r="C256" s="1633" t="n"/>
      <c r="D256" s="1633" t="n"/>
      <c r="E256" s="1633" t="n"/>
      <c r="F256" s="1633" t="n"/>
      <c r="G256" s="1633" t="n"/>
      <c r="H256" s="1633" t="n"/>
      <c r="I256" s="1633" t="n"/>
      <c r="J256" s="1633" t="n"/>
      <c r="K256" s="1633" t="n"/>
      <c r="L256" s="1633" t="n"/>
      <c r="M256" s="1633" t="n"/>
      <c r="N256" s="1633" t="n"/>
      <c r="O256" s="1633" t="n"/>
      <c r="P256" s="1633" t="n"/>
      <c r="Q256" s="1633" t="n"/>
      <c r="R256" s="1633" t="n"/>
      <c r="S256" s="1633" t="n"/>
      <c r="T256" s="1633" t="n"/>
      <c r="U256" s="1633" t="n"/>
      <c r="V256" s="1633" t="n"/>
      <c r="W256" s="1633" t="n"/>
      <c r="X256" s="1633" t="n"/>
      <c r="Y256" s="1633" t="n"/>
      <c r="Z256" s="1633" t="n"/>
      <c r="AA256" s="1633" t="n"/>
      <c r="AB256" s="1633" t="n"/>
      <c r="AC256" s="1633" t="n"/>
      <c r="AD256" s="1633" t="n"/>
      <c r="AE256" s="1633" t="n"/>
      <c r="AF256" s="1633" t="n"/>
      <c r="AG256" s="1633" t="n"/>
      <c r="AH256" s="1633" t="n"/>
      <c r="AI256" s="1633" t="n"/>
      <c r="AJ256" s="1633" t="n"/>
      <c r="AK256" s="1633" t="n"/>
      <c r="AL256" s="1633" t="n"/>
      <c r="AM256" s="1633" t="n"/>
      <c r="AN256" s="1633" t="n"/>
      <c r="AO256" s="1633" t="n"/>
      <c r="AP256" s="1633" t="n"/>
      <c r="AQ256" s="1633" t="n"/>
      <c r="AR256" s="1633" t="n"/>
      <c r="AS256" s="1633" t="n"/>
      <c r="AT256" s="1633" t="n"/>
      <c r="AU256" s="1633" t="n"/>
      <c r="AV256" s="1633" t="n"/>
      <c r="AW256" s="1633" t="n"/>
      <c r="AX256" s="1633" t="n"/>
      <c r="AY256" s="1633" t="n"/>
      <c r="AZ256" s="1633" t="n"/>
    </row>
    <row r="257" ht="13.55" customFormat="1" customHeight="1" s="1573">
      <c r="B257" s="1633" t="n"/>
      <c r="C257" s="1633" t="n"/>
      <c r="D257" s="1633" t="n"/>
      <c r="E257" s="1633" t="n"/>
      <c r="F257" s="1633" t="n"/>
      <c r="G257" s="1633" t="n"/>
      <c r="H257" s="1633" t="n"/>
      <c r="I257" s="1633" t="n"/>
      <c r="J257" s="1633" t="n"/>
      <c r="K257" s="1633" t="n"/>
      <c r="L257" s="1633" t="n"/>
      <c r="M257" s="1633" t="n"/>
      <c r="N257" s="1633" t="n"/>
      <c r="O257" s="1633" t="n"/>
      <c r="P257" s="1633" t="n"/>
      <c r="Q257" s="1633" t="n"/>
      <c r="R257" s="1633" t="n"/>
      <c r="S257" s="1633" t="n"/>
      <c r="T257" s="1633" t="n"/>
      <c r="U257" s="1633" t="n"/>
      <c r="V257" s="1633" t="n"/>
      <c r="W257" s="1633" t="n"/>
      <c r="X257" s="1633" t="n"/>
      <c r="Y257" s="1633" t="n"/>
      <c r="Z257" s="1633" t="n"/>
      <c r="AA257" s="1633" t="n"/>
      <c r="AB257" s="1633" t="n"/>
      <c r="AC257" s="1633" t="n"/>
      <c r="AD257" s="1633" t="n"/>
      <c r="AE257" s="1633" t="n"/>
      <c r="AF257" s="1633" t="n"/>
      <c r="AG257" s="1633" t="n"/>
      <c r="AH257" s="1633" t="n"/>
      <c r="AI257" s="1633" t="n"/>
      <c r="AJ257" s="1633" t="n"/>
      <c r="AK257" s="1633" t="n"/>
      <c r="AL257" s="1633" t="n"/>
      <c r="AM257" s="1633" t="n"/>
      <c r="AN257" s="1633" t="n"/>
      <c r="AO257" s="1633" t="n"/>
      <c r="AP257" s="1633" t="n"/>
      <c r="AQ257" s="1633" t="n"/>
      <c r="AR257" s="1633" t="n"/>
      <c r="AS257" s="1633" t="n"/>
      <c r="AT257" s="1633" t="n"/>
      <c r="AU257" s="1633" t="n"/>
      <c r="AV257" s="1633" t="n"/>
      <c r="AW257" s="1633" t="n"/>
      <c r="AX257" s="1633" t="n"/>
      <c r="AY257" s="1633" t="n"/>
      <c r="AZ257" s="1633" t="n"/>
    </row>
    <row r="258" ht="13.55" customFormat="1" customHeight="1" s="1573">
      <c r="B258" s="1633" t="n"/>
      <c r="C258" s="1633" t="n"/>
      <c r="D258" s="1633" t="n"/>
      <c r="E258" s="1633" t="n"/>
      <c r="F258" s="1633" t="n"/>
      <c r="G258" s="1633" t="n"/>
      <c r="H258" s="1633" t="n"/>
      <c r="I258" s="1633" t="n"/>
      <c r="J258" s="1633" t="n"/>
      <c r="K258" s="1633" t="n"/>
      <c r="L258" s="1633" t="n"/>
      <c r="M258" s="1633" t="n"/>
      <c r="N258" s="1633" t="n"/>
      <c r="O258" s="1633" t="n"/>
      <c r="P258" s="1633" t="n"/>
      <c r="Q258" s="1633" t="n"/>
      <c r="R258" s="1633" t="n"/>
      <c r="S258" s="1633" t="n"/>
      <c r="T258" s="1633" t="n"/>
      <c r="U258" s="1633" t="n"/>
      <c r="V258" s="1633" t="n"/>
      <c r="W258" s="1633" t="n"/>
      <c r="X258" s="1633" t="n"/>
      <c r="Y258" s="1633" t="n"/>
      <c r="Z258" s="1633" t="n"/>
      <c r="AA258" s="1633" t="n"/>
      <c r="AB258" s="1633" t="n"/>
      <c r="AC258" s="1633" t="n"/>
      <c r="AD258" s="1633" t="n"/>
      <c r="AE258" s="1633" t="n"/>
      <c r="AF258" s="1633" t="n"/>
      <c r="AG258" s="1633" t="n"/>
      <c r="AH258" s="1633" t="n"/>
      <c r="AI258" s="1633" t="n"/>
      <c r="AJ258" s="1633" t="n"/>
      <c r="AK258" s="1633" t="n"/>
      <c r="AL258" s="1633" t="n"/>
      <c r="AM258" s="1633" t="n"/>
      <c r="AN258" s="1633" t="n"/>
      <c r="AO258" s="1633" t="n"/>
      <c r="AP258" s="1633" t="n"/>
      <c r="AQ258" s="1633" t="n"/>
      <c r="AR258" s="1633" t="n"/>
      <c r="AS258" s="1633" t="n"/>
      <c r="AT258" s="1633" t="n"/>
      <c r="AU258" s="1633" t="n"/>
      <c r="AV258" s="1633" t="n"/>
      <c r="AW258" s="1633" t="n"/>
      <c r="AX258" s="1633" t="n"/>
      <c r="AY258" s="1633" t="n"/>
      <c r="AZ258" s="1633" t="n"/>
    </row>
    <row r="259" ht="13.55" customFormat="1" customHeight="1" s="1573">
      <c r="B259" s="1633" t="n"/>
      <c r="C259" s="1633" t="n"/>
      <c r="D259" s="1633" t="n"/>
      <c r="E259" s="1633" t="n"/>
      <c r="F259" s="1633" t="n"/>
      <c r="G259" s="1633" t="n"/>
      <c r="H259" s="1633" t="n"/>
      <c r="I259" s="1633" t="n"/>
      <c r="J259" s="1633" t="n"/>
      <c r="K259" s="1633" t="n"/>
      <c r="L259" s="1633" t="n"/>
      <c r="M259" s="1633" t="n"/>
      <c r="N259" s="1633" t="n"/>
      <c r="O259" s="1633" t="n"/>
      <c r="P259" s="1633" t="n"/>
      <c r="Q259" s="1633" t="n"/>
      <c r="R259" s="1633" t="n"/>
      <c r="S259" s="1633" t="n"/>
      <c r="T259" s="1633" t="n"/>
      <c r="U259" s="1633" t="n"/>
      <c r="V259" s="1633" t="n"/>
      <c r="W259" s="1633" t="n"/>
      <c r="X259" s="1633" t="n"/>
      <c r="Y259" s="1633" t="n"/>
      <c r="Z259" s="1633" t="n"/>
      <c r="AA259" s="1633" t="n"/>
      <c r="AB259" s="1633" t="n"/>
      <c r="AC259" s="1633" t="n"/>
      <c r="AD259" s="1633" t="n"/>
      <c r="AE259" s="1633" t="n"/>
      <c r="AF259" s="1633" t="n"/>
      <c r="AG259" s="1633" t="n"/>
      <c r="AH259" s="1633" t="n"/>
      <c r="AI259" s="1633" t="n"/>
      <c r="AJ259" s="1633" t="n"/>
      <c r="AK259" s="1633" t="n"/>
      <c r="AL259" s="1633" t="n"/>
      <c r="AM259" s="1633" t="n"/>
      <c r="AN259" s="1633" t="n"/>
      <c r="AO259" s="1633" t="n"/>
      <c r="AP259" s="1633" t="n"/>
      <c r="AQ259" s="1633" t="n"/>
      <c r="AR259" s="1633" t="n"/>
      <c r="AS259" s="1633" t="n"/>
      <c r="AT259" s="1633" t="n"/>
      <c r="AU259" s="1633" t="n"/>
      <c r="AV259" s="1633" t="n"/>
      <c r="AW259" s="1633" t="n"/>
      <c r="AX259" s="1633" t="n"/>
      <c r="AY259" s="1633" t="n"/>
      <c r="AZ259" s="1633" t="n"/>
    </row>
    <row r="260" ht="13.55" customFormat="1" customHeight="1" s="1573">
      <c r="B260" s="1633" t="n"/>
      <c r="C260" s="1633" t="n"/>
      <c r="D260" s="1633" t="n"/>
      <c r="E260" s="1633" t="n"/>
      <c r="F260" s="1633" t="n"/>
      <c r="G260" s="1633" t="n"/>
      <c r="H260" s="1633" t="n"/>
      <c r="I260" s="1633" t="n"/>
      <c r="J260" s="1633" t="n"/>
      <c r="K260" s="1633" t="n"/>
      <c r="L260" s="1633" t="n"/>
      <c r="M260" s="1633" t="n"/>
      <c r="N260" s="1633" t="n"/>
      <c r="O260" s="1633" t="n"/>
      <c r="P260" s="1633" t="n"/>
      <c r="Q260" s="1633" t="n"/>
      <c r="R260" s="1633" t="n"/>
      <c r="S260" s="1633" t="n"/>
      <c r="T260" s="1633" t="n"/>
      <c r="U260" s="1633" t="n"/>
      <c r="V260" s="1633" t="n"/>
      <c r="W260" s="1633" t="n"/>
      <c r="X260" s="1633" t="n"/>
      <c r="Y260" s="1633" t="n"/>
      <c r="Z260" s="1633" t="n"/>
      <c r="AA260" s="1633" t="n"/>
      <c r="AB260" s="1633" t="n"/>
      <c r="AC260" s="1633" t="n"/>
      <c r="AD260" s="1633" t="n"/>
      <c r="AE260" s="1633" t="n"/>
      <c r="AF260" s="1633" t="n"/>
      <c r="AG260" s="1633" t="n"/>
      <c r="AH260" s="1633" t="n"/>
      <c r="AI260" s="1633" t="n"/>
      <c r="AJ260" s="1633" t="n"/>
      <c r="AK260" s="1633" t="n"/>
      <c r="AL260" s="1633" t="n"/>
      <c r="AM260" s="1633" t="n"/>
      <c r="AN260" s="1633" t="n"/>
      <c r="AO260" s="1633" t="n"/>
      <c r="AP260" s="1633" t="n"/>
      <c r="AQ260" s="1633" t="n"/>
      <c r="AR260" s="1633" t="n"/>
      <c r="AS260" s="1633" t="n"/>
      <c r="AT260" s="1633" t="n"/>
      <c r="AU260" s="1633" t="n"/>
      <c r="AV260" s="1633" t="n"/>
      <c r="AW260" s="1633" t="n"/>
      <c r="AX260" s="1633" t="n"/>
      <c r="AY260" s="1633" t="n"/>
      <c r="AZ260" s="1633" t="n"/>
    </row>
    <row r="261" ht="13.55" customFormat="1" customHeight="1" s="1573">
      <c r="B261" s="1633" t="n"/>
      <c r="C261" s="1633" t="n"/>
      <c r="D261" s="1633" t="n"/>
      <c r="E261" s="1633" t="n"/>
      <c r="F261" s="1633" t="n"/>
      <c r="G261" s="1633" t="n"/>
      <c r="H261" s="1633" t="n"/>
      <c r="I261" s="1633" t="n"/>
      <c r="J261" s="1633" t="n"/>
      <c r="K261" s="1633" t="n"/>
      <c r="L261" s="1633" t="n"/>
      <c r="M261" s="1633" t="n"/>
      <c r="N261" s="1633" t="n"/>
      <c r="O261" s="1633" t="n"/>
      <c r="P261" s="1633" t="n"/>
      <c r="Q261" s="1633" t="n"/>
      <c r="R261" s="1633" t="n"/>
      <c r="S261" s="1633" t="n"/>
      <c r="T261" s="1633" t="n"/>
      <c r="U261" s="1633" t="n"/>
      <c r="V261" s="1633" t="n"/>
      <c r="W261" s="1633" t="n"/>
      <c r="X261" s="1633" t="n"/>
      <c r="Y261" s="1633" t="n"/>
      <c r="Z261" s="1633" t="n"/>
      <c r="AA261" s="1633" t="n"/>
      <c r="AB261" s="1633" t="n"/>
      <c r="AC261" s="1633" t="n"/>
      <c r="AD261" s="1633" t="n"/>
      <c r="AE261" s="1633" t="n"/>
      <c r="AF261" s="1633" t="n"/>
      <c r="AG261" s="1633" t="n"/>
      <c r="AH261" s="1633" t="n"/>
      <c r="AI261" s="1633" t="n"/>
      <c r="AJ261" s="1633" t="n"/>
      <c r="AK261" s="1633" t="n"/>
      <c r="AL261" s="1633" t="n"/>
      <c r="AM261" s="1633" t="n"/>
      <c r="AN261" s="1633" t="n"/>
      <c r="AO261" s="1633" t="n"/>
      <c r="AP261" s="1633" t="n"/>
      <c r="AQ261" s="1633" t="n"/>
      <c r="AR261" s="1633" t="n"/>
      <c r="AS261" s="1633" t="n"/>
      <c r="AT261" s="1633" t="n"/>
      <c r="AU261" s="1633" t="n"/>
      <c r="AV261" s="1633" t="n"/>
      <c r="AW261" s="1633" t="n"/>
      <c r="AX261" s="1633" t="n"/>
      <c r="AY261" s="1633" t="n"/>
      <c r="AZ261" s="1633" t="n"/>
    </row>
    <row r="262" ht="13.55" customFormat="1" customHeight="1" s="1573">
      <c r="B262" s="1633" t="n"/>
      <c r="C262" s="1633" t="n"/>
      <c r="D262" s="1633" t="n"/>
      <c r="E262" s="1633" t="n"/>
      <c r="F262" s="1633" t="n"/>
      <c r="G262" s="1633" t="n"/>
      <c r="H262" s="1633" t="n"/>
      <c r="I262" s="1633" t="n"/>
      <c r="J262" s="1633" t="n"/>
      <c r="K262" s="1633" t="n"/>
      <c r="L262" s="1633" t="n"/>
      <c r="M262" s="1633" t="n"/>
      <c r="N262" s="1633" t="n"/>
      <c r="O262" s="1633" t="n"/>
      <c r="P262" s="1633" t="n"/>
      <c r="Q262" s="1633" t="n"/>
      <c r="R262" s="1633" t="n"/>
      <c r="S262" s="1633" t="n"/>
      <c r="T262" s="1633" t="n"/>
      <c r="U262" s="1633" t="n"/>
      <c r="V262" s="1633" t="n"/>
      <c r="W262" s="1633" t="n"/>
      <c r="X262" s="1633" t="n"/>
      <c r="Y262" s="1633" t="n"/>
      <c r="Z262" s="1633" t="n"/>
      <c r="AA262" s="1633" t="n"/>
      <c r="AB262" s="1633" t="n"/>
      <c r="AC262" s="1633" t="n"/>
      <c r="AD262" s="1633" t="n"/>
      <c r="AE262" s="1633" t="n"/>
      <c r="AF262" s="1633" t="n"/>
      <c r="AG262" s="1633" t="n"/>
      <c r="AH262" s="1633" t="n"/>
      <c r="AI262" s="1633" t="n"/>
      <c r="AJ262" s="1633" t="n"/>
      <c r="AK262" s="1633" t="n"/>
      <c r="AL262" s="1633" t="n"/>
      <c r="AM262" s="1633" t="n"/>
      <c r="AN262" s="1633" t="n"/>
      <c r="AO262" s="1633" t="n"/>
      <c r="AP262" s="1633" t="n"/>
      <c r="AQ262" s="1633" t="n"/>
      <c r="AR262" s="1633" t="n"/>
      <c r="AS262" s="1633" t="n"/>
      <c r="AT262" s="1633" t="n"/>
      <c r="AU262" s="1633" t="n"/>
      <c r="AV262" s="1633" t="n"/>
      <c r="AW262" s="1633" t="n"/>
      <c r="AX262" s="1633" t="n"/>
      <c r="AY262" s="1633" t="n"/>
      <c r="AZ262" s="1633" t="n"/>
    </row>
    <row r="263" ht="13.55" customFormat="1" customHeight="1" s="1573">
      <c r="B263" s="1633" t="n"/>
      <c r="C263" s="1633" t="n"/>
      <c r="D263" s="1633" t="n"/>
      <c r="E263" s="1633" t="n"/>
      <c r="F263" s="1633" t="n"/>
      <c r="G263" s="1633" t="n"/>
      <c r="H263" s="1633" t="n"/>
      <c r="I263" s="1633" t="n"/>
      <c r="J263" s="1633" t="n"/>
      <c r="K263" s="1633" t="n"/>
      <c r="L263" s="1633" t="n"/>
      <c r="M263" s="1633" t="n"/>
      <c r="N263" s="1633" t="n"/>
      <c r="O263" s="1633" t="n"/>
      <c r="P263" s="1633" t="n"/>
      <c r="Q263" s="1633" t="n"/>
      <c r="R263" s="1633" t="n"/>
      <c r="S263" s="1633" t="n"/>
      <c r="T263" s="1633" t="n"/>
      <c r="U263" s="1633" t="n"/>
      <c r="V263" s="1633" t="n"/>
      <c r="W263" s="1633" t="n"/>
      <c r="X263" s="1633" t="n"/>
      <c r="Y263" s="1633" t="n"/>
      <c r="Z263" s="1633" t="n"/>
      <c r="AA263" s="1633" t="n"/>
      <c r="AB263" s="1633" t="n"/>
      <c r="AC263" s="1633" t="n"/>
      <c r="AD263" s="1633" t="n"/>
      <c r="AE263" s="1633" t="n"/>
      <c r="AF263" s="1633" t="n"/>
      <c r="AG263" s="1633" t="n"/>
      <c r="AH263" s="1633" t="n"/>
      <c r="AI263" s="1633" t="n"/>
      <c r="AJ263" s="1633" t="n"/>
      <c r="AK263" s="1633" t="n"/>
      <c r="AL263" s="1633" t="n"/>
      <c r="AM263" s="1633" t="n"/>
      <c r="AN263" s="1633" t="n"/>
      <c r="AO263" s="1633" t="n"/>
      <c r="AP263" s="1633" t="n"/>
      <c r="AQ263" s="1633" t="n"/>
      <c r="AR263" s="1633" t="n"/>
      <c r="AS263" s="1633" t="n"/>
      <c r="AT263" s="1633" t="n"/>
      <c r="AU263" s="1633" t="n"/>
      <c r="AV263" s="1633" t="n"/>
      <c r="AW263" s="1633" t="n"/>
      <c r="AX263" s="1633" t="n"/>
      <c r="AY263" s="1633" t="n"/>
      <c r="AZ263" s="1633" t="n"/>
    </row>
    <row r="264" ht="13.55" customFormat="1" customHeight="1" s="1573">
      <c r="B264" s="1633" t="n"/>
      <c r="C264" s="1633" t="n"/>
      <c r="D264" s="1633" t="n"/>
      <c r="E264" s="1633" t="n"/>
      <c r="F264" s="1633" t="n"/>
      <c r="G264" s="1633" t="n"/>
      <c r="H264" s="1633" t="n"/>
      <c r="I264" s="1633" t="n"/>
      <c r="J264" s="1633" t="n"/>
      <c r="K264" s="1633" t="n"/>
      <c r="L264" s="1633" t="n"/>
      <c r="M264" s="1633" t="n"/>
      <c r="N264" s="1633" t="n"/>
      <c r="O264" s="1633" t="n"/>
      <c r="P264" s="1633" t="n"/>
      <c r="Q264" s="1633" t="n"/>
      <c r="R264" s="1633" t="n"/>
      <c r="S264" s="1633" t="n"/>
      <c r="T264" s="1633" t="n"/>
      <c r="U264" s="1633" t="n"/>
      <c r="V264" s="1633" t="n"/>
      <c r="W264" s="1633" t="n"/>
      <c r="X264" s="1633" t="n"/>
      <c r="Y264" s="1633" t="n"/>
      <c r="Z264" s="1633" t="n"/>
      <c r="AA264" s="1633" t="n"/>
      <c r="AB264" s="1633" t="n"/>
      <c r="AC264" s="1633" t="n"/>
      <c r="AD264" s="1633" t="n"/>
      <c r="AE264" s="1633" t="n"/>
      <c r="AF264" s="1633" t="n"/>
      <c r="AG264" s="1633" t="n"/>
      <c r="AH264" s="1633" t="n"/>
      <c r="AI264" s="1633" t="n"/>
      <c r="AJ264" s="1633" t="n"/>
      <c r="AK264" s="1633" t="n"/>
      <c r="AL264" s="1633" t="n"/>
      <c r="AM264" s="1633" t="n"/>
      <c r="AN264" s="1633" t="n"/>
      <c r="AO264" s="1633" t="n"/>
      <c r="AP264" s="1633" t="n"/>
      <c r="AQ264" s="1633" t="n"/>
      <c r="AR264" s="1633" t="n"/>
      <c r="AS264" s="1633" t="n"/>
      <c r="AT264" s="1633" t="n"/>
      <c r="AU264" s="1633" t="n"/>
      <c r="AV264" s="1633" t="n"/>
      <c r="AW264" s="1633" t="n"/>
      <c r="AX264" s="1633" t="n"/>
      <c r="AY264" s="1633" t="n"/>
      <c r="AZ264" s="1633" t="n"/>
    </row>
    <row r="265" ht="13.55" customFormat="1" customHeight="1" s="1573">
      <c r="B265" s="1633" t="n"/>
      <c r="C265" s="1633" t="n"/>
      <c r="D265" s="1633" t="n"/>
      <c r="E265" s="1633" t="n"/>
      <c r="F265" s="1633" t="n"/>
      <c r="G265" s="1633" t="n"/>
      <c r="H265" s="1633" t="n"/>
      <c r="I265" s="1633" t="n"/>
      <c r="J265" s="1633" t="n"/>
      <c r="K265" s="1633" t="n"/>
      <c r="L265" s="1633" t="n"/>
      <c r="M265" s="1633" t="n"/>
      <c r="N265" s="1633" t="n"/>
      <c r="O265" s="1633" t="n"/>
      <c r="P265" s="1633" t="n"/>
      <c r="Q265" s="1633" t="n"/>
      <c r="R265" s="1633" t="n"/>
      <c r="S265" s="1633" t="n"/>
      <c r="T265" s="1633" t="n"/>
      <c r="U265" s="1633" t="n"/>
      <c r="V265" s="1633" t="n"/>
      <c r="W265" s="1633" t="n"/>
      <c r="X265" s="1633" t="n"/>
      <c r="Y265" s="1633" t="n"/>
      <c r="Z265" s="1633" t="n"/>
      <c r="AA265" s="1633" t="n"/>
      <c r="AB265" s="1633" t="n"/>
      <c r="AC265" s="1633" t="n"/>
      <c r="AD265" s="1633" t="n"/>
      <c r="AE265" s="1633" t="n"/>
      <c r="AF265" s="1633" t="n"/>
      <c r="AG265" s="1633" t="n"/>
      <c r="AH265" s="1633" t="n"/>
      <c r="AI265" s="1633" t="n"/>
      <c r="AJ265" s="1633" t="n"/>
      <c r="AK265" s="1633" t="n"/>
      <c r="AL265" s="1633" t="n"/>
      <c r="AM265" s="1633" t="n"/>
      <c r="AN265" s="1633" t="n"/>
      <c r="AO265" s="1633" t="n"/>
      <c r="AP265" s="1633" t="n"/>
      <c r="AQ265" s="1633" t="n"/>
      <c r="AR265" s="1633" t="n"/>
      <c r="AS265" s="1633" t="n"/>
      <c r="AT265" s="1633" t="n"/>
      <c r="AU265" s="1633" t="n"/>
      <c r="AV265" s="1633" t="n"/>
      <c r="AW265" s="1633" t="n"/>
      <c r="AX265" s="1633" t="n"/>
      <c r="AY265" s="1633" t="n"/>
      <c r="AZ265" s="1633" t="n"/>
    </row>
    <row r="266" ht="13.55" customFormat="1" customHeight="1" s="1573">
      <c r="B266" s="1633" t="n"/>
      <c r="C266" s="1633" t="n"/>
      <c r="D266" s="1633" t="n"/>
      <c r="E266" s="1633" t="n"/>
      <c r="F266" s="1633" t="n"/>
      <c r="G266" s="1633" t="n"/>
      <c r="H266" s="1633" t="n"/>
      <c r="I266" s="1633" t="n"/>
      <c r="J266" s="1633" t="n"/>
      <c r="K266" s="1633" t="n"/>
      <c r="L266" s="1633" t="n"/>
      <c r="M266" s="1633" t="n"/>
      <c r="N266" s="1633" t="n"/>
      <c r="O266" s="1633" t="n"/>
      <c r="P266" s="1633" t="n"/>
      <c r="Q266" s="1633" t="n"/>
      <c r="R266" s="1633" t="n"/>
      <c r="S266" s="1633" t="n"/>
      <c r="T266" s="1633" t="n"/>
      <c r="U266" s="1633" t="n"/>
      <c r="V266" s="1633" t="n"/>
      <c r="W266" s="1633" t="n"/>
      <c r="X266" s="1633" t="n"/>
      <c r="Y266" s="1633" t="n"/>
      <c r="Z266" s="1633" t="n"/>
      <c r="AA266" s="1633" t="n"/>
      <c r="AB266" s="1633" t="n"/>
      <c r="AC266" s="1633" t="n"/>
      <c r="AD266" s="1633" t="n"/>
      <c r="AE266" s="1633" t="n"/>
      <c r="AF266" s="1633" t="n"/>
      <c r="AG266" s="1633" t="n"/>
      <c r="AH266" s="1633" t="n"/>
      <c r="AI266" s="1633" t="n"/>
      <c r="AJ266" s="1633" t="n"/>
      <c r="AK266" s="1633" t="n"/>
      <c r="AL266" s="1633" t="n"/>
      <c r="AM266" s="1633" t="n"/>
      <c r="AN266" s="1633" t="n"/>
      <c r="AO266" s="1633" t="n"/>
      <c r="AP266" s="1633" t="n"/>
      <c r="AQ266" s="1633" t="n"/>
      <c r="AR266" s="1633" t="n"/>
      <c r="AS266" s="1633" t="n"/>
      <c r="AT266" s="1633" t="n"/>
      <c r="AU266" s="1633" t="n"/>
      <c r="AV266" s="1633" t="n"/>
      <c r="AW266" s="1633" t="n"/>
      <c r="AX266" s="1633" t="n"/>
      <c r="AY266" s="1633" t="n"/>
      <c r="AZ266" s="1633" t="n"/>
    </row>
    <row r="267" ht="13.55" customFormat="1" customHeight="1" s="1573">
      <c r="B267" s="1633" t="n"/>
      <c r="C267" s="1633" t="n"/>
      <c r="D267" s="1633" t="n"/>
      <c r="E267" s="1633" t="n"/>
      <c r="F267" s="1633" t="n"/>
      <c r="G267" s="1633" t="n"/>
      <c r="H267" s="1633" t="n"/>
      <c r="I267" s="1633" t="n"/>
      <c r="J267" s="1633" t="n"/>
      <c r="K267" s="1633" t="n"/>
      <c r="L267" s="1633" t="n"/>
      <c r="M267" s="1633" t="n"/>
      <c r="N267" s="1633" t="n"/>
      <c r="O267" s="1633" t="n"/>
      <c r="P267" s="1633" t="n"/>
      <c r="Q267" s="1633" t="n"/>
      <c r="R267" s="1633" t="n"/>
      <c r="S267" s="1633" t="n"/>
      <c r="T267" s="1633" t="n"/>
      <c r="U267" s="1633" t="n"/>
      <c r="V267" s="1633" t="n"/>
      <c r="W267" s="1633" t="n"/>
      <c r="X267" s="1633" t="n"/>
      <c r="Y267" s="1633" t="n"/>
      <c r="Z267" s="1633" t="n"/>
      <c r="AA267" s="1633" t="n"/>
      <c r="AB267" s="1633" t="n"/>
      <c r="AC267" s="1633" t="n"/>
      <c r="AD267" s="1633" t="n"/>
      <c r="AE267" s="1633" t="n"/>
      <c r="AF267" s="1633" t="n"/>
      <c r="AG267" s="1633" t="n"/>
      <c r="AH267" s="1633" t="n"/>
      <c r="AI267" s="1633" t="n"/>
      <c r="AJ267" s="1633" t="n"/>
      <c r="AK267" s="1633" t="n"/>
      <c r="AL267" s="1633" t="n"/>
      <c r="AM267" s="1633" t="n"/>
      <c r="AN267" s="1633" t="n"/>
      <c r="AO267" s="1633" t="n"/>
      <c r="AP267" s="1633" t="n"/>
      <c r="AQ267" s="1633" t="n"/>
      <c r="AR267" s="1633" t="n"/>
      <c r="AS267" s="1633" t="n"/>
      <c r="AT267" s="1633" t="n"/>
      <c r="AU267" s="1633" t="n"/>
      <c r="AV267" s="1633" t="n"/>
      <c r="AW267" s="1633" t="n"/>
      <c r="AX267" s="1633" t="n"/>
      <c r="AY267" s="1633" t="n"/>
      <c r="AZ267" s="1633" t="n"/>
    </row>
    <row r="268" ht="13.55" customFormat="1" customHeight="1" s="1573">
      <c r="B268" s="1633" t="n"/>
      <c r="C268" s="1633" t="n"/>
      <c r="D268" s="1633" t="n"/>
      <c r="E268" s="1633" t="n"/>
      <c r="F268" s="1633" t="n"/>
      <c r="G268" s="1633" t="n"/>
      <c r="H268" s="1633" t="n"/>
      <c r="I268" s="1633" t="n"/>
      <c r="J268" s="1633" t="n"/>
      <c r="K268" s="1633" t="n"/>
      <c r="L268" s="1633" t="n"/>
      <c r="M268" s="1633" t="n"/>
      <c r="N268" s="1633" t="n"/>
      <c r="O268" s="1633" t="n"/>
      <c r="P268" s="1633" t="n"/>
      <c r="Q268" s="1633" t="n"/>
      <c r="R268" s="1633" t="n"/>
      <c r="S268" s="1633" t="n"/>
      <c r="T268" s="1633" t="n"/>
      <c r="U268" s="1633" t="n"/>
      <c r="V268" s="1633" t="n"/>
      <c r="W268" s="1633" t="n"/>
      <c r="X268" s="1633" t="n"/>
      <c r="Y268" s="1633" t="n"/>
      <c r="Z268" s="1633" t="n"/>
      <c r="AA268" s="1633" t="n"/>
      <c r="AB268" s="1633" t="n"/>
      <c r="AC268" s="1633" t="n"/>
      <c r="AD268" s="1633" t="n"/>
      <c r="AE268" s="1633" t="n"/>
      <c r="AF268" s="1633" t="n"/>
      <c r="AG268" s="1633" t="n"/>
      <c r="AH268" s="1633" t="n"/>
      <c r="AI268" s="1633" t="n"/>
      <c r="AJ268" s="1633" t="n"/>
      <c r="AK268" s="1633" t="n"/>
      <c r="AL268" s="1633" t="n"/>
      <c r="AM268" s="1633" t="n"/>
      <c r="AN268" s="1633" t="n"/>
      <c r="AO268" s="1633" t="n"/>
      <c r="AP268" s="1633" t="n"/>
      <c r="AQ268" s="1633" t="n"/>
      <c r="AR268" s="1633" t="n"/>
      <c r="AS268" s="1633" t="n"/>
      <c r="AT268" s="1633" t="n"/>
      <c r="AU268" s="1633" t="n"/>
      <c r="AV268" s="1633" t="n"/>
      <c r="AW268" s="1633" t="n"/>
      <c r="AX268" s="1633" t="n"/>
      <c r="AY268" s="1633" t="n"/>
      <c r="AZ268" s="1633" t="n"/>
    </row>
    <row r="269" ht="13.55" customFormat="1" customHeight="1" s="1573">
      <c r="B269" s="1633" t="n"/>
      <c r="C269" s="1633" t="n"/>
      <c r="D269" s="1633" t="n"/>
      <c r="E269" s="1633" t="n"/>
      <c r="F269" s="1633" t="n"/>
      <c r="G269" s="1633" t="n"/>
      <c r="H269" s="1633" t="n"/>
      <c r="I269" s="1633" t="n"/>
      <c r="J269" s="1633" t="n"/>
      <c r="K269" s="1633" t="n"/>
      <c r="L269" s="1633" t="n"/>
      <c r="M269" s="1633" t="n"/>
      <c r="N269" s="1633" t="n"/>
      <c r="O269" s="1633" t="n"/>
      <c r="P269" s="1633" t="n"/>
      <c r="Q269" s="1633" t="n"/>
      <c r="R269" s="1633" t="n"/>
      <c r="S269" s="1633" t="n"/>
      <c r="T269" s="1633" t="n"/>
      <c r="U269" s="1633" t="n"/>
      <c r="V269" s="1633" t="n"/>
      <c r="W269" s="1633" t="n"/>
      <c r="X269" s="1633" t="n"/>
      <c r="Y269" s="1633" t="n"/>
      <c r="Z269" s="1633" t="n"/>
      <c r="AA269" s="1633" t="n"/>
      <c r="AB269" s="1633" t="n"/>
      <c r="AC269" s="1633" t="n"/>
      <c r="AD269" s="1633" t="n"/>
      <c r="AE269" s="1633" t="n"/>
      <c r="AF269" s="1633" t="n"/>
      <c r="AG269" s="1633" t="n"/>
      <c r="AH269" s="1633" t="n"/>
      <c r="AI269" s="1633" t="n"/>
      <c r="AJ269" s="1633" t="n"/>
      <c r="AK269" s="1633" t="n"/>
      <c r="AL269" s="1633" t="n"/>
      <c r="AM269" s="1633" t="n"/>
      <c r="AN269" s="1633" t="n"/>
      <c r="AO269" s="1633" t="n"/>
      <c r="AP269" s="1633" t="n"/>
      <c r="AQ269" s="1633" t="n"/>
      <c r="AR269" s="1633" t="n"/>
      <c r="AS269" s="1633" t="n"/>
      <c r="AT269" s="1633" t="n"/>
      <c r="AU269" s="1633" t="n"/>
      <c r="AV269" s="1633" t="n"/>
      <c r="AW269" s="1633" t="n"/>
      <c r="AX269" s="1633" t="n"/>
      <c r="AY269" s="1633" t="n"/>
      <c r="AZ269" s="1633" t="n"/>
    </row>
    <row r="270" ht="13.55" customFormat="1" customHeight="1" s="1573">
      <c r="B270" s="1633" t="n"/>
      <c r="C270" s="1633" t="n"/>
      <c r="D270" s="1633" t="n"/>
      <c r="E270" s="1633" t="n"/>
      <c r="F270" s="1633" t="n"/>
      <c r="G270" s="1633" t="n"/>
      <c r="H270" s="1633" t="n"/>
      <c r="I270" s="1633" t="n"/>
      <c r="J270" s="1633" t="n"/>
      <c r="K270" s="1633" t="n"/>
      <c r="L270" s="1633" t="n"/>
      <c r="M270" s="1633" t="n"/>
      <c r="N270" s="1633" t="n"/>
      <c r="O270" s="1633" t="n"/>
      <c r="P270" s="1633" t="n"/>
      <c r="Q270" s="1633" t="n"/>
      <c r="R270" s="1633" t="n"/>
      <c r="S270" s="1633" t="n"/>
      <c r="T270" s="1633" t="n"/>
      <c r="U270" s="1633" t="n"/>
      <c r="V270" s="1633" t="n"/>
      <c r="W270" s="1633" t="n"/>
      <c r="X270" s="1633" t="n"/>
      <c r="Y270" s="1633" t="n"/>
      <c r="Z270" s="1633" t="n"/>
      <c r="AA270" s="1633" t="n"/>
      <c r="AB270" s="1633" t="n"/>
      <c r="AC270" s="1633" t="n"/>
      <c r="AD270" s="1633" t="n"/>
      <c r="AE270" s="1633" t="n"/>
      <c r="AF270" s="1633" t="n"/>
      <c r="AG270" s="1633" t="n"/>
      <c r="AH270" s="1633" t="n"/>
      <c r="AI270" s="1633" t="n"/>
      <c r="AJ270" s="1633" t="n"/>
      <c r="AK270" s="1633" t="n"/>
      <c r="AL270" s="1633" t="n"/>
      <c r="AM270" s="1633" t="n"/>
      <c r="AN270" s="1633" t="n"/>
      <c r="AO270" s="1633" t="n"/>
      <c r="AP270" s="1633" t="n"/>
      <c r="AQ270" s="1633" t="n"/>
      <c r="AR270" s="1633" t="n"/>
      <c r="AS270" s="1633" t="n"/>
      <c r="AT270" s="1633" t="n"/>
      <c r="AU270" s="1633" t="n"/>
      <c r="AV270" s="1633" t="n"/>
      <c r="AW270" s="1633" t="n"/>
      <c r="AX270" s="1633" t="n"/>
      <c r="AY270" s="1633" t="n"/>
      <c r="AZ270" s="1633" t="n"/>
    </row>
    <row r="271" ht="13.55" customFormat="1" customHeight="1" s="1573">
      <c r="B271" s="1633" t="n"/>
      <c r="C271" s="1633" t="n"/>
      <c r="D271" s="1633" t="n"/>
      <c r="E271" s="1633" t="n"/>
      <c r="F271" s="1633" t="n"/>
      <c r="G271" s="1633" t="n"/>
      <c r="H271" s="1633" t="n"/>
      <c r="I271" s="1633" t="n"/>
      <c r="J271" s="1633" t="n"/>
      <c r="K271" s="1633" t="n"/>
      <c r="L271" s="1633" t="n"/>
      <c r="M271" s="1633" t="n"/>
      <c r="N271" s="1633" t="n"/>
      <c r="O271" s="1633" t="n"/>
      <c r="P271" s="1633" t="n"/>
      <c r="Q271" s="1633" t="n"/>
      <c r="R271" s="1633" t="n"/>
      <c r="S271" s="1633" t="n"/>
      <c r="T271" s="1633" t="n"/>
      <c r="U271" s="1633" t="n"/>
      <c r="V271" s="1633" t="n"/>
      <c r="W271" s="1633" t="n"/>
      <c r="X271" s="1633" t="n"/>
      <c r="Y271" s="1633" t="n"/>
      <c r="Z271" s="1633" t="n"/>
      <c r="AA271" s="1633" t="n"/>
      <c r="AB271" s="1633" t="n"/>
      <c r="AC271" s="1633" t="n"/>
      <c r="AD271" s="1633" t="n"/>
      <c r="AE271" s="1633" t="n"/>
      <c r="AF271" s="1633" t="n"/>
      <c r="AG271" s="1633" t="n"/>
      <c r="AH271" s="1633" t="n"/>
      <c r="AI271" s="1633" t="n"/>
      <c r="AJ271" s="1633" t="n"/>
      <c r="AK271" s="1633" t="n"/>
      <c r="AL271" s="1633" t="n"/>
      <c r="AM271" s="1633" t="n"/>
      <c r="AN271" s="1633" t="n"/>
      <c r="AO271" s="1633" t="n"/>
      <c r="AP271" s="1633" t="n"/>
      <c r="AQ271" s="1633" t="n"/>
      <c r="AR271" s="1633" t="n"/>
      <c r="AS271" s="1633" t="n"/>
      <c r="AT271" s="1633" t="n"/>
      <c r="AU271" s="1633" t="n"/>
      <c r="AV271" s="1633" t="n"/>
      <c r="AW271" s="1633" t="n"/>
      <c r="AX271" s="1633" t="n"/>
      <c r="AY271" s="1633" t="n"/>
      <c r="AZ271" s="1633" t="n"/>
    </row>
    <row r="272" ht="13.55" customFormat="1" customHeight="1" s="1573">
      <c r="B272" s="1633" t="n"/>
      <c r="C272" s="1633" t="n"/>
      <c r="D272" s="1633" t="n"/>
      <c r="E272" s="1633" t="n"/>
      <c r="F272" s="1633" t="n"/>
      <c r="G272" s="1633" t="n"/>
      <c r="H272" s="1633" t="n"/>
      <c r="I272" s="1633" t="n"/>
      <c r="J272" s="1633" t="n"/>
      <c r="K272" s="1633" t="n"/>
      <c r="L272" s="1633" t="n"/>
      <c r="M272" s="1633" t="n"/>
      <c r="N272" s="1633" t="n"/>
      <c r="O272" s="1633" t="n"/>
      <c r="P272" s="1633" t="n"/>
      <c r="Q272" s="1633" t="n"/>
      <c r="R272" s="1633" t="n"/>
      <c r="S272" s="1633" t="n"/>
      <c r="T272" s="1633" t="n"/>
      <c r="U272" s="1633" t="n"/>
      <c r="V272" s="1633" t="n"/>
      <c r="W272" s="1633" t="n"/>
      <c r="X272" s="1633" t="n"/>
      <c r="Y272" s="1633" t="n"/>
      <c r="Z272" s="1633" t="n"/>
      <c r="AA272" s="1633" t="n"/>
      <c r="AB272" s="1633" t="n"/>
      <c r="AC272" s="1633" t="n"/>
      <c r="AD272" s="1633" t="n"/>
      <c r="AE272" s="1633" t="n"/>
      <c r="AF272" s="1633" t="n"/>
      <c r="AG272" s="1633" t="n"/>
      <c r="AH272" s="1633" t="n"/>
      <c r="AI272" s="1633" t="n"/>
      <c r="AJ272" s="1633" t="n"/>
      <c r="AK272" s="1633" t="n"/>
      <c r="AL272" s="1633" t="n"/>
      <c r="AM272" s="1633" t="n"/>
      <c r="AN272" s="1633" t="n"/>
      <c r="AO272" s="1633" t="n"/>
      <c r="AP272" s="1633" t="n"/>
      <c r="AQ272" s="1633" t="n"/>
      <c r="AR272" s="1633" t="n"/>
      <c r="AS272" s="1633" t="n"/>
      <c r="AT272" s="1633" t="n"/>
      <c r="AU272" s="1633" t="n"/>
      <c r="AV272" s="1633" t="n"/>
      <c r="AW272" s="1633" t="n"/>
      <c r="AX272" s="1633" t="n"/>
      <c r="AY272" s="1633" t="n"/>
      <c r="AZ272" s="1633" t="n"/>
    </row>
    <row r="273" ht="13.55" customFormat="1" customHeight="1" s="1573">
      <c r="B273" s="1633" t="n"/>
      <c r="C273" s="1633" t="n"/>
      <c r="D273" s="1633" t="n"/>
      <c r="E273" s="1633" t="n"/>
      <c r="F273" s="1633" t="n"/>
      <c r="G273" s="1633" t="n"/>
      <c r="H273" s="1633" t="n"/>
      <c r="I273" s="1633" t="n"/>
      <c r="J273" s="1633" t="n"/>
      <c r="K273" s="1633" t="n"/>
      <c r="L273" s="1633" t="n"/>
      <c r="M273" s="1633" t="n"/>
      <c r="N273" s="1633" t="n"/>
      <c r="O273" s="1633" t="n"/>
      <c r="P273" s="1633" t="n"/>
      <c r="Q273" s="1633" t="n"/>
      <c r="R273" s="1633" t="n"/>
      <c r="S273" s="1633" t="n"/>
      <c r="T273" s="1633" t="n"/>
      <c r="U273" s="1633" t="n"/>
      <c r="V273" s="1633" t="n"/>
      <c r="W273" s="1633" t="n"/>
      <c r="X273" s="1633" t="n"/>
      <c r="Y273" s="1633" t="n"/>
      <c r="Z273" s="1633" t="n"/>
      <c r="AA273" s="1633" t="n"/>
      <c r="AB273" s="1633" t="n"/>
      <c r="AC273" s="1633" t="n"/>
      <c r="AD273" s="1633" t="n"/>
      <c r="AE273" s="1633" t="n"/>
      <c r="AF273" s="1633" t="n"/>
      <c r="AG273" s="1633" t="n"/>
      <c r="AH273" s="1633" t="n"/>
      <c r="AI273" s="1633" t="n"/>
      <c r="AJ273" s="1633" t="n"/>
      <c r="AK273" s="1633" t="n"/>
      <c r="AL273" s="1633" t="n"/>
      <c r="AM273" s="1633" t="n"/>
      <c r="AN273" s="1633" t="n"/>
      <c r="AO273" s="1633" t="n"/>
      <c r="AP273" s="1633" t="n"/>
      <c r="AQ273" s="1633" t="n"/>
      <c r="AR273" s="1633" t="n"/>
      <c r="AS273" s="1633" t="n"/>
      <c r="AT273" s="1633" t="n"/>
      <c r="AU273" s="1633" t="n"/>
      <c r="AV273" s="1633" t="n"/>
      <c r="AW273" s="1633" t="n"/>
      <c r="AX273" s="1633" t="n"/>
      <c r="AY273" s="1633" t="n"/>
      <c r="AZ273" s="1633" t="n"/>
    </row>
    <row r="274" ht="13.55" customFormat="1" customHeight="1" s="1573">
      <c r="B274" s="1633" t="n"/>
      <c r="C274" s="1633" t="n"/>
      <c r="D274" s="1633" t="n"/>
      <c r="E274" s="1633" t="n"/>
      <c r="F274" s="1633" t="n"/>
      <c r="G274" s="1633" t="n"/>
      <c r="H274" s="1633" t="n"/>
      <c r="I274" s="1633" t="n"/>
      <c r="J274" s="1633" t="n"/>
      <c r="K274" s="1633" t="n"/>
      <c r="L274" s="1633" t="n"/>
      <c r="M274" s="1633" t="n"/>
      <c r="N274" s="1633" t="n"/>
      <c r="O274" s="1633" t="n"/>
      <c r="P274" s="1633" t="n"/>
      <c r="Q274" s="1633" t="n"/>
      <c r="R274" s="1633" t="n"/>
      <c r="S274" s="1633" t="n"/>
      <c r="T274" s="1633" t="n"/>
      <c r="U274" s="1633" t="n"/>
      <c r="V274" s="1633" t="n"/>
      <c r="W274" s="1633" t="n"/>
      <c r="X274" s="1633" t="n"/>
      <c r="Y274" s="1633" t="n"/>
      <c r="Z274" s="1633" t="n"/>
      <c r="AA274" s="1633" t="n"/>
      <c r="AB274" s="1633" t="n"/>
      <c r="AC274" s="1633" t="n"/>
      <c r="AD274" s="1633" t="n"/>
      <c r="AE274" s="1633" t="n"/>
      <c r="AF274" s="1633" t="n"/>
      <c r="AG274" s="1633" t="n"/>
      <c r="AH274" s="1633" t="n"/>
      <c r="AI274" s="1633" t="n"/>
      <c r="AJ274" s="1633" t="n"/>
      <c r="AK274" s="1633" t="n"/>
      <c r="AL274" s="1633" t="n"/>
      <c r="AM274" s="1633" t="n"/>
      <c r="AN274" s="1633" t="n"/>
      <c r="AO274" s="1633" t="n"/>
      <c r="AP274" s="1633" t="n"/>
      <c r="AQ274" s="1633" t="n"/>
      <c r="AR274" s="1633" t="n"/>
      <c r="AS274" s="1633" t="n"/>
      <c r="AT274" s="1633" t="n"/>
      <c r="AU274" s="1633" t="n"/>
      <c r="AV274" s="1633" t="n"/>
      <c r="AW274" s="1633" t="n"/>
      <c r="AX274" s="1633" t="n"/>
      <c r="AY274" s="1633" t="n"/>
      <c r="AZ274" s="1633" t="n"/>
    </row>
    <row r="275" ht="13.55" customFormat="1" customHeight="1" s="1573">
      <c r="B275" s="1633" t="n"/>
      <c r="C275" s="1633" t="n"/>
      <c r="D275" s="1633" t="n"/>
      <c r="E275" s="1633" t="n"/>
      <c r="F275" s="1633" t="n"/>
      <c r="G275" s="1633" t="n"/>
      <c r="H275" s="1633" t="n"/>
      <c r="I275" s="1633" t="n"/>
      <c r="J275" s="1633" t="n"/>
      <c r="K275" s="1633" t="n"/>
      <c r="L275" s="1633" t="n"/>
      <c r="M275" s="1633" t="n"/>
      <c r="N275" s="1633" t="n"/>
      <c r="O275" s="1633" t="n"/>
      <c r="P275" s="1633" t="n"/>
      <c r="Q275" s="1633" t="n"/>
      <c r="R275" s="1633" t="n"/>
      <c r="S275" s="1633" t="n"/>
      <c r="T275" s="1633" t="n"/>
      <c r="U275" s="1633" t="n"/>
      <c r="V275" s="1633" t="n"/>
      <c r="W275" s="1633" t="n"/>
      <c r="X275" s="1633" t="n"/>
      <c r="Y275" s="1633" t="n"/>
      <c r="Z275" s="1633" t="n"/>
      <c r="AA275" s="1633" t="n"/>
      <c r="AB275" s="1633" t="n"/>
      <c r="AC275" s="1633" t="n"/>
      <c r="AD275" s="1633" t="n"/>
      <c r="AE275" s="1633" t="n"/>
      <c r="AF275" s="1633" t="n"/>
      <c r="AG275" s="1633" t="n"/>
      <c r="AH275" s="1633" t="n"/>
      <c r="AI275" s="1633" t="n"/>
      <c r="AJ275" s="1633" t="n"/>
      <c r="AK275" s="1633" t="n"/>
      <c r="AL275" s="1633" t="n"/>
      <c r="AM275" s="1633" t="n"/>
      <c r="AN275" s="1633" t="n"/>
      <c r="AO275" s="1633" t="n"/>
      <c r="AP275" s="1633" t="n"/>
      <c r="AQ275" s="1633" t="n"/>
      <c r="AR275" s="1633" t="n"/>
      <c r="AS275" s="1633" t="n"/>
      <c r="AT275" s="1633" t="n"/>
      <c r="AU275" s="1633" t="n"/>
      <c r="AV275" s="1633" t="n"/>
      <c r="AW275" s="1633" t="n"/>
      <c r="AX275" s="1633" t="n"/>
      <c r="AY275" s="1633" t="n"/>
      <c r="AZ275" s="1633" t="n"/>
    </row>
    <row r="276" ht="13.55" customFormat="1" customHeight="1" s="1573">
      <c r="B276" s="1633" t="n"/>
      <c r="C276" s="1633" t="n"/>
      <c r="D276" s="1633" t="n"/>
      <c r="E276" s="1633" t="n"/>
      <c r="F276" s="1633" t="n"/>
      <c r="G276" s="1633" t="n"/>
      <c r="H276" s="1633" t="n"/>
      <c r="I276" s="1633" t="n"/>
      <c r="J276" s="1633" t="n"/>
      <c r="K276" s="1633" t="n"/>
      <c r="L276" s="1633" t="n"/>
      <c r="M276" s="1633" t="n"/>
      <c r="N276" s="1633" t="n"/>
      <c r="O276" s="1633" t="n"/>
      <c r="P276" s="1633" t="n"/>
      <c r="Q276" s="1633" t="n"/>
      <c r="R276" s="1633" t="n"/>
      <c r="S276" s="1633" t="n"/>
      <c r="T276" s="1633" t="n"/>
      <c r="U276" s="1633" t="n"/>
      <c r="V276" s="1633" t="n"/>
      <c r="W276" s="1633" t="n"/>
      <c r="X276" s="1633" t="n"/>
      <c r="Y276" s="1633" t="n"/>
      <c r="Z276" s="1633" t="n"/>
      <c r="AA276" s="1633" t="n"/>
      <c r="AB276" s="1633" t="n"/>
      <c r="AC276" s="1633" t="n"/>
      <c r="AD276" s="1633" t="n"/>
      <c r="AE276" s="1633" t="n"/>
      <c r="AF276" s="1633" t="n"/>
      <c r="AG276" s="1633" t="n"/>
      <c r="AH276" s="1633" t="n"/>
      <c r="AI276" s="1633" t="n"/>
      <c r="AJ276" s="1633" t="n"/>
      <c r="AK276" s="1633" t="n"/>
      <c r="AL276" s="1633" t="n"/>
      <c r="AM276" s="1633" t="n"/>
      <c r="AN276" s="1633" t="n"/>
      <c r="AO276" s="1633" t="n"/>
      <c r="AP276" s="1633" t="n"/>
      <c r="AQ276" s="1633" t="n"/>
      <c r="AR276" s="1633" t="n"/>
      <c r="AS276" s="1633" t="n"/>
      <c r="AT276" s="1633" t="n"/>
      <c r="AU276" s="1633" t="n"/>
      <c r="AV276" s="1633" t="n"/>
      <c r="AW276" s="1633" t="n"/>
      <c r="AX276" s="1633" t="n"/>
      <c r="AY276" s="1633" t="n"/>
      <c r="AZ276" s="1633" t="n"/>
    </row>
    <row r="277" ht="13.55" customFormat="1" customHeight="1" s="1573">
      <c r="B277" s="1633" t="n"/>
      <c r="C277" s="1633" t="n"/>
      <c r="D277" s="1633" t="n"/>
      <c r="E277" s="1633" t="n"/>
      <c r="F277" s="1633" t="n"/>
      <c r="G277" s="1633" t="n"/>
      <c r="H277" s="1633" t="n"/>
      <c r="I277" s="1633" t="n"/>
      <c r="J277" s="1633" t="n"/>
      <c r="K277" s="1633" t="n"/>
      <c r="L277" s="1633" t="n"/>
      <c r="M277" s="1633" t="n"/>
      <c r="N277" s="1633" t="n"/>
      <c r="O277" s="1633" t="n"/>
      <c r="P277" s="1633" t="n"/>
      <c r="Q277" s="1633" t="n"/>
      <c r="R277" s="1633" t="n"/>
      <c r="S277" s="1633" t="n"/>
      <c r="T277" s="1633" t="n"/>
      <c r="U277" s="1633" t="n"/>
      <c r="V277" s="1633" t="n"/>
      <c r="W277" s="1633" t="n"/>
      <c r="X277" s="1633" t="n"/>
      <c r="Y277" s="1633" t="n"/>
      <c r="Z277" s="1633" t="n"/>
      <c r="AA277" s="1633" t="n"/>
      <c r="AB277" s="1633" t="n"/>
      <c r="AC277" s="1633" t="n"/>
      <c r="AD277" s="1633" t="n"/>
      <c r="AE277" s="1633" t="n"/>
      <c r="AF277" s="1633" t="n"/>
      <c r="AG277" s="1633" t="n"/>
      <c r="AH277" s="1633" t="n"/>
      <c r="AI277" s="1633" t="n"/>
      <c r="AJ277" s="1633" t="n"/>
      <c r="AK277" s="1633" t="n"/>
      <c r="AL277" s="1633" t="n"/>
      <c r="AM277" s="1633" t="n"/>
      <c r="AN277" s="1633" t="n"/>
      <c r="AO277" s="1633" t="n"/>
      <c r="AP277" s="1633" t="n"/>
      <c r="AQ277" s="1633" t="n"/>
      <c r="AR277" s="1633" t="n"/>
      <c r="AS277" s="1633" t="n"/>
      <c r="AT277" s="1633" t="n"/>
      <c r="AU277" s="1633" t="n"/>
      <c r="AV277" s="1633" t="n"/>
      <c r="AW277" s="1633" t="n"/>
      <c r="AX277" s="1633" t="n"/>
      <c r="AY277" s="1633" t="n"/>
      <c r="AZ277" s="1633" t="n"/>
    </row>
    <row r="278" ht="13.55" customFormat="1" customHeight="1" s="1573">
      <c r="B278" s="1633" t="n"/>
      <c r="C278" s="1633" t="n"/>
      <c r="D278" s="1633" t="n"/>
      <c r="E278" s="1633" t="n"/>
      <c r="F278" s="1633" t="n"/>
      <c r="G278" s="1633" t="n"/>
      <c r="H278" s="1633" t="n"/>
      <c r="I278" s="1633" t="n"/>
      <c r="J278" s="1633" t="n"/>
      <c r="K278" s="1633" t="n"/>
      <c r="L278" s="1633" t="n"/>
      <c r="M278" s="1633" t="n"/>
      <c r="N278" s="1633" t="n"/>
      <c r="O278" s="1633" t="n"/>
      <c r="P278" s="1633" t="n"/>
      <c r="Q278" s="1633" t="n"/>
      <c r="R278" s="1633" t="n"/>
      <c r="S278" s="1633" t="n"/>
      <c r="T278" s="1633" t="n"/>
      <c r="U278" s="1633" t="n"/>
      <c r="V278" s="1633" t="n"/>
      <c r="W278" s="1633" t="n"/>
      <c r="X278" s="1633" t="n"/>
      <c r="Y278" s="1633" t="n"/>
      <c r="Z278" s="1633" t="n"/>
      <c r="AA278" s="1633" t="n"/>
      <c r="AB278" s="1633" t="n"/>
      <c r="AC278" s="1633" t="n"/>
      <c r="AD278" s="1633" t="n"/>
      <c r="AE278" s="1633" t="n"/>
      <c r="AF278" s="1633" t="n"/>
      <c r="AG278" s="1633" t="n"/>
      <c r="AH278" s="1633" t="n"/>
      <c r="AI278" s="1633" t="n"/>
      <c r="AJ278" s="1633" t="n"/>
      <c r="AK278" s="1633" t="n"/>
      <c r="AL278" s="1633" t="n"/>
      <c r="AM278" s="1633" t="n"/>
      <c r="AN278" s="1633" t="n"/>
      <c r="AO278" s="1633" t="n"/>
      <c r="AP278" s="1633" t="n"/>
      <c r="AQ278" s="1633" t="n"/>
      <c r="AR278" s="1633" t="n"/>
      <c r="AS278" s="1633" t="n"/>
      <c r="AT278" s="1633" t="n"/>
      <c r="AU278" s="1633" t="n"/>
      <c r="AV278" s="1633" t="n"/>
      <c r="AW278" s="1633" t="n"/>
      <c r="AX278" s="1633" t="n"/>
      <c r="AY278" s="1633" t="n"/>
      <c r="AZ278" s="1633" t="n"/>
    </row>
    <row r="279" ht="13.55" customFormat="1" customHeight="1" s="1573">
      <c r="B279" s="1633" t="n"/>
      <c r="C279" s="1633" t="n"/>
      <c r="D279" s="1633" t="n"/>
      <c r="E279" s="1633" t="n"/>
      <c r="F279" s="1633" t="n"/>
      <c r="G279" s="1633" t="n"/>
      <c r="H279" s="1633" t="n"/>
      <c r="I279" s="1633" t="n"/>
      <c r="J279" s="1633" t="n"/>
      <c r="K279" s="1633" t="n"/>
      <c r="L279" s="1633" t="n"/>
      <c r="M279" s="1633" t="n"/>
      <c r="N279" s="1633" t="n"/>
      <c r="O279" s="1633" t="n"/>
      <c r="P279" s="1633" t="n"/>
      <c r="Q279" s="1633" t="n"/>
      <c r="R279" s="1633" t="n"/>
      <c r="S279" s="1633" t="n"/>
      <c r="T279" s="1633" t="n"/>
      <c r="U279" s="1633" t="n"/>
      <c r="V279" s="1633" t="n"/>
      <c r="W279" s="1633" t="n"/>
      <c r="X279" s="1633" t="n"/>
      <c r="Y279" s="1633" t="n"/>
      <c r="Z279" s="1633" t="n"/>
      <c r="AA279" s="1633" t="n"/>
      <c r="AB279" s="1633" t="n"/>
      <c r="AC279" s="1633" t="n"/>
      <c r="AD279" s="1633" t="n"/>
      <c r="AE279" s="1633" t="n"/>
      <c r="AF279" s="1633" t="n"/>
      <c r="AG279" s="1633" t="n"/>
      <c r="AH279" s="1633" t="n"/>
      <c r="AI279" s="1633" t="n"/>
      <c r="AJ279" s="1633" t="n"/>
      <c r="AK279" s="1633" t="n"/>
      <c r="AL279" s="1633" t="n"/>
      <c r="AM279" s="1633" t="n"/>
      <c r="AN279" s="1633" t="n"/>
      <c r="AO279" s="1633" t="n"/>
      <c r="AP279" s="1633" t="n"/>
      <c r="AQ279" s="1633" t="n"/>
      <c r="AR279" s="1633" t="n"/>
      <c r="AS279" s="1633" t="n"/>
      <c r="AT279" s="1633" t="n"/>
      <c r="AU279" s="1633" t="n"/>
      <c r="AV279" s="1633" t="n"/>
      <c r="AW279" s="1633" t="n"/>
      <c r="AX279" s="1633" t="n"/>
      <c r="AY279" s="1633" t="n"/>
      <c r="AZ279" s="1633" t="n"/>
    </row>
    <row r="280" ht="13.55" customFormat="1" customHeight="1" s="1573">
      <c r="B280" s="1633" t="n"/>
      <c r="C280" s="1633" t="n"/>
      <c r="D280" s="1633" t="n"/>
      <c r="E280" s="1633" t="n"/>
      <c r="F280" s="1633" t="n"/>
      <c r="G280" s="1633" t="n"/>
      <c r="H280" s="1633" t="n"/>
      <c r="I280" s="1633" t="n"/>
      <c r="J280" s="1633" t="n"/>
      <c r="K280" s="1633" t="n"/>
      <c r="L280" s="1633" t="n"/>
      <c r="M280" s="1633" t="n"/>
      <c r="N280" s="1633" t="n"/>
      <c r="O280" s="1633" t="n"/>
      <c r="P280" s="1633" t="n"/>
      <c r="Q280" s="1633" t="n"/>
      <c r="R280" s="1633" t="n"/>
      <c r="S280" s="1633" t="n"/>
      <c r="T280" s="1633" t="n"/>
      <c r="U280" s="1633" t="n"/>
      <c r="V280" s="1633" t="n"/>
      <c r="W280" s="1633" t="n"/>
      <c r="X280" s="1633" t="n"/>
      <c r="Y280" s="1633" t="n"/>
      <c r="Z280" s="1633" t="n"/>
      <c r="AA280" s="1633" t="n"/>
      <c r="AB280" s="1633" t="n"/>
      <c r="AC280" s="1633" t="n"/>
      <c r="AD280" s="1633" t="n"/>
      <c r="AE280" s="1633" t="n"/>
      <c r="AF280" s="1633" t="n"/>
      <c r="AG280" s="1633" t="n"/>
      <c r="AH280" s="1633" t="n"/>
      <c r="AI280" s="1633" t="n"/>
      <c r="AJ280" s="1633" t="n"/>
      <c r="AK280" s="1633" t="n"/>
      <c r="AL280" s="1633" t="n"/>
      <c r="AM280" s="1633" t="n"/>
      <c r="AN280" s="1633" t="n"/>
      <c r="AO280" s="1633" t="n"/>
      <c r="AP280" s="1633" t="n"/>
      <c r="AQ280" s="1633" t="n"/>
      <c r="AR280" s="1633" t="n"/>
      <c r="AS280" s="1633" t="n"/>
      <c r="AT280" s="1633" t="n"/>
      <c r="AU280" s="1633" t="n"/>
      <c r="AV280" s="1633" t="n"/>
      <c r="AW280" s="1633" t="n"/>
      <c r="AX280" s="1633" t="n"/>
      <c r="AY280" s="1633" t="n"/>
      <c r="AZ280" s="1633" t="n"/>
    </row>
    <row r="281" ht="13.55" customFormat="1" customHeight="1" s="1573">
      <c r="B281" s="1633" t="n"/>
      <c r="C281" s="1633" t="n"/>
      <c r="D281" s="1633" t="n"/>
      <c r="E281" s="1633" t="n"/>
      <c r="F281" s="1633" t="n"/>
      <c r="G281" s="1633" t="n"/>
      <c r="H281" s="1633" t="n"/>
      <c r="I281" s="1633" t="n"/>
      <c r="J281" s="1633" t="n"/>
      <c r="K281" s="1633" t="n"/>
      <c r="L281" s="1633" t="n"/>
      <c r="M281" s="1633" t="n"/>
      <c r="N281" s="1633" t="n"/>
      <c r="O281" s="1633" t="n"/>
      <c r="P281" s="1633" t="n"/>
      <c r="Q281" s="1633" t="n"/>
      <c r="R281" s="1633" t="n"/>
      <c r="S281" s="1633" t="n"/>
      <c r="T281" s="1633" t="n"/>
      <c r="U281" s="1633" t="n"/>
      <c r="V281" s="1633" t="n"/>
      <c r="W281" s="1633" t="n"/>
      <c r="X281" s="1633" t="n"/>
      <c r="Y281" s="1633" t="n"/>
      <c r="Z281" s="1633" t="n"/>
      <c r="AA281" s="1633" t="n"/>
      <c r="AB281" s="1633" t="n"/>
      <c r="AC281" s="1633" t="n"/>
      <c r="AD281" s="1633" t="n"/>
      <c r="AE281" s="1633" t="n"/>
      <c r="AF281" s="1633" t="n"/>
      <c r="AG281" s="1633" t="n"/>
      <c r="AH281" s="1633" t="n"/>
      <c r="AI281" s="1633" t="n"/>
      <c r="AJ281" s="1633" t="n"/>
      <c r="AK281" s="1633" t="n"/>
      <c r="AL281" s="1633" t="n"/>
      <c r="AM281" s="1633" t="n"/>
      <c r="AN281" s="1633" t="n"/>
      <c r="AO281" s="1633" t="n"/>
      <c r="AP281" s="1633" t="n"/>
      <c r="AQ281" s="1633" t="n"/>
      <c r="AR281" s="1633" t="n"/>
      <c r="AS281" s="1633" t="n"/>
      <c r="AT281" s="1633" t="n"/>
      <c r="AU281" s="1633" t="n"/>
      <c r="AV281" s="1633" t="n"/>
      <c r="AW281" s="1633" t="n"/>
      <c r="AX281" s="1633" t="n"/>
      <c r="AY281" s="1633" t="n"/>
      <c r="AZ281" s="1633" t="n"/>
    </row>
    <row r="282" ht="13.55" customFormat="1" customHeight="1" s="1573">
      <c r="B282" s="1633" t="n"/>
      <c r="C282" s="1633" t="n"/>
      <c r="D282" s="1633" t="n"/>
      <c r="E282" s="1633" t="n"/>
      <c r="F282" s="1633" t="n"/>
      <c r="G282" s="1633" t="n"/>
      <c r="H282" s="1633" t="n"/>
      <c r="I282" s="1633" t="n"/>
      <c r="J282" s="1633" t="n"/>
      <c r="K282" s="1633" t="n"/>
      <c r="L282" s="1633" t="n"/>
      <c r="M282" s="1633" t="n"/>
      <c r="N282" s="1633" t="n"/>
      <c r="O282" s="1633" t="n"/>
      <c r="P282" s="1633" t="n"/>
      <c r="Q282" s="1633" t="n"/>
      <c r="R282" s="1633" t="n"/>
      <c r="S282" s="1633" t="n"/>
      <c r="T282" s="1633" t="n"/>
      <c r="U282" s="1633" t="n"/>
      <c r="V282" s="1633" t="n"/>
      <c r="W282" s="1633" t="n"/>
      <c r="X282" s="1633" t="n"/>
      <c r="Y282" s="1633" t="n"/>
      <c r="Z282" s="1633" t="n"/>
      <c r="AA282" s="1633" t="n"/>
      <c r="AB282" s="1633" t="n"/>
      <c r="AC282" s="1633" t="n"/>
      <c r="AD282" s="1633" t="n"/>
      <c r="AE282" s="1633" t="n"/>
      <c r="AF282" s="1633" t="n"/>
      <c r="AG282" s="1633" t="n"/>
      <c r="AH282" s="1633" t="n"/>
      <c r="AI282" s="1633" t="n"/>
      <c r="AJ282" s="1633" t="n"/>
      <c r="AK282" s="1633" t="n"/>
      <c r="AL282" s="1633" t="n"/>
      <c r="AM282" s="1633" t="n"/>
      <c r="AN282" s="1633" t="n"/>
      <c r="AO282" s="1633" t="n"/>
      <c r="AP282" s="1633" t="n"/>
      <c r="AQ282" s="1633" t="n"/>
      <c r="AR282" s="1633" t="n"/>
      <c r="AS282" s="1633" t="n"/>
      <c r="AT282" s="1633" t="n"/>
      <c r="AU282" s="1633" t="n"/>
      <c r="AV282" s="1633" t="n"/>
      <c r="AW282" s="1633" t="n"/>
      <c r="AX282" s="1633" t="n"/>
      <c r="AY282" s="1633" t="n"/>
      <c r="AZ282" s="1633" t="n"/>
    </row>
    <row r="283" ht="13.55" customFormat="1" customHeight="1" s="1573">
      <c r="B283" s="1633" t="n"/>
      <c r="C283" s="1633" t="n"/>
      <c r="D283" s="1633" t="n"/>
      <c r="E283" s="1633" t="n"/>
      <c r="F283" s="1633" t="n"/>
      <c r="G283" s="1633" t="n"/>
      <c r="H283" s="1633" t="n"/>
      <c r="I283" s="1633" t="n"/>
      <c r="J283" s="1633" t="n"/>
      <c r="K283" s="1633" t="n"/>
      <c r="L283" s="1633" t="n"/>
      <c r="M283" s="1633" t="n"/>
      <c r="N283" s="1633" t="n"/>
      <c r="O283" s="1633" t="n"/>
      <c r="P283" s="1633" t="n"/>
      <c r="Q283" s="1633" t="n"/>
      <c r="R283" s="1633" t="n"/>
      <c r="S283" s="1633" t="n"/>
      <c r="T283" s="1633" t="n"/>
      <c r="U283" s="1633" t="n"/>
      <c r="V283" s="1633" t="n"/>
      <c r="W283" s="1633" t="n"/>
      <c r="X283" s="1633" t="n"/>
      <c r="Y283" s="1633" t="n"/>
      <c r="Z283" s="1633" t="n"/>
      <c r="AA283" s="1633" t="n"/>
      <c r="AB283" s="1633" t="n"/>
      <c r="AC283" s="1633" t="n"/>
      <c r="AD283" s="1633" t="n"/>
      <c r="AE283" s="1633" t="n"/>
      <c r="AF283" s="1633" t="n"/>
      <c r="AG283" s="1633" t="n"/>
      <c r="AH283" s="1633" t="n"/>
      <c r="AI283" s="1633" t="n"/>
      <c r="AJ283" s="1633" t="n"/>
      <c r="AK283" s="1633" t="n"/>
      <c r="AL283" s="1633" t="n"/>
      <c r="AM283" s="1633" t="n"/>
      <c r="AN283" s="1633" t="n"/>
      <c r="AO283" s="1633" t="n"/>
      <c r="AP283" s="1633" t="n"/>
      <c r="AQ283" s="1633" t="n"/>
      <c r="AR283" s="1633" t="n"/>
      <c r="AS283" s="1633" t="n"/>
      <c r="AT283" s="1633" t="n"/>
      <c r="AU283" s="1633" t="n"/>
      <c r="AV283" s="1633" t="n"/>
      <c r="AW283" s="1633" t="n"/>
      <c r="AX283" s="1633" t="n"/>
      <c r="AY283" s="1633" t="n"/>
      <c r="AZ283" s="1633" t="n"/>
    </row>
    <row r="284" ht="13.55" customFormat="1" customHeight="1" s="1573">
      <c r="B284" s="1633" t="n"/>
      <c r="C284" s="1633" t="n"/>
      <c r="D284" s="1633" t="n"/>
      <c r="E284" s="1633" t="n"/>
      <c r="F284" s="1633" t="n"/>
      <c r="G284" s="1633" t="n"/>
      <c r="H284" s="1633" t="n"/>
      <c r="I284" s="1633" t="n"/>
      <c r="J284" s="1633" t="n"/>
      <c r="K284" s="1633" t="n"/>
      <c r="L284" s="1633" t="n"/>
      <c r="M284" s="1633" t="n"/>
      <c r="N284" s="1633" t="n"/>
      <c r="O284" s="1633" t="n"/>
      <c r="P284" s="1633" t="n"/>
      <c r="Q284" s="1633" t="n"/>
      <c r="R284" s="1633" t="n"/>
      <c r="S284" s="1633" t="n"/>
      <c r="T284" s="1633" t="n"/>
      <c r="U284" s="1633" t="n"/>
      <c r="V284" s="1633" t="n"/>
      <c r="W284" s="1633" t="n"/>
      <c r="X284" s="1633" t="n"/>
      <c r="Y284" s="1633" t="n"/>
      <c r="Z284" s="1633" t="n"/>
      <c r="AA284" s="1633" t="n"/>
      <c r="AB284" s="1633" t="n"/>
      <c r="AC284" s="1633" t="n"/>
      <c r="AD284" s="1633" t="n"/>
      <c r="AE284" s="1633" t="n"/>
      <c r="AF284" s="1633" t="n"/>
      <c r="AG284" s="1633" t="n"/>
      <c r="AH284" s="1633" t="n"/>
      <c r="AI284" s="1633" t="n"/>
      <c r="AJ284" s="1633" t="n"/>
      <c r="AK284" s="1633" t="n"/>
      <c r="AL284" s="1633" t="n"/>
      <c r="AM284" s="1633" t="n"/>
      <c r="AN284" s="1633" t="n"/>
      <c r="AO284" s="1633" t="n"/>
      <c r="AP284" s="1633" t="n"/>
      <c r="AQ284" s="1633" t="n"/>
      <c r="AR284" s="1633" t="n"/>
      <c r="AS284" s="1633" t="n"/>
      <c r="AT284" s="1633" t="n"/>
      <c r="AU284" s="1633" t="n"/>
      <c r="AV284" s="1633" t="n"/>
      <c r="AW284" s="1633" t="n"/>
      <c r="AX284" s="1633" t="n"/>
      <c r="AY284" s="1633" t="n"/>
      <c r="AZ284" s="1633" t="n"/>
    </row>
    <row r="285" ht="13.55" customFormat="1" customHeight="1" s="1573">
      <c r="B285" s="1633" t="n"/>
      <c r="C285" s="1633" t="n"/>
      <c r="D285" s="1633" t="n"/>
      <c r="E285" s="1633" t="n"/>
      <c r="F285" s="1633" t="n"/>
      <c r="G285" s="1633" t="n"/>
      <c r="H285" s="1633" t="n"/>
      <c r="I285" s="1633" t="n"/>
      <c r="J285" s="1633" t="n"/>
      <c r="K285" s="1633" t="n"/>
      <c r="L285" s="1633" t="n"/>
      <c r="M285" s="1633" t="n"/>
      <c r="N285" s="1633" t="n"/>
      <c r="O285" s="1633" t="n"/>
      <c r="P285" s="1633" t="n"/>
      <c r="Q285" s="1633" t="n"/>
      <c r="R285" s="1633" t="n"/>
      <c r="S285" s="1633" t="n"/>
      <c r="T285" s="1633" t="n"/>
      <c r="U285" s="1633" t="n"/>
      <c r="V285" s="1633" t="n"/>
      <c r="W285" s="1633" t="n"/>
      <c r="X285" s="1633" t="n"/>
      <c r="Y285" s="1633" t="n"/>
      <c r="Z285" s="1633" t="n"/>
      <c r="AA285" s="1633" t="n"/>
      <c r="AB285" s="1633" t="n"/>
      <c r="AC285" s="1633" t="n"/>
      <c r="AD285" s="1633" t="n"/>
      <c r="AE285" s="1633" t="n"/>
      <c r="AF285" s="1633" t="n"/>
      <c r="AG285" s="1633" t="n"/>
      <c r="AH285" s="1633" t="n"/>
      <c r="AI285" s="1633" t="n"/>
      <c r="AJ285" s="1633" t="n"/>
      <c r="AK285" s="1633" t="n"/>
      <c r="AL285" s="1633" t="n"/>
      <c r="AM285" s="1633" t="n"/>
      <c r="AN285" s="1633" t="n"/>
      <c r="AO285" s="1633" t="n"/>
      <c r="AP285" s="1633" t="n"/>
      <c r="AQ285" s="1633" t="n"/>
      <c r="AR285" s="1633" t="n"/>
      <c r="AS285" s="1633" t="n"/>
      <c r="AT285" s="1633" t="n"/>
      <c r="AU285" s="1633" t="n"/>
      <c r="AV285" s="1633" t="n"/>
      <c r="AW285" s="1633" t="n"/>
      <c r="AX285" s="1633" t="n"/>
      <c r="AY285" s="1633" t="n"/>
      <c r="AZ285" s="1633" t="n"/>
    </row>
    <row r="286" ht="13.55" customFormat="1" customHeight="1" s="1573">
      <c r="B286" s="1633" t="n"/>
      <c r="C286" s="1633" t="n"/>
      <c r="D286" s="1633" t="n"/>
      <c r="E286" s="1633" t="n"/>
      <c r="F286" s="1633" t="n"/>
      <c r="G286" s="1633" t="n"/>
      <c r="H286" s="1633" t="n"/>
      <c r="I286" s="1633" t="n"/>
      <c r="J286" s="1633" t="n"/>
      <c r="K286" s="1633" t="n"/>
      <c r="L286" s="1633" t="n"/>
      <c r="M286" s="1633" t="n"/>
      <c r="N286" s="1633" t="n"/>
      <c r="O286" s="1633" t="n"/>
      <c r="P286" s="1633" t="n"/>
      <c r="Q286" s="1633" t="n"/>
      <c r="R286" s="1633" t="n"/>
      <c r="S286" s="1633" t="n"/>
      <c r="T286" s="1633" t="n"/>
      <c r="U286" s="1633" t="n"/>
      <c r="V286" s="1633" t="n"/>
      <c r="W286" s="1633" t="n"/>
      <c r="X286" s="1633" t="n"/>
      <c r="Y286" s="1633" t="n"/>
      <c r="Z286" s="1633" t="n"/>
      <c r="AA286" s="1633" t="n"/>
      <c r="AB286" s="1633" t="n"/>
      <c r="AC286" s="1633" t="n"/>
      <c r="AD286" s="1633" t="n"/>
      <c r="AE286" s="1633" t="n"/>
      <c r="AF286" s="1633" t="n"/>
      <c r="AG286" s="1633" t="n"/>
      <c r="AH286" s="1633" t="n"/>
      <c r="AI286" s="1633" t="n"/>
      <c r="AJ286" s="1633" t="n"/>
      <c r="AK286" s="1633" t="n"/>
      <c r="AL286" s="1633" t="n"/>
      <c r="AM286" s="1633" t="n"/>
      <c r="AN286" s="1633" t="n"/>
      <c r="AO286" s="1633" t="n"/>
      <c r="AP286" s="1633" t="n"/>
      <c r="AQ286" s="1633" t="n"/>
      <c r="AR286" s="1633" t="n"/>
      <c r="AS286" s="1633" t="n"/>
      <c r="AT286" s="1633" t="n"/>
      <c r="AU286" s="1633" t="n"/>
      <c r="AV286" s="1633" t="n"/>
      <c r="AW286" s="1633" t="n"/>
      <c r="AX286" s="1633" t="n"/>
      <c r="AY286" s="1633" t="n"/>
      <c r="AZ286" s="1633" t="n"/>
    </row>
    <row r="287" ht="13.55" customFormat="1" customHeight="1" s="1573">
      <c r="B287" s="1633" t="n"/>
      <c r="C287" s="1633" t="n"/>
      <c r="D287" s="1633" t="n"/>
      <c r="E287" s="1633" t="n"/>
      <c r="F287" s="1633" t="n"/>
      <c r="G287" s="1633" t="n"/>
      <c r="H287" s="1633" t="n"/>
      <c r="I287" s="1633" t="n"/>
      <c r="J287" s="1633" t="n"/>
      <c r="K287" s="1633" t="n"/>
      <c r="L287" s="1633" t="n"/>
      <c r="M287" s="1633" t="n"/>
      <c r="N287" s="1633" t="n"/>
      <c r="O287" s="1633" t="n"/>
      <c r="P287" s="1633" t="n"/>
      <c r="Q287" s="1633" t="n"/>
      <c r="R287" s="1633" t="n"/>
      <c r="S287" s="1633" t="n"/>
      <c r="T287" s="1633" t="n"/>
      <c r="U287" s="1633" t="n"/>
      <c r="V287" s="1633" t="n"/>
      <c r="W287" s="1633" t="n"/>
      <c r="X287" s="1633" t="n"/>
      <c r="Y287" s="1633" t="n"/>
      <c r="Z287" s="1633" t="n"/>
      <c r="AA287" s="1633" t="n"/>
      <c r="AB287" s="1633" t="n"/>
      <c r="AC287" s="1633" t="n"/>
      <c r="AD287" s="1633" t="n"/>
      <c r="AE287" s="1633" t="n"/>
      <c r="AF287" s="1633" t="n"/>
      <c r="AG287" s="1633" t="n"/>
      <c r="AH287" s="1633" t="n"/>
      <c r="AI287" s="1633" t="n"/>
      <c r="AJ287" s="1633" t="n"/>
      <c r="AK287" s="1633" t="n"/>
      <c r="AL287" s="1633" t="n"/>
      <c r="AM287" s="1633" t="n"/>
      <c r="AN287" s="1633" t="n"/>
      <c r="AO287" s="1633" t="n"/>
      <c r="AP287" s="1633" t="n"/>
      <c r="AQ287" s="1633" t="n"/>
      <c r="AR287" s="1633" t="n"/>
      <c r="AS287" s="1633" t="n"/>
      <c r="AT287" s="1633" t="n"/>
      <c r="AU287" s="1633" t="n"/>
      <c r="AV287" s="1633" t="n"/>
      <c r="AW287" s="1633" t="n"/>
      <c r="AX287" s="1633" t="n"/>
      <c r="AY287" s="1633" t="n"/>
      <c r="AZ287" s="1633" t="n"/>
    </row>
    <row r="288" ht="13.55" customFormat="1" customHeight="1" s="1573">
      <c r="B288" s="1633" t="n"/>
      <c r="C288" s="1633" t="n"/>
      <c r="D288" s="1633" t="n"/>
      <c r="E288" s="1633" t="n"/>
      <c r="F288" s="1633" t="n"/>
      <c r="G288" s="1633" t="n"/>
      <c r="H288" s="1633" t="n"/>
      <c r="I288" s="1633" t="n"/>
      <c r="J288" s="1633" t="n"/>
      <c r="K288" s="1633" t="n"/>
      <c r="L288" s="1633" t="n"/>
      <c r="M288" s="1633" t="n"/>
      <c r="N288" s="1633" t="n"/>
      <c r="O288" s="1633" t="n"/>
      <c r="P288" s="1633" t="n"/>
      <c r="Q288" s="1633" t="n"/>
      <c r="R288" s="1633" t="n"/>
      <c r="S288" s="1633" t="n"/>
      <c r="T288" s="1633" t="n"/>
      <c r="U288" s="1633" t="n"/>
      <c r="V288" s="1633" t="n"/>
      <c r="W288" s="1633" t="n"/>
      <c r="X288" s="1633" t="n"/>
      <c r="Y288" s="1633" t="n"/>
      <c r="Z288" s="1633" t="n"/>
      <c r="AA288" s="1633" t="n"/>
      <c r="AB288" s="1633" t="n"/>
      <c r="AC288" s="1633" t="n"/>
      <c r="AD288" s="1633" t="n"/>
      <c r="AE288" s="1633" t="n"/>
      <c r="AF288" s="1633" t="n"/>
      <c r="AG288" s="1633" t="n"/>
      <c r="AH288" s="1633" t="n"/>
      <c r="AI288" s="1633" t="n"/>
      <c r="AJ288" s="1633" t="n"/>
      <c r="AK288" s="1633" t="n"/>
      <c r="AL288" s="1633" t="n"/>
      <c r="AM288" s="1633" t="n"/>
      <c r="AN288" s="1633" t="n"/>
      <c r="AO288" s="1633" t="n"/>
      <c r="AP288" s="1633" t="n"/>
      <c r="AQ288" s="1633" t="n"/>
      <c r="AR288" s="1633" t="n"/>
      <c r="AS288" s="1633" t="n"/>
      <c r="AT288" s="1633" t="n"/>
      <c r="AU288" s="1633" t="n"/>
      <c r="AV288" s="1633" t="n"/>
      <c r="AW288" s="1633" t="n"/>
      <c r="AX288" s="1633" t="n"/>
      <c r="AY288" s="1633" t="n"/>
      <c r="AZ288" s="1633" t="n"/>
    </row>
    <row r="289" ht="13.55" customFormat="1" customHeight="1" s="1573">
      <c r="B289" s="1633" t="n"/>
      <c r="C289" s="1633" t="n"/>
      <c r="D289" s="1633" t="n"/>
      <c r="E289" s="1633" t="n"/>
      <c r="F289" s="1633" t="n"/>
      <c r="G289" s="1633" t="n"/>
      <c r="H289" s="1633" t="n"/>
      <c r="I289" s="1633" t="n"/>
      <c r="J289" s="1633" t="n"/>
      <c r="K289" s="1633" t="n"/>
      <c r="L289" s="1633" t="n"/>
      <c r="M289" s="1633" t="n"/>
      <c r="N289" s="1633" t="n"/>
      <c r="O289" s="1633" t="n"/>
      <c r="P289" s="1633" t="n"/>
      <c r="Q289" s="1633" t="n"/>
      <c r="R289" s="1633" t="n"/>
      <c r="S289" s="1633" t="n"/>
      <c r="T289" s="1633" t="n"/>
      <c r="U289" s="1633" t="n"/>
      <c r="V289" s="1633" t="n"/>
      <c r="W289" s="1633" t="n"/>
      <c r="X289" s="1633" t="n"/>
      <c r="Y289" s="1633" t="n"/>
      <c r="Z289" s="1633" t="n"/>
      <c r="AA289" s="1633" t="n"/>
      <c r="AB289" s="1633" t="n"/>
      <c r="AC289" s="1633" t="n"/>
      <c r="AD289" s="1633" t="n"/>
      <c r="AE289" s="1633" t="n"/>
      <c r="AF289" s="1633" t="n"/>
      <c r="AG289" s="1633" t="n"/>
      <c r="AH289" s="1633" t="n"/>
      <c r="AI289" s="1633" t="n"/>
      <c r="AJ289" s="1633" t="n"/>
      <c r="AK289" s="1633" t="n"/>
      <c r="AL289" s="1633" t="n"/>
      <c r="AM289" s="1633" t="n"/>
      <c r="AN289" s="1633" t="n"/>
      <c r="AO289" s="1633" t="n"/>
      <c r="AP289" s="1633" t="n"/>
      <c r="AQ289" s="1633" t="n"/>
      <c r="AR289" s="1633" t="n"/>
      <c r="AS289" s="1633" t="n"/>
      <c r="AT289" s="1633" t="n"/>
      <c r="AU289" s="1633" t="n"/>
      <c r="AV289" s="1633" t="n"/>
      <c r="AW289" s="1633" t="n"/>
      <c r="AX289" s="1633" t="n"/>
      <c r="AY289" s="1633" t="n"/>
      <c r="AZ289" s="1633" t="n"/>
    </row>
    <row r="290" ht="13.55" customFormat="1" customHeight="1" s="1573">
      <c r="B290" s="1633" t="n"/>
      <c r="C290" s="1633" t="n"/>
      <c r="D290" s="1633" t="n"/>
      <c r="E290" s="1633" t="n"/>
      <c r="F290" s="1633" t="n"/>
      <c r="G290" s="1633" t="n"/>
      <c r="H290" s="1633" t="n"/>
      <c r="I290" s="1633" t="n"/>
      <c r="J290" s="1633" t="n"/>
      <c r="K290" s="1633" t="n"/>
      <c r="L290" s="1633" t="n"/>
      <c r="M290" s="1633" t="n"/>
      <c r="N290" s="1633" t="n"/>
      <c r="O290" s="1633" t="n"/>
      <c r="P290" s="1633" t="n"/>
      <c r="Q290" s="1633" t="n"/>
      <c r="R290" s="1633" t="n"/>
      <c r="S290" s="1633" t="n"/>
      <c r="T290" s="1633" t="n"/>
      <c r="U290" s="1633" t="n"/>
      <c r="V290" s="1633" t="n"/>
      <c r="W290" s="1633" t="n"/>
      <c r="X290" s="1633" t="n"/>
      <c r="Y290" s="1633" t="n"/>
      <c r="Z290" s="1633" t="n"/>
      <c r="AA290" s="1633" t="n"/>
      <c r="AB290" s="1633" t="n"/>
      <c r="AC290" s="1633" t="n"/>
      <c r="AD290" s="1633" t="n"/>
      <c r="AE290" s="1633" t="n"/>
      <c r="AF290" s="1633" t="n"/>
      <c r="AG290" s="1633" t="n"/>
      <c r="AH290" s="1633" t="n"/>
      <c r="AI290" s="1633" t="n"/>
      <c r="AJ290" s="1633" t="n"/>
      <c r="AK290" s="1633" t="n"/>
      <c r="AL290" s="1633" t="n"/>
      <c r="AM290" s="1633" t="n"/>
      <c r="AN290" s="1633" t="n"/>
      <c r="AO290" s="1633" t="n"/>
      <c r="AP290" s="1633" t="n"/>
      <c r="AQ290" s="1633" t="n"/>
      <c r="AR290" s="1633" t="n"/>
      <c r="AS290" s="1633" t="n"/>
      <c r="AT290" s="1633" t="n"/>
      <c r="AU290" s="1633" t="n"/>
      <c r="AV290" s="1633" t="n"/>
      <c r="AW290" s="1633" t="n"/>
      <c r="AX290" s="1633" t="n"/>
      <c r="AY290" s="1633" t="n"/>
      <c r="AZ290" s="1633" t="n"/>
    </row>
    <row r="291" ht="13.55" customFormat="1" customHeight="1" s="1573">
      <c r="B291" s="1633" t="n"/>
      <c r="C291" s="1633" t="n"/>
      <c r="D291" s="1633" t="n"/>
      <c r="E291" s="1633" t="n"/>
      <c r="F291" s="1633" t="n"/>
      <c r="G291" s="1633" t="n"/>
      <c r="H291" s="1633" t="n"/>
      <c r="I291" s="1633" t="n"/>
      <c r="J291" s="1633" t="n"/>
      <c r="K291" s="1633" t="n"/>
      <c r="L291" s="1633" t="n"/>
      <c r="M291" s="1633" t="n"/>
      <c r="N291" s="1633" t="n"/>
      <c r="O291" s="1633" t="n"/>
      <c r="P291" s="1633" t="n"/>
      <c r="Q291" s="1633" t="n"/>
      <c r="R291" s="1633" t="n"/>
      <c r="S291" s="1633" t="n"/>
      <c r="T291" s="1633" t="n"/>
      <c r="U291" s="1633" t="n"/>
      <c r="V291" s="1633" t="n"/>
      <c r="W291" s="1633" t="n"/>
      <c r="X291" s="1633" t="n"/>
      <c r="Y291" s="1633" t="n"/>
      <c r="Z291" s="1633" t="n"/>
      <c r="AA291" s="1633" t="n"/>
      <c r="AB291" s="1633" t="n"/>
      <c r="AC291" s="1633" t="n"/>
      <c r="AD291" s="1633" t="n"/>
      <c r="AE291" s="1633" t="n"/>
      <c r="AF291" s="1633" t="n"/>
      <c r="AG291" s="1633" t="n"/>
      <c r="AH291" s="1633" t="n"/>
      <c r="AI291" s="1633" t="n"/>
      <c r="AJ291" s="1633" t="n"/>
      <c r="AK291" s="1633" t="n"/>
      <c r="AL291" s="1633" t="n"/>
      <c r="AM291" s="1633" t="n"/>
      <c r="AN291" s="1633" t="n"/>
      <c r="AO291" s="1633" t="n"/>
      <c r="AP291" s="1633" t="n"/>
      <c r="AQ291" s="1633" t="n"/>
      <c r="AR291" s="1633" t="n"/>
      <c r="AS291" s="1633" t="n"/>
      <c r="AT291" s="1633" t="n"/>
      <c r="AU291" s="1633" t="n"/>
      <c r="AV291" s="1633" t="n"/>
      <c r="AW291" s="1633" t="n"/>
      <c r="AX291" s="1633" t="n"/>
      <c r="AY291" s="1633" t="n"/>
      <c r="AZ291" s="1633" t="n"/>
    </row>
    <row r="292" ht="13.55" customFormat="1" customHeight="1" s="1573">
      <c r="B292" s="1633" t="n"/>
      <c r="C292" s="1633" t="n"/>
      <c r="D292" s="1633" t="n"/>
      <c r="E292" s="1633" t="n"/>
      <c r="F292" s="1633" t="n"/>
      <c r="G292" s="1633" t="n"/>
      <c r="H292" s="1633" t="n"/>
      <c r="I292" s="1633" t="n"/>
      <c r="J292" s="1633" t="n"/>
      <c r="K292" s="1633" t="n"/>
      <c r="L292" s="1633" t="n"/>
      <c r="M292" s="1633" t="n"/>
      <c r="N292" s="1633" t="n"/>
      <c r="O292" s="1633" t="n"/>
      <c r="P292" s="1633" t="n"/>
      <c r="Q292" s="1633" t="n"/>
      <c r="R292" s="1633" t="n"/>
      <c r="S292" s="1633" t="n"/>
      <c r="T292" s="1633" t="n"/>
      <c r="U292" s="1633" t="n"/>
      <c r="V292" s="1633" t="n"/>
      <c r="W292" s="1633" t="n"/>
      <c r="X292" s="1633" t="n"/>
      <c r="Y292" s="1633" t="n"/>
      <c r="Z292" s="1633" t="n"/>
      <c r="AA292" s="1633" t="n"/>
      <c r="AB292" s="1633" t="n"/>
      <c r="AC292" s="1633" t="n"/>
      <c r="AD292" s="1633" t="n"/>
      <c r="AE292" s="1633" t="n"/>
      <c r="AF292" s="1633" t="n"/>
      <c r="AG292" s="1633" t="n"/>
      <c r="AH292" s="1633" t="n"/>
      <c r="AI292" s="1633" t="n"/>
      <c r="AJ292" s="1633" t="n"/>
      <c r="AK292" s="1633" t="n"/>
      <c r="AL292" s="1633" t="n"/>
      <c r="AM292" s="1633" t="n"/>
      <c r="AN292" s="1633" t="n"/>
      <c r="AO292" s="1633" t="n"/>
      <c r="AP292" s="1633" t="n"/>
      <c r="AQ292" s="1633" t="n"/>
      <c r="AR292" s="1633" t="n"/>
      <c r="AS292" s="1633" t="n"/>
      <c r="AT292" s="1633" t="n"/>
      <c r="AU292" s="1633" t="n"/>
      <c r="AV292" s="1633" t="n"/>
      <c r="AW292" s="1633" t="n"/>
      <c r="AX292" s="1633" t="n"/>
      <c r="AY292" s="1633" t="n"/>
      <c r="AZ292" s="1633" t="n"/>
    </row>
    <row r="293" ht="13.55" customFormat="1" customHeight="1" s="1573">
      <c r="B293" s="1633" t="n"/>
      <c r="C293" s="1633" t="n"/>
      <c r="D293" s="1633" t="n"/>
      <c r="E293" s="1633" t="n"/>
      <c r="F293" s="1633" t="n"/>
      <c r="G293" s="1633" t="n"/>
      <c r="H293" s="1633" t="n"/>
      <c r="I293" s="1633" t="n"/>
      <c r="J293" s="1633" t="n"/>
      <c r="K293" s="1633" t="n"/>
      <c r="L293" s="1633" t="n"/>
      <c r="M293" s="1633" t="n"/>
      <c r="N293" s="1633" t="n"/>
      <c r="O293" s="1633" t="n"/>
      <c r="P293" s="1633" t="n"/>
      <c r="Q293" s="1633" t="n"/>
      <c r="R293" s="1633" t="n"/>
      <c r="S293" s="1633" t="n"/>
      <c r="T293" s="1633" t="n"/>
      <c r="U293" s="1633" t="n"/>
      <c r="V293" s="1633" t="n"/>
      <c r="W293" s="1633" t="n"/>
      <c r="X293" s="1633" t="n"/>
      <c r="Y293" s="1633" t="n"/>
      <c r="Z293" s="1633" t="n"/>
      <c r="AA293" s="1633" t="n"/>
      <c r="AB293" s="1633" t="n"/>
      <c r="AC293" s="1633" t="n"/>
      <c r="AD293" s="1633" t="n"/>
      <c r="AE293" s="1633" t="n"/>
      <c r="AF293" s="1633" t="n"/>
      <c r="AG293" s="1633" t="n"/>
      <c r="AH293" s="1633" t="n"/>
      <c r="AI293" s="1633" t="n"/>
      <c r="AJ293" s="1633" t="n"/>
      <c r="AK293" s="1633" t="n"/>
      <c r="AL293" s="1633" t="n"/>
      <c r="AM293" s="1633" t="n"/>
      <c r="AN293" s="1633" t="n"/>
      <c r="AO293" s="1633" t="n"/>
      <c r="AP293" s="1633" t="n"/>
      <c r="AQ293" s="1633" t="n"/>
      <c r="AR293" s="1633" t="n"/>
      <c r="AS293" s="1633" t="n"/>
      <c r="AT293" s="1633" t="n"/>
      <c r="AU293" s="1633" t="n"/>
      <c r="AV293" s="1633" t="n"/>
      <c r="AW293" s="1633" t="n"/>
      <c r="AX293" s="1633" t="n"/>
      <c r="AY293" s="1633" t="n"/>
      <c r="AZ293" s="1633" t="n"/>
    </row>
    <row r="294" ht="13.55" customFormat="1" customHeight="1" s="1573">
      <c r="B294" s="1633" t="n"/>
      <c r="C294" s="1633" t="n"/>
      <c r="D294" s="1633" t="n"/>
      <c r="E294" s="1633" t="n"/>
      <c r="F294" s="1633" t="n"/>
      <c r="G294" s="1633" t="n"/>
      <c r="H294" s="1633" t="n"/>
      <c r="I294" s="1633" t="n"/>
      <c r="J294" s="1633" t="n"/>
      <c r="K294" s="1633" t="n"/>
      <c r="L294" s="1633" t="n"/>
      <c r="M294" s="1633" t="n"/>
      <c r="N294" s="1633" t="n"/>
      <c r="O294" s="1633" t="n"/>
      <c r="P294" s="1633" t="n"/>
      <c r="Q294" s="1633" t="n"/>
      <c r="R294" s="1633" t="n"/>
      <c r="S294" s="1633" t="n"/>
      <c r="T294" s="1633" t="n"/>
      <c r="U294" s="1633" t="n"/>
      <c r="V294" s="1633" t="n"/>
      <c r="W294" s="1633" t="n"/>
      <c r="X294" s="1633" t="n"/>
      <c r="Y294" s="1633" t="n"/>
      <c r="Z294" s="1633" t="n"/>
      <c r="AA294" s="1633" t="n"/>
      <c r="AB294" s="1633" t="n"/>
      <c r="AC294" s="1633" t="n"/>
      <c r="AD294" s="1633" t="n"/>
      <c r="AE294" s="1633" t="n"/>
      <c r="AF294" s="1633" t="n"/>
      <c r="AG294" s="1633" t="n"/>
      <c r="AH294" s="1633" t="n"/>
      <c r="AI294" s="1633" t="n"/>
      <c r="AJ294" s="1633" t="n"/>
      <c r="AK294" s="1633" t="n"/>
      <c r="AL294" s="1633" t="n"/>
      <c r="AM294" s="1633" t="n"/>
      <c r="AN294" s="1633" t="n"/>
      <c r="AO294" s="1633" t="n"/>
      <c r="AP294" s="1633" t="n"/>
      <c r="AQ294" s="1633" t="n"/>
      <c r="AR294" s="1633" t="n"/>
      <c r="AS294" s="1633" t="n"/>
      <c r="AT294" s="1633" t="n"/>
      <c r="AU294" s="1633" t="n"/>
      <c r="AV294" s="1633" t="n"/>
      <c r="AW294" s="1633" t="n"/>
      <c r="AX294" s="1633" t="n"/>
      <c r="AY294" s="1633" t="n"/>
      <c r="AZ294" s="1633" t="n"/>
    </row>
    <row r="295" ht="13.55" customFormat="1" customHeight="1" s="1573">
      <c r="B295" s="1633" t="n"/>
      <c r="C295" s="1633" t="n"/>
      <c r="D295" s="1633" t="n"/>
      <c r="E295" s="1633" t="n"/>
      <c r="F295" s="1633" t="n"/>
      <c r="G295" s="1633" t="n"/>
      <c r="H295" s="1633" t="n"/>
      <c r="I295" s="1633" t="n"/>
      <c r="J295" s="1633" t="n"/>
      <c r="K295" s="1633" t="n"/>
      <c r="L295" s="1633" t="n"/>
      <c r="M295" s="1633" t="n"/>
      <c r="N295" s="1633" t="n"/>
      <c r="O295" s="1633" t="n"/>
      <c r="P295" s="1633" t="n"/>
      <c r="Q295" s="1633" t="n"/>
      <c r="R295" s="1633" t="n"/>
      <c r="S295" s="1633" t="n"/>
      <c r="T295" s="1633" t="n"/>
      <c r="U295" s="1633" t="n"/>
      <c r="V295" s="1633" t="n"/>
      <c r="W295" s="1633" t="n"/>
      <c r="X295" s="1633" t="n"/>
      <c r="Y295" s="1633" t="n"/>
      <c r="Z295" s="1633" t="n"/>
      <c r="AA295" s="1633" t="n"/>
      <c r="AB295" s="1633" t="n"/>
      <c r="AC295" s="1633" t="n"/>
      <c r="AD295" s="1633" t="n"/>
      <c r="AE295" s="1633" t="n"/>
      <c r="AF295" s="1633" t="n"/>
      <c r="AG295" s="1633" t="n"/>
      <c r="AH295" s="1633" t="n"/>
      <c r="AI295" s="1633" t="n"/>
      <c r="AJ295" s="1633" t="n"/>
      <c r="AK295" s="1633" t="n"/>
      <c r="AL295" s="1633" t="n"/>
      <c r="AM295" s="1633" t="n"/>
      <c r="AN295" s="1633" t="n"/>
      <c r="AO295" s="1633" t="n"/>
      <c r="AP295" s="1633" t="n"/>
      <c r="AQ295" s="1633" t="n"/>
      <c r="AR295" s="1633" t="n"/>
      <c r="AS295" s="1633" t="n"/>
      <c r="AT295" s="1633" t="n"/>
      <c r="AU295" s="1633" t="n"/>
      <c r="AV295" s="1633" t="n"/>
      <c r="AW295" s="1633" t="n"/>
      <c r="AX295" s="1633" t="n"/>
      <c r="AY295" s="1633" t="n"/>
      <c r="AZ295" s="1633" t="n"/>
    </row>
    <row r="296" ht="13.55" customFormat="1" customHeight="1" s="1573">
      <c r="B296" s="1633" t="n"/>
      <c r="C296" s="1633" t="n"/>
      <c r="D296" s="1633" t="n"/>
      <c r="E296" s="1633" t="n"/>
      <c r="F296" s="1633" t="n"/>
      <c r="G296" s="1633" t="n"/>
      <c r="H296" s="1633" t="n"/>
      <c r="I296" s="1633" t="n"/>
      <c r="J296" s="1633" t="n"/>
      <c r="K296" s="1633" t="n"/>
      <c r="L296" s="1633" t="n"/>
      <c r="M296" s="1633" t="n"/>
      <c r="N296" s="1633" t="n"/>
      <c r="O296" s="1633" t="n"/>
      <c r="P296" s="1633" t="n"/>
      <c r="Q296" s="1633" t="n"/>
      <c r="R296" s="1633" t="n"/>
      <c r="S296" s="1633" t="n"/>
      <c r="T296" s="1633" t="n"/>
      <c r="U296" s="1633" t="n"/>
      <c r="V296" s="1633" t="n"/>
      <c r="W296" s="1633" t="n"/>
      <c r="X296" s="1633" t="n"/>
      <c r="Y296" s="1633" t="n"/>
      <c r="Z296" s="1633" t="n"/>
      <c r="AA296" s="1633" t="n"/>
      <c r="AB296" s="1633" t="n"/>
      <c r="AC296" s="1633" t="n"/>
      <c r="AD296" s="1633" t="n"/>
      <c r="AE296" s="1633" t="n"/>
      <c r="AF296" s="1633" t="n"/>
      <c r="AG296" s="1633" t="n"/>
      <c r="AH296" s="1633" t="n"/>
      <c r="AI296" s="1633" t="n"/>
      <c r="AJ296" s="1633" t="n"/>
      <c r="AK296" s="1633" t="n"/>
      <c r="AL296" s="1633" t="n"/>
      <c r="AM296" s="1633" t="n"/>
      <c r="AN296" s="1633" t="n"/>
      <c r="AO296" s="1633" t="n"/>
      <c r="AP296" s="1633" t="n"/>
      <c r="AQ296" s="1633" t="n"/>
      <c r="AR296" s="1633" t="n"/>
      <c r="AS296" s="1633" t="n"/>
      <c r="AT296" s="1633" t="n"/>
      <c r="AU296" s="1633" t="n"/>
      <c r="AV296" s="1633" t="n"/>
      <c r="AW296" s="1633" t="n"/>
      <c r="AX296" s="1633" t="n"/>
      <c r="AY296" s="1633" t="n"/>
      <c r="AZ296" s="1633" t="n"/>
    </row>
    <row r="297" ht="13.55" customFormat="1" customHeight="1" s="1573">
      <c r="B297" s="1633" t="n"/>
      <c r="C297" s="1633" t="n"/>
      <c r="D297" s="1633" t="n"/>
      <c r="E297" s="1633" t="n"/>
      <c r="F297" s="1633" t="n"/>
      <c r="G297" s="1633" t="n"/>
      <c r="H297" s="1633" t="n"/>
      <c r="I297" s="1633" t="n"/>
      <c r="J297" s="1633" t="n"/>
      <c r="K297" s="1633" t="n"/>
      <c r="L297" s="1633" t="n"/>
      <c r="M297" s="1633" t="n"/>
      <c r="N297" s="1633" t="n"/>
      <c r="O297" s="1633" t="n"/>
      <c r="P297" s="1633" t="n"/>
      <c r="Q297" s="1633" t="n"/>
      <c r="R297" s="1633" t="n"/>
      <c r="S297" s="1633" t="n"/>
      <c r="T297" s="1633" t="n"/>
      <c r="U297" s="1633" t="n"/>
      <c r="V297" s="1633" t="n"/>
      <c r="W297" s="1633" t="n"/>
      <c r="X297" s="1633" t="n"/>
      <c r="Y297" s="1633" t="n"/>
      <c r="Z297" s="1633" t="n"/>
      <c r="AA297" s="1633" t="n"/>
      <c r="AB297" s="1633" t="n"/>
      <c r="AC297" s="1633" t="n"/>
      <c r="AD297" s="1633" t="n"/>
      <c r="AE297" s="1633" t="n"/>
      <c r="AF297" s="1633" t="n"/>
      <c r="AG297" s="1633" t="n"/>
      <c r="AH297" s="1633" t="n"/>
      <c r="AI297" s="1633" t="n"/>
      <c r="AJ297" s="1633" t="n"/>
      <c r="AK297" s="1633" t="n"/>
      <c r="AL297" s="1633" t="n"/>
      <c r="AM297" s="1633" t="n"/>
      <c r="AN297" s="1633" t="n"/>
      <c r="AO297" s="1633" t="n"/>
      <c r="AP297" s="1633" t="n"/>
      <c r="AQ297" s="1633" t="n"/>
      <c r="AR297" s="1633" t="n"/>
      <c r="AS297" s="1633" t="n"/>
      <c r="AT297" s="1633" t="n"/>
      <c r="AU297" s="1633" t="n"/>
      <c r="AV297" s="1633" t="n"/>
      <c r="AW297" s="1633" t="n"/>
      <c r="AX297" s="1633" t="n"/>
      <c r="AY297" s="1633" t="n"/>
      <c r="AZ297" s="1633" t="n"/>
    </row>
    <row r="298" ht="13.55" customFormat="1" customHeight="1" s="1573">
      <c r="B298" s="1633" t="n"/>
      <c r="C298" s="1633" t="n"/>
      <c r="D298" s="1633" t="n"/>
      <c r="E298" s="1633" t="n"/>
      <c r="F298" s="1633" t="n"/>
      <c r="G298" s="1633" t="n"/>
      <c r="H298" s="1633" t="n"/>
      <c r="I298" s="1633" t="n"/>
      <c r="J298" s="1633" t="n"/>
      <c r="K298" s="1633" t="n"/>
      <c r="L298" s="1633" t="n"/>
      <c r="M298" s="1633" t="n"/>
      <c r="N298" s="1633" t="n"/>
      <c r="O298" s="1633" t="n"/>
      <c r="P298" s="1633" t="n"/>
      <c r="Q298" s="1633" t="n"/>
      <c r="R298" s="1633" t="n"/>
      <c r="S298" s="1633" t="n"/>
      <c r="T298" s="1633" t="n"/>
      <c r="U298" s="1633" t="n"/>
      <c r="V298" s="1633" t="n"/>
      <c r="W298" s="1633" t="n"/>
      <c r="X298" s="1633" t="n"/>
      <c r="Y298" s="1633" t="n"/>
      <c r="Z298" s="1633" t="n"/>
      <c r="AA298" s="1633" t="n"/>
      <c r="AB298" s="1633" t="n"/>
      <c r="AC298" s="1633" t="n"/>
      <c r="AD298" s="1633" t="n"/>
      <c r="AE298" s="1633" t="n"/>
      <c r="AF298" s="1633" t="n"/>
      <c r="AG298" s="1633" t="n"/>
      <c r="AH298" s="1633" t="n"/>
      <c r="AI298" s="1633" t="n"/>
      <c r="AJ298" s="1633" t="n"/>
      <c r="AK298" s="1633" t="n"/>
      <c r="AL298" s="1633" t="n"/>
      <c r="AM298" s="1633" t="n"/>
      <c r="AN298" s="1633" t="n"/>
      <c r="AO298" s="1633" t="n"/>
      <c r="AP298" s="1633" t="n"/>
      <c r="AQ298" s="1633" t="n"/>
      <c r="AR298" s="1633" t="n"/>
      <c r="AS298" s="1633" t="n"/>
      <c r="AT298" s="1633" t="n"/>
      <c r="AU298" s="1633" t="n"/>
      <c r="AV298" s="1633" t="n"/>
      <c r="AW298" s="1633" t="n"/>
      <c r="AX298" s="1633" t="n"/>
      <c r="AY298" s="1633" t="n"/>
      <c r="AZ298" s="1633" t="n"/>
    </row>
    <row r="299" ht="13.55" customFormat="1" customHeight="1" s="1573">
      <c r="B299" s="1633" t="n"/>
      <c r="C299" s="1633" t="n"/>
      <c r="D299" s="1633" t="n"/>
      <c r="E299" s="1633" t="n"/>
      <c r="F299" s="1633" t="n"/>
      <c r="G299" s="1633" t="n"/>
      <c r="H299" s="1633" t="n"/>
      <c r="I299" s="1633" t="n"/>
      <c r="J299" s="1633" t="n"/>
      <c r="K299" s="1633" t="n"/>
      <c r="L299" s="1633" t="n"/>
      <c r="M299" s="1633" t="n"/>
      <c r="N299" s="1633" t="n"/>
      <c r="O299" s="1633" t="n"/>
      <c r="P299" s="1633" t="n"/>
      <c r="Q299" s="1633" t="n"/>
      <c r="R299" s="1633" t="n"/>
      <c r="S299" s="1633" t="n"/>
      <c r="T299" s="1633" t="n"/>
      <c r="U299" s="1633" t="n"/>
      <c r="V299" s="1633" t="n"/>
      <c r="W299" s="1633" t="n"/>
      <c r="X299" s="1633" t="n"/>
      <c r="Y299" s="1633" t="n"/>
      <c r="Z299" s="1633" t="n"/>
      <c r="AA299" s="1633" t="n"/>
      <c r="AB299" s="1633" t="n"/>
      <c r="AC299" s="1633" t="n"/>
      <c r="AD299" s="1633" t="n"/>
      <c r="AE299" s="1633" t="n"/>
      <c r="AF299" s="1633" t="n"/>
      <c r="AG299" s="1633" t="n"/>
      <c r="AH299" s="1633" t="n"/>
      <c r="AI299" s="1633" t="n"/>
      <c r="AJ299" s="1633" t="n"/>
      <c r="AK299" s="1633" t="n"/>
      <c r="AL299" s="1633" t="n"/>
      <c r="AM299" s="1633" t="n"/>
      <c r="AN299" s="1633" t="n"/>
      <c r="AO299" s="1633" t="n"/>
      <c r="AP299" s="1633" t="n"/>
      <c r="AQ299" s="1633" t="n"/>
      <c r="AR299" s="1633" t="n"/>
      <c r="AS299" s="1633" t="n"/>
      <c r="AT299" s="1633" t="n"/>
      <c r="AU299" s="1633" t="n"/>
      <c r="AV299" s="1633" t="n"/>
      <c r="AW299" s="1633" t="n"/>
      <c r="AX299" s="1633" t="n"/>
      <c r="AY299" s="1633" t="n"/>
      <c r="AZ299" s="1633" t="n"/>
    </row>
    <row r="300" ht="13.55" customFormat="1" customHeight="1" s="1573">
      <c r="B300" s="1633" t="n"/>
      <c r="C300" s="1633" t="n"/>
      <c r="D300" s="1633" t="n"/>
      <c r="E300" s="1633" t="n"/>
      <c r="F300" s="1633" t="n"/>
      <c r="G300" s="1633" t="n"/>
      <c r="H300" s="1633" t="n"/>
      <c r="I300" s="1633" t="n"/>
      <c r="J300" s="1633" t="n"/>
      <c r="K300" s="1633" t="n"/>
      <c r="L300" s="1633" t="n"/>
      <c r="M300" s="1633" t="n"/>
      <c r="N300" s="1633" t="n"/>
      <c r="O300" s="1633" t="n"/>
      <c r="P300" s="1633" t="n"/>
      <c r="Q300" s="1633" t="n"/>
      <c r="R300" s="1633" t="n"/>
      <c r="S300" s="1633" t="n"/>
      <c r="T300" s="1633" t="n"/>
      <c r="U300" s="1633" t="n"/>
      <c r="V300" s="1633" t="n"/>
      <c r="W300" s="1633" t="n"/>
      <c r="X300" s="1633" t="n"/>
      <c r="Y300" s="1633" t="n"/>
      <c r="Z300" s="1633" t="n"/>
      <c r="AA300" s="1633" t="n"/>
      <c r="AB300" s="1633" t="n"/>
      <c r="AC300" s="1633" t="n"/>
      <c r="AD300" s="1633" t="n"/>
      <c r="AE300" s="1633" t="n"/>
      <c r="AF300" s="1633" t="n"/>
      <c r="AG300" s="1633" t="n"/>
      <c r="AH300" s="1633" t="n"/>
      <c r="AI300" s="1633" t="n"/>
      <c r="AJ300" s="1633" t="n"/>
      <c r="AK300" s="1633" t="n"/>
      <c r="AL300" s="1633" t="n"/>
      <c r="AM300" s="1633" t="n"/>
      <c r="AN300" s="1633" t="n"/>
      <c r="AO300" s="1633" t="n"/>
      <c r="AP300" s="1633" t="n"/>
      <c r="AQ300" s="1633" t="n"/>
      <c r="AR300" s="1633" t="n"/>
      <c r="AS300" s="1633" t="n"/>
      <c r="AT300" s="1633" t="n"/>
      <c r="AU300" s="1633" t="n"/>
      <c r="AV300" s="1633" t="n"/>
      <c r="AW300" s="1633" t="n"/>
      <c r="AX300" s="1633" t="n"/>
      <c r="AY300" s="1633" t="n"/>
      <c r="AZ300" s="1633" t="n"/>
    </row>
    <row r="301" ht="13.55" customFormat="1" customHeight="1" s="1573">
      <c r="B301" s="1633" t="n"/>
      <c r="C301" s="1633" t="n"/>
      <c r="D301" s="1633" t="n"/>
      <c r="E301" s="1633" t="n"/>
      <c r="F301" s="1633" t="n"/>
      <c r="G301" s="1633" t="n"/>
      <c r="H301" s="1633" t="n"/>
      <c r="I301" s="1633" t="n"/>
      <c r="J301" s="1633" t="n"/>
      <c r="K301" s="1633" t="n"/>
      <c r="L301" s="1633" t="n"/>
      <c r="M301" s="1633" t="n"/>
      <c r="N301" s="1633" t="n"/>
      <c r="O301" s="1633" t="n"/>
      <c r="P301" s="1633" t="n"/>
      <c r="Q301" s="1633" t="n"/>
      <c r="R301" s="1633" t="n"/>
      <c r="S301" s="1633" t="n"/>
      <c r="T301" s="1633" t="n"/>
      <c r="U301" s="1633" t="n"/>
      <c r="V301" s="1633" t="n"/>
      <c r="W301" s="1633" t="n"/>
      <c r="X301" s="1633" t="n"/>
      <c r="Y301" s="1633" t="n"/>
      <c r="Z301" s="1633" t="n"/>
      <c r="AA301" s="1633" t="n"/>
      <c r="AB301" s="1633" t="n"/>
      <c r="AC301" s="1633" t="n"/>
      <c r="AD301" s="1633" t="n"/>
      <c r="AE301" s="1633" t="n"/>
      <c r="AF301" s="1633" t="n"/>
      <c r="AG301" s="1633" t="n"/>
      <c r="AH301" s="1633" t="n"/>
      <c r="AI301" s="1633" t="n"/>
      <c r="AJ301" s="1633" t="n"/>
      <c r="AK301" s="1633" t="n"/>
      <c r="AL301" s="1633" t="n"/>
      <c r="AM301" s="1633" t="n"/>
      <c r="AN301" s="1633" t="n"/>
      <c r="AO301" s="1633" t="n"/>
      <c r="AP301" s="1633" t="n"/>
      <c r="AQ301" s="1633" t="n"/>
      <c r="AR301" s="1633" t="n"/>
      <c r="AS301" s="1633" t="n"/>
      <c r="AT301" s="1633" t="n"/>
      <c r="AU301" s="1633" t="n"/>
      <c r="AV301" s="1633" t="n"/>
      <c r="AW301" s="1633" t="n"/>
      <c r="AX301" s="1633" t="n"/>
      <c r="AY301" s="1633" t="n"/>
      <c r="AZ301" s="1633" t="n"/>
    </row>
    <row r="302" ht="13.55" customFormat="1" customHeight="1" s="1573">
      <c r="B302" s="1633" t="n"/>
      <c r="C302" s="1633" t="n"/>
      <c r="D302" s="1633" t="n"/>
      <c r="E302" s="1633" t="n"/>
      <c r="F302" s="1633" t="n"/>
      <c r="G302" s="1633" t="n"/>
      <c r="H302" s="1633" t="n"/>
      <c r="I302" s="1633" t="n"/>
      <c r="J302" s="1633" t="n"/>
      <c r="K302" s="1633" t="n"/>
      <c r="L302" s="1633" t="n"/>
      <c r="M302" s="1633" t="n"/>
      <c r="N302" s="1633" t="n"/>
      <c r="O302" s="1633" t="n"/>
      <c r="P302" s="1633" t="n"/>
      <c r="Q302" s="1633" t="n"/>
      <c r="R302" s="1633" t="n"/>
      <c r="S302" s="1633" t="n"/>
      <c r="T302" s="1633" t="n"/>
      <c r="U302" s="1633" t="n"/>
      <c r="V302" s="1633" t="n"/>
      <c r="W302" s="1633" t="n"/>
      <c r="X302" s="1633" t="n"/>
      <c r="Y302" s="1633" t="n"/>
      <c r="Z302" s="1633" t="n"/>
      <c r="AA302" s="1633" t="n"/>
      <c r="AB302" s="1633" t="n"/>
      <c r="AC302" s="1633" t="n"/>
      <c r="AD302" s="1633" t="n"/>
      <c r="AE302" s="1633" t="n"/>
      <c r="AF302" s="1633" t="n"/>
      <c r="AG302" s="1633" t="n"/>
      <c r="AH302" s="1633" t="n"/>
      <c r="AI302" s="1633" t="n"/>
      <c r="AJ302" s="1633" t="n"/>
      <c r="AK302" s="1633" t="n"/>
      <c r="AL302" s="1633" t="n"/>
      <c r="AM302" s="1633" t="n"/>
      <c r="AN302" s="1633" t="n"/>
      <c r="AO302" s="1633" t="n"/>
      <c r="AP302" s="1633" t="n"/>
      <c r="AQ302" s="1633" t="n"/>
      <c r="AR302" s="1633" t="n"/>
      <c r="AS302" s="1633" t="n"/>
      <c r="AT302" s="1633" t="n"/>
      <c r="AU302" s="1633" t="n"/>
      <c r="AV302" s="1633" t="n"/>
      <c r="AW302" s="1633" t="n"/>
      <c r="AX302" s="1633" t="n"/>
      <c r="AY302" s="1633" t="n"/>
      <c r="AZ302" s="1633" t="n"/>
    </row>
    <row r="303" ht="13.55" customFormat="1" customHeight="1" s="1573">
      <c r="B303" s="1633" t="n"/>
      <c r="C303" s="1633" t="n"/>
      <c r="D303" s="1633" t="n"/>
      <c r="E303" s="1633" t="n"/>
      <c r="F303" s="1633" t="n"/>
      <c r="G303" s="1633" t="n"/>
      <c r="H303" s="1633" t="n"/>
      <c r="I303" s="1633" t="n"/>
      <c r="J303" s="1633" t="n"/>
      <c r="K303" s="1633" t="n"/>
      <c r="L303" s="1633" t="n"/>
      <c r="M303" s="1633" t="n"/>
      <c r="N303" s="1633" t="n"/>
      <c r="O303" s="1633" t="n"/>
      <c r="P303" s="1633" t="n"/>
      <c r="Q303" s="1633" t="n"/>
      <c r="R303" s="1633" t="n"/>
      <c r="S303" s="1633" t="n"/>
      <c r="T303" s="1633" t="n"/>
      <c r="U303" s="1633" t="n"/>
      <c r="V303" s="1633" t="n"/>
      <c r="W303" s="1633" t="n"/>
      <c r="X303" s="1633" t="n"/>
      <c r="Y303" s="1633" t="n"/>
      <c r="Z303" s="1633" t="n"/>
      <c r="AA303" s="1633" t="n"/>
      <c r="AB303" s="1633" t="n"/>
      <c r="AC303" s="1633" t="n"/>
      <c r="AD303" s="1633" t="n"/>
      <c r="AE303" s="1633" t="n"/>
      <c r="AF303" s="1633" t="n"/>
      <c r="AG303" s="1633" t="n"/>
      <c r="AH303" s="1633" t="n"/>
      <c r="AI303" s="1633" t="n"/>
      <c r="AJ303" s="1633" t="n"/>
      <c r="AK303" s="1633" t="n"/>
      <c r="AL303" s="1633" t="n"/>
      <c r="AM303" s="1633" t="n"/>
      <c r="AN303" s="1633" t="n"/>
      <c r="AO303" s="1633" t="n"/>
      <c r="AP303" s="1633" t="n"/>
      <c r="AQ303" s="1633" t="n"/>
      <c r="AR303" s="1633" t="n"/>
      <c r="AS303" s="1633" t="n"/>
      <c r="AT303" s="1633" t="n"/>
      <c r="AU303" s="1633" t="n"/>
      <c r="AV303" s="1633" t="n"/>
      <c r="AW303" s="1633" t="n"/>
      <c r="AX303" s="1633" t="n"/>
      <c r="AY303" s="1633" t="n"/>
      <c r="AZ303" s="1633" t="n"/>
    </row>
    <row r="304" ht="13.55" customFormat="1" customHeight="1" s="1573">
      <c r="B304" s="1633" t="n"/>
      <c r="C304" s="1633" t="n"/>
      <c r="D304" s="1633" t="n"/>
      <c r="E304" s="1633" t="n"/>
      <c r="F304" s="1633" t="n"/>
      <c r="G304" s="1633" t="n"/>
      <c r="H304" s="1633" t="n"/>
      <c r="I304" s="1633" t="n"/>
      <c r="J304" s="1633" t="n"/>
      <c r="K304" s="1633" t="n"/>
      <c r="L304" s="1633" t="n"/>
      <c r="M304" s="1633" t="n"/>
      <c r="N304" s="1633" t="n"/>
      <c r="O304" s="1633" t="n"/>
      <c r="P304" s="1633" t="n"/>
      <c r="Q304" s="1633" t="n"/>
      <c r="R304" s="1633" t="n"/>
      <c r="S304" s="1633" t="n"/>
      <c r="T304" s="1633" t="n"/>
      <c r="U304" s="1633" t="n"/>
      <c r="V304" s="1633" t="n"/>
      <c r="W304" s="1633" t="n"/>
      <c r="X304" s="1633" t="n"/>
      <c r="Y304" s="1633" t="n"/>
      <c r="Z304" s="1633" t="n"/>
      <c r="AA304" s="1633" t="n"/>
      <c r="AB304" s="1633" t="n"/>
      <c r="AC304" s="1633" t="n"/>
      <c r="AD304" s="1633" t="n"/>
      <c r="AE304" s="1633" t="n"/>
      <c r="AF304" s="1633" t="n"/>
      <c r="AG304" s="1633" t="n"/>
      <c r="AH304" s="1633" t="n"/>
      <c r="AI304" s="1633" t="n"/>
      <c r="AJ304" s="1633" t="n"/>
      <c r="AK304" s="1633" t="n"/>
      <c r="AL304" s="1633" t="n"/>
      <c r="AM304" s="1633" t="n"/>
      <c r="AN304" s="1633" t="n"/>
      <c r="AO304" s="1633" t="n"/>
      <c r="AP304" s="1633" t="n"/>
      <c r="AQ304" s="1633" t="n"/>
      <c r="AR304" s="1633" t="n"/>
      <c r="AS304" s="1633" t="n"/>
      <c r="AT304" s="1633" t="n"/>
      <c r="AU304" s="1633" t="n"/>
      <c r="AV304" s="1633" t="n"/>
      <c r="AW304" s="1633" t="n"/>
      <c r="AX304" s="1633" t="n"/>
      <c r="AY304" s="1633" t="n"/>
      <c r="AZ304" s="1633" t="n"/>
    </row>
    <row r="305" ht="13.55" customFormat="1" customHeight="1" s="1573">
      <c r="B305" s="1633" t="n"/>
      <c r="C305" s="1633" t="n"/>
      <c r="D305" s="1633" t="n"/>
      <c r="E305" s="1633" t="n"/>
      <c r="F305" s="1633" t="n"/>
      <c r="G305" s="1633" t="n"/>
      <c r="H305" s="1633" t="n"/>
      <c r="I305" s="1633" t="n"/>
      <c r="J305" s="1633" t="n"/>
      <c r="K305" s="1633" t="n"/>
      <c r="L305" s="1633" t="n"/>
      <c r="M305" s="1633" t="n"/>
      <c r="N305" s="1633" t="n"/>
      <c r="O305" s="1633" t="n"/>
      <c r="P305" s="1633" t="n"/>
      <c r="Q305" s="1633" t="n"/>
      <c r="R305" s="1633" t="n"/>
      <c r="S305" s="1633" t="n"/>
      <c r="T305" s="1633" t="n"/>
      <c r="U305" s="1633" t="n"/>
      <c r="V305" s="1633" t="n"/>
      <c r="W305" s="1633" t="n"/>
      <c r="X305" s="1633" t="n"/>
      <c r="Y305" s="1633" t="n"/>
      <c r="Z305" s="1633" t="n"/>
      <c r="AA305" s="1633" t="n"/>
      <c r="AB305" s="1633" t="n"/>
      <c r="AC305" s="1633" t="n"/>
      <c r="AD305" s="1633" t="n"/>
      <c r="AE305" s="1633" t="n"/>
      <c r="AF305" s="1633" t="n"/>
      <c r="AG305" s="1633" t="n"/>
      <c r="AH305" s="1633" t="n"/>
      <c r="AI305" s="1633" t="n"/>
      <c r="AJ305" s="1633" t="n"/>
      <c r="AK305" s="1633" t="n"/>
      <c r="AL305" s="1633" t="n"/>
      <c r="AM305" s="1633" t="n"/>
      <c r="AN305" s="1633" t="n"/>
      <c r="AO305" s="1633" t="n"/>
      <c r="AP305" s="1633" t="n"/>
      <c r="AQ305" s="1633" t="n"/>
      <c r="AR305" s="1633" t="n"/>
      <c r="AS305" s="1633" t="n"/>
      <c r="AT305" s="1633" t="n"/>
      <c r="AU305" s="1633" t="n"/>
      <c r="AV305" s="1633" t="n"/>
      <c r="AW305" s="1633" t="n"/>
      <c r="AX305" s="1633" t="n"/>
      <c r="AY305" s="1633" t="n"/>
      <c r="AZ305" s="1633" t="n"/>
    </row>
    <row r="306" ht="13.55" customFormat="1" customHeight="1" s="1573">
      <c r="B306" s="1633" t="n"/>
      <c r="C306" s="1633" t="n"/>
      <c r="D306" s="1633" t="n"/>
      <c r="E306" s="1633" t="n"/>
      <c r="F306" s="1633" t="n"/>
      <c r="G306" s="1633" t="n"/>
      <c r="H306" s="1633" t="n"/>
      <c r="I306" s="1633" t="n"/>
      <c r="J306" s="1633" t="n"/>
      <c r="K306" s="1633" t="n"/>
      <c r="L306" s="1633" t="n"/>
      <c r="M306" s="1633" t="n"/>
      <c r="N306" s="1633" t="n"/>
      <c r="O306" s="1633" t="n"/>
      <c r="P306" s="1633" t="n"/>
      <c r="Q306" s="1633" t="n"/>
      <c r="R306" s="1633" t="n"/>
      <c r="S306" s="1633" t="n"/>
      <c r="T306" s="1633" t="n"/>
      <c r="U306" s="1633" t="n"/>
      <c r="V306" s="1633" t="n"/>
      <c r="W306" s="1633" t="n"/>
      <c r="X306" s="1633" t="n"/>
      <c r="Y306" s="1633" t="n"/>
      <c r="Z306" s="1633" t="n"/>
      <c r="AA306" s="1633" t="n"/>
      <c r="AB306" s="1633" t="n"/>
      <c r="AC306" s="1633" t="n"/>
      <c r="AD306" s="1633" t="n"/>
      <c r="AE306" s="1633" t="n"/>
      <c r="AF306" s="1633" t="n"/>
      <c r="AG306" s="1633" t="n"/>
      <c r="AH306" s="1633" t="n"/>
      <c r="AI306" s="1633" t="n"/>
      <c r="AJ306" s="1633" t="n"/>
      <c r="AK306" s="1633" t="n"/>
      <c r="AL306" s="1633" t="n"/>
      <c r="AM306" s="1633" t="n"/>
      <c r="AN306" s="1633" t="n"/>
      <c r="AO306" s="1633" t="n"/>
      <c r="AP306" s="1633" t="n"/>
      <c r="AQ306" s="1633" t="n"/>
      <c r="AR306" s="1633" t="n"/>
      <c r="AS306" s="1633" t="n"/>
      <c r="AT306" s="1633" t="n"/>
      <c r="AU306" s="1633" t="n"/>
      <c r="AV306" s="1633" t="n"/>
      <c r="AW306" s="1633" t="n"/>
      <c r="AX306" s="1633" t="n"/>
      <c r="AY306" s="1633" t="n"/>
      <c r="AZ306" s="1633" t="n"/>
    </row>
    <row r="307" ht="13.55" customFormat="1" customHeight="1" s="1573">
      <c r="B307" s="1633" t="n"/>
      <c r="C307" s="1633" t="n"/>
      <c r="D307" s="1633" t="n"/>
      <c r="E307" s="1633" t="n"/>
      <c r="F307" s="1633" t="n"/>
      <c r="G307" s="1633" t="n"/>
      <c r="H307" s="1633" t="n"/>
      <c r="I307" s="1633" t="n"/>
      <c r="J307" s="1633" t="n"/>
      <c r="K307" s="1633" t="n"/>
      <c r="L307" s="1633" t="n"/>
      <c r="M307" s="1633" t="n"/>
      <c r="N307" s="1633" t="n"/>
      <c r="O307" s="1633" t="n"/>
      <c r="P307" s="1633" t="n"/>
      <c r="Q307" s="1633" t="n"/>
      <c r="R307" s="1633" t="n"/>
      <c r="S307" s="1633" t="n"/>
      <c r="T307" s="1633" t="n"/>
      <c r="U307" s="1633" t="n"/>
      <c r="V307" s="1633" t="n"/>
      <c r="W307" s="1633" t="n"/>
      <c r="X307" s="1633" t="n"/>
      <c r="Y307" s="1633" t="n"/>
      <c r="Z307" s="1633" t="n"/>
      <c r="AA307" s="1633" t="n"/>
      <c r="AB307" s="1633" t="n"/>
      <c r="AC307" s="1633" t="n"/>
      <c r="AD307" s="1633" t="n"/>
      <c r="AE307" s="1633" t="n"/>
      <c r="AF307" s="1633" t="n"/>
      <c r="AG307" s="1633" t="n"/>
      <c r="AH307" s="1633" t="n"/>
      <c r="AI307" s="1633" t="n"/>
      <c r="AJ307" s="1633" t="n"/>
      <c r="AK307" s="1633" t="n"/>
      <c r="AL307" s="1633" t="n"/>
      <c r="AM307" s="1633" t="n"/>
      <c r="AN307" s="1633" t="n"/>
      <c r="AO307" s="1633" t="n"/>
      <c r="AP307" s="1633" t="n"/>
      <c r="AQ307" s="1633" t="n"/>
      <c r="AR307" s="1633" t="n"/>
      <c r="AS307" s="1633" t="n"/>
      <c r="AT307" s="1633" t="n"/>
      <c r="AU307" s="1633" t="n"/>
      <c r="AV307" s="1633" t="n"/>
      <c r="AW307" s="1633" t="n"/>
      <c r="AX307" s="1633" t="n"/>
      <c r="AY307" s="1633" t="n"/>
      <c r="AZ307" s="1633" t="n"/>
    </row>
    <row r="308" ht="13.55" customFormat="1" customHeight="1" s="1573">
      <c r="B308" s="1633" t="n"/>
      <c r="C308" s="1633" t="n"/>
      <c r="D308" s="1633" t="n"/>
      <c r="E308" s="1633" t="n"/>
      <c r="F308" s="1633" t="n"/>
      <c r="G308" s="1633" t="n"/>
      <c r="H308" s="1633" t="n"/>
      <c r="I308" s="1633" t="n"/>
      <c r="J308" s="1633" t="n"/>
      <c r="K308" s="1633" t="n"/>
      <c r="L308" s="1633" t="n"/>
      <c r="M308" s="1633" t="n"/>
      <c r="N308" s="1633" t="n"/>
      <c r="O308" s="1633" t="n"/>
      <c r="P308" s="1633" t="n"/>
      <c r="Q308" s="1633" t="n"/>
      <c r="R308" s="1633" t="n"/>
      <c r="S308" s="1633" t="n"/>
      <c r="T308" s="1633" t="n"/>
      <c r="U308" s="1633" t="n"/>
      <c r="V308" s="1633" t="n"/>
      <c r="W308" s="1633" t="n"/>
      <c r="X308" s="1633" t="n"/>
      <c r="Y308" s="1633" t="n"/>
      <c r="Z308" s="1633" t="n"/>
      <c r="AA308" s="1633" t="n"/>
      <c r="AB308" s="1633" t="n"/>
      <c r="AC308" s="1633" t="n"/>
      <c r="AD308" s="1633" t="n"/>
      <c r="AE308" s="1633" t="n"/>
      <c r="AF308" s="1633" t="n"/>
      <c r="AG308" s="1633" t="n"/>
      <c r="AH308" s="1633" t="n"/>
      <c r="AI308" s="1633" t="n"/>
      <c r="AJ308" s="1633" t="n"/>
      <c r="AK308" s="1633" t="n"/>
      <c r="AL308" s="1633" t="n"/>
      <c r="AM308" s="1633" t="n"/>
      <c r="AN308" s="1633" t="n"/>
      <c r="AO308" s="1633" t="n"/>
      <c r="AP308" s="1633" t="n"/>
      <c r="AQ308" s="1633" t="n"/>
      <c r="AR308" s="1633" t="n"/>
      <c r="AS308" s="1633" t="n"/>
      <c r="AT308" s="1633" t="n"/>
      <c r="AU308" s="1633" t="n"/>
      <c r="AV308" s="1633" t="n"/>
      <c r="AW308" s="1633" t="n"/>
      <c r="AX308" s="1633" t="n"/>
      <c r="AY308" s="1633" t="n"/>
      <c r="AZ308" s="1633" t="n"/>
    </row>
    <row r="309" ht="13.55" customFormat="1" customHeight="1" s="1573">
      <c r="B309" s="1633" t="n"/>
      <c r="C309" s="1633" t="n"/>
      <c r="D309" s="1633" t="n"/>
      <c r="E309" s="1633" t="n"/>
      <c r="F309" s="1633" t="n"/>
      <c r="G309" s="1633" t="n"/>
      <c r="H309" s="1633" t="n"/>
      <c r="I309" s="1633" t="n"/>
      <c r="J309" s="1633" t="n"/>
      <c r="K309" s="1633" t="n"/>
      <c r="L309" s="1633" t="n"/>
      <c r="M309" s="1633" t="n"/>
      <c r="N309" s="1633" t="n"/>
      <c r="O309" s="1633" t="n"/>
      <c r="P309" s="1633" t="n"/>
      <c r="Q309" s="1633" t="n"/>
      <c r="R309" s="1633" t="n"/>
      <c r="S309" s="1633" t="n"/>
      <c r="T309" s="1633" t="n"/>
      <c r="U309" s="1633" t="n"/>
      <c r="V309" s="1633" t="n"/>
      <c r="W309" s="1633" t="n"/>
      <c r="X309" s="1633" t="n"/>
      <c r="Y309" s="1633" t="n"/>
      <c r="Z309" s="1633" t="n"/>
      <c r="AA309" s="1633" t="n"/>
      <c r="AB309" s="1633" t="n"/>
      <c r="AC309" s="1633" t="n"/>
      <c r="AD309" s="1633" t="n"/>
      <c r="AE309" s="1633" t="n"/>
      <c r="AF309" s="1633" t="n"/>
      <c r="AG309" s="1633" t="n"/>
      <c r="AH309" s="1633" t="n"/>
      <c r="AI309" s="1633" t="n"/>
      <c r="AJ309" s="1633" t="n"/>
      <c r="AK309" s="1633" t="n"/>
      <c r="AL309" s="1633" t="n"/>
      <c r="AM309" s="1633" t="n"/>
      <c r="AN309" s="1633" t="n"/>
      <c r="AO309" s="1633" t="n"/>
      <c r="AP309" s="1633" t="n"/>
      <c r="AQ309" s="1633" t="n"/>
      <c r="AR309" s="1633" t="n"/>
      <c r="AS309" s="1633" t="n"/>
      <c r="AT309" s="1633" t="n"/>
      <c r="AU309" s="1633" t="n"/>
      <c r="AV309" s="1633" t="n"/>
      <c r="AW309" s="1633" t="n"/>
      <c r="AX309" s="1633" t="n"/>
      <c r="AY309" s="1633" t="n"/>
      <c r="AZ309" s="1633" t="n"/>
    </row>
    <row r="310" ht="13.55" customFormat="1" customHeight="1" s="1573">
      <c r="B310" s="1633" t="n"/>
      <c r="C310" s="1633" t="n"/>
      <c r="D310" s="1633" t="n"/>
      <c r="E310" s="1633" t="n"/>
      <c r="F310" s="1633" t="n"/>
      <c r="G310" s="1633" t="n"/>
      <c r="H310" s="1633" t="n"/>
      <c r="I310" s="1633" t="n"/>
      <c r="J310" s="1633" t="n"/>
      <c r="K310" s="1633" t="n"/>
      <c r="L310" s="1633" t="n"/>
      <c r="M310" s="1633" t="n"/>
      <c r="N310" s="1633" t="n"/>
      <c r="O310" s="1633" t="n"/>
      <c r="P310" s="1633" t="n"/>
      <c r="Q310" s="1633" t="n"/>
      <c r="R310" s="1633" t="n"/>
      <c r="S310" s="1633" t="n"/>
      <c r="T310" s="1633" t="n"/>
      <c r="U310" s="1633" t="n"/>
      <c r="V310" s="1633" t="n"/>
      <c r="W310" s="1633" t="n"/>
      <c r="X310" s="1633" t="n"/>
      <c r="Y310" s="1633" t="n"/>
      <c r="Z310" s="1633" t="n"/>
      <c r="AA310" s="1633" t="n"/>
      <c r="AB310" s="1633" t="n"/>
      <c r="AC310" s="1633" t="n"/>
      <c r="AD310" s="1633" t="n"/>
      <c r="AE310" s="1633" t="n"/>
      <c r="AF310" s="1633" t="n"/>
      <c r="AG310" s="1633" t="n"/>
      <c r="AH310" s="1633" t="n"/>
      <c r="AI310" s="1633" t="n"/>
      <c r="AJ310" s="1633" t="n"/>
      <c r="AK310" s="1633" t="n"/>
      <c r="AL310" s="1633" t="n"/>
      <c r="AM310" s="1633" t="n"/>
      <c r="AN310" s="1633" t="n"/>
      <c r="AO310" s="1633" t="n"/>
      <c r="AP310" s="1633" t="n"/>
      <c r="AQ310" s="1633" t="n"/>
      <c r="AR310" s="1633" t="n"/>
      <c r="AS310" s="1633" t="n"/>
      <c r="AT310" s="1633" t="n"/>
      <c r="AU310" s="1633" t="n"/>
      <c r="AV310" s="1633" t="n"/>
      <c r="AW310" s="1633" t="n"/>
      <c r="AX310" s="1633" t="n"/>
      <c r="AY310" s="1633" t="n"/>
      <c r="AZ310" s="1633" t="n"/>
    </row>
    <row r="311" ht="13.55" customFormat="1" customHeight="1" s="1573">
      <c r="B311" s="1633" t="n"/>
      <c r="C311" s="1633" t="n"/>
      <c r="D311" s="1633" t="n"/>
      <c r="E311" s="1633" t="n"/>
      <c r="F311" s="1633" t="n"/>
      <c r="G311" s="1633" t="n"/>
      <c r="H311" s="1633" t="n"/>
      <c r="I311" s="1633" t="n"/>
      <c r="J311" s="1633" t="n"/>
      <c r="K311" s="1633" t="n"/>
      <c r="L311" s="1633" t="n"/>
      <c r="M311" s="1633" t="n"/>
      <c r="N311" s="1633" t="n"/>
      <c r="O311" s="1633" t="n"/>
      <c r="P311" s="1633" t="n"/>
      <c r="Q311" s="1633" t="n"/>
      <c r="R311" s="1633" t="n"/>
      <c r="S311" s="1633" t="n"/>
      <c r="T311" s="1633" t="n"/>
      <c r="U311" s="1633" t="n"/>
      <c r="V311" s="1633" t="n"/>
      <c r="W311" s="1633" t="n"/>
      <c r="X311" s="1633" t="n"/>
      <c r="Y311" s="1633" t="n"/>
      <c r="Z311" s="1633" t="n"/>
      <c r="AA311" s="1633" t="n"/>
      <c r="AB311" s="1633" t="n"/>
      <c r="AC311" s="1633" t="n"/>
      <c r="AD311" s="1633" t="n"/>
      <c r="AE311" s="1633" t="n"/>
      <c r="AF311" s="1633" t="n"/>
      <c r="AG311" s="1633" t="n"/>
      <c r="AH311" s="1633" t="n"/>
      <c r="AI311" s="1633" t="n"/>
      <c r="AJ311" s="1633" t="n"/>
      <c r="AK311" s="1633" t="n"/>
      <c r="AL311" s="1633" t="n"/>
      <c r="AM311" s="1633" t="n"/>
      <c r="AN311" s="1633" t="n"/>
      <c r="AO311" s="1633" t="n"/>
      <c r="AP311" s="1633" t="n"/>
      <c r="AQ311" s="1633" t="n"/>
      <c r="AR311" s="1633" t="n"/>
      <c r="AS311" s="1633" t="n"/>
      <c r="AT311" s="1633" t="n"/>
      <c r="AU311" s="1633" t="n"/>
      <c r="AV311" s="1633" t="n"/>
      <c r="AW311" s="1633" t="n"/>
      <c r="AX311" s="1633" t="n"/>
      <c r="AY311" s="1633" t="n"/>
      <c r="AZ311" s="1633" t="n"/>
    </row>
    <row r="312" ht="13.55" customFormat="1" customHeight="1" s="1573">
      <c r="B312" s="1633" t="n"/>
      <c r="C312" s="1633" t="n"/>
      <c r="D312" s="1633" t="n"/>
      <c r="E312" s="1633" t="n"/>
      <c r="F312" s="1633" t="n"/>
      <c r="G312" s="1633" t="n"/>
      <c r="H312" s="1633" t="n"/>
      <c r="I312" s="1633" t="n"/>
      <c r="J312" s="1633" t="n"/>
      <c r="K312" s="1633" t="n"/>
      <c r="L312" s="1633" t="n"/>
      <c r="M312" s="1633" t="n"/>
      <c r="N312" s="1633" t="n"/>
      <c r="O312" s="1633" t="n"/>
      <c r="P312" s="1633" t="n"/>
      <c r="Q312" s="1633" t="n"/>
      <c r="R312" s="1633" t="n"/>
      <c r="S312" s="1633" t="n"/>
      <c r="T312" s="1633" t="n"/>
      <c r="U312" s="1633" t="n"/>
      <c r="V312" s="1633" t="n"/>
      <c r="W312" s="1633" t="n"/>
      <c r="X312" s="1633" t="n"/>
      <c r="Y312" s="1633" t="n"/>
      <c r="Z312" s="1633" t="n"/>
      <c r="AA312" s="1633" t="n"/>
      <c r="AB312" s="1633" t="n"/>
      <c r="AC312" s="1633" t="n"/>
      <c r="AD312" s="1633" t="n"/>
      <c r="AE312" s="1633" t="n"/>
      <c r="AF312" s="1633" t="n"/>
      <c r="AG312" s="1633" t="n"/>
      <c r="AH312" s="1633" t="n"/>
      <c r="AI312" s="1633" t="n"/>
      <c r="AJ312" s="1633" t="n"/>
      <c r="AK312" s="1633" t="n"/>
      <c r="AL312" s="1633" t="n"/>
      <c r="AM312" s="1633" t="n"/>
      <c r="AN312" s="1633" t="n"/>
      <c r="AO312" s="1633" t="n"/>
      <c r="AP312" s="1633" t="n"/>
      <c r="AQ312" s="1633" t="n"/>
      <c r="AR312" s="1633" t="n"/>
      <c r="AS312" s="1633" t="n"/>
      <c r="AT312" s="1633" t="n"/>
      <c r="AU312" s="1633" t="n"/>
      <c r="AV312" s="1633" t="n"/>
      <c r="AW312" s="1633" t="n"/>
      <c r="AX312" s="1633" t="n"/>
      <c r="AY312" s="1633" t="n"/>
      <c r="AZ312" s="1633" t="n"/>
    </row>
    <row r="313" ht="13.55" customFormat="1" customHeight="1" s="1573">
      <c r="B313" s="1633" t="n"/>
      <c r="C313" s="1633" t="n"/>
      <c r="D313" s="1633" t="n"/>
      <c r="E313" s="1633" t="n"/>
      <c r="F313" s="1633" t="n"/>
      <c r="G313" s="1633" t="n"/>
      <c r="H313" s="1633" t="n"/>
      <c r="I313" s="1633" t="n"/>
      <c r="J313" s="1633" t="n"/>
      <c r="K313" s="1633" t="n"/>
      <c r="L313" s="1633" t="n"/>
      <c r="M313" s="1633" t="n"/>
      <c r="N313" s="1633" t="n"/>
      <c r="O313" s="1633" t="n"/>
      <c r="P313" s="1633" t="n"/>
      <c r="Q313" s="1633" t="n"/>
      <c r="R313" s="1633" t="n"/>
      <c r="S313" s="1633" t="n"/>
      <c r="T313" s="1633" t="n"/>
      <c r="U313" s="1633" t="n"/>
      <c r="V313" s="1633" t="n"/>
      <c r="W313" s="1633" t="n"/>
      <c r="X313" s="1633" t="n"/>
      <c r="Y313" s="1633" t="n"/>
      <c r="Z313" s="1633" t="n"/>
      <c r="AA313" s="1633" t="n"/>
      <c r="AB313" s="1633" t="n"/>
      <c r="AC313" s="1633" t="n"/>
      <c r="AD313" s="1633" t="n"/>
      <c r="AE313" s="1633" t="n"/>
      <c r="AF313" s="1633" t="n"/>
      <c r="AG313" s="1633" t="n"/>
      <c r="AH313" s="1633" t="n"/>
      <c r="AI313" s="1633" t="n"/>
      <c r="AJ313" s="1633" t="n"/>
      <c r="AK313" s="1633" t="n"/>
      <c r="AL313" s="1633" t="n"/>
      <c r="AM313" s="1633" t="n"/>
      <c r="AN313" s="1633" t="n"/>
      <c r="AO313" s="1633" t="n"/>
      <c r="AP313" s="1633" t="n"/>
      <c r="AQ313" s="1633" t="n"/>
      <c r="AR313" s="1633" t="n"/>
      <c r="AS313" s="1633" t="n"/>
      <c r="AT313" s="1633" t="n"/>
      <c r="AU313" s="1633" t="n"/>
      <c r="AV313" s="1633" t="n"/>
      <c r="AW313" s="1633" t="n"/>
      <c r="AX313" s="1633" t="n"/>
      <c r="AY313" s="1633" t="n"/>
      <c r="AZ313" s="1633" t="n"/>
    </row>
    <row r="314" ht="13.55" customFormat="1" customHeight="1" s="1573">
      <c r="B314" s="1633" t="n"/>
      <c r="C314" s="1633" t="n"/>
      <c r="D314" s="1633" t="n"/>
      <c r="E314" s="1633" t="n"/>
      <c r="F314" s="1633" t="n"/>
      <c r="G314" s="1633" t="n"/>
      <c r="H314" s="1633" t="n"/>
      <c r="I314" s="1633" t="n"/>
      <c r="J314" s="1633" t="n"/>
      <c r="K314" s="1633" t="n"/>
      <c r="L314" s="1633" t="n"/>
      <c r="M314" s="1633" t="n"/>
      <c r="N314" s="1633" t="n"/>
      <c r="O314" s="1633" t="n"/>
      <c r="P314" s="1633" t="n"/>
      <c r="Q314" s="1633" t="n"/>
      <c r="R314" s="1633" t="n"/>
      <c r="S314" s="1633" t="n"/>
      <c r="T314" s="1633" t="n"/>
      <c r="U314" s="1633" t="n"/>
      <c r="V314" s="1633" t="n"/>
      <c r="W314" s="1633" t="n"/>
      <c r="X314" s="1633" t="n"/>
      <c r="Y314" s="1633" t="n"/>
      <c r="Z314" s="1633" t="n"/>
      <c r="AA314" s="1633" t="n"/>
      <c r="AB314" s="1633" t="n"/>
      <c r="AC314" s="1633" t="n"/>
      <c r="AD314" s="1633" t="n"/>
      <c r="AE314" s="1633" t="n"/>
      <c r="AF314" s="1633" t="n"/>
      <c r="AG314" s="1633" t="n"/>
      <c r="AH314" s="1633" t="n"/>
      <c r="AI314" s="1633" t="n"/>
      <c r="AJ314" s="1633" t="n"/>
      <c r="AK314" s="1633" t="n"/>
      <c r="AL314" s="1633" t="n"/>
      <c r="AM314" s="1633" t="n"/>
      <c r="AN314" s="1633" t="n"/>
      <c r="AO314" s="1633" t="n"/>
      <c r="AP314" s="1633" t="n"/>
      <c r="AQ314" s="1633" t="n"/>
      <c r="AR314" s="1633" t="n"/>
      <c r="AS314" s="1633" t="n"/>
      <c r="AT314" s="1633" t="n"/>
      <c r="AU314" s="1633" t="n"/>
      <c r="AV314" s="1633" t="n"/>
      <c r="AW314" s="1633" t="n"/>
      <c r="AX314" s="1633" t="n"/>
      <c r="AY314" s="1633" t="n"/>
      <c r="AZ314" s="1633" t="n"/>
    </row>
    <row r="315" ht="13.55" customFormat="1" customHeight="1" s="1573">
      <c r="B315" s="1633" t="n"/>
      <c r="C315" s="1633" t="n"/>
      <c r="D315" s="1633" t="n"/>
      <c r="E315" s="1633" t="n"/>
      <c r="F315" s="1633" t="n"/>
      <c r="G315" s="1633" t="n"/>
      <c r="H315" s="1633" t="n"/>
      <c r="I315" s="1633" t="n"/>
      <c r="J315" s="1633" t="n"/>
      <c r="K315" s="1633" t="n"/>
      <c r="L315" s="1633" t="n"/>
      <c r="M315" s="1633" t="n"/>
      <c r="N315" s="1633" t="n"/>
      <c r="O315" s="1633" t="n"/>
      <c r="P315" s="1633" t="n"/>
      <c r="Q315" s="1633" t="n"/>
      <c r="R315" s="1633" t="n"/>
      <c r="S315" s="1633" t="n"/>
      <c r="T315" s="1633" t="n"/>
      <c r="U315" s="1633" t="n"/>
      <c r="V315" s="1633" t="n"/>
      <c r="W315" s="1633" t="n"/>
      <c r="X315" s="1633" t="n"/>
      <c r="Y315" s="1633" t="n"/>
      <c r="Z315" s="1633" t="n"/>
      <c r="AA315" s="1633" t="n"/>
      <c r="AB315" s="1633" t="n"/>
      <c r="AC315" s="1633" t="n"/>
      <c r="AD315" s="1633" t="n"/>
      <c r="AE315" s="1633" t="n"/>
      <c r="AF315" s="1633" t="n"/>
      <c r="AG315" s="1633" t="n"/>
      <c r="AH315" s="1633" t="n"/>
      <c r="AI315" s="1633" t="n"/>
      <c r="AJ315" s="1633" t="n"/>
      <c r="AK315" s="1633" t="n"/>
      <c r="AL315" s="1633" t="n"/>
      <c r="AM315" s="1633" t="n"/>
      <c r="AN315" s="1633" t="n"/>
      <c r="AO315" s="1633" t="n"/>
      <c r="AP315" s="1633" t="n"/>
      <c r="AQ315" s="1633" t="n"/>
      <c r="AR315" s="1633" t="n"/>
      <c r="AS315" s="1633" t="n"/>
      <c r="AT315" s="1633" t="n"/>
      <c r="AU315" s="1633" t="n"/>
      <c r="AV315" s="1633" t="n"/>
      <c r="AW315" s="1633" t="n"/>
      <c r="AX315" s="1633" t="n"/>
      <c r="AY315" s="1633" t="n"/>
      <c r="AZ315" s="1633" t="n"/>
    </row>
    <row r="316" ht="13.55" customFormat="1" customHeight="1" s="1573">
      <c r="B316" s="1633" t="n"/>
      <c r="C316" s="1633" t="n"/>
      <c r="D316" s="1633" t="n"/>
      <c r="E316" s="1633" t="n"/>
      <c r="F316" s="1633" t="n"/>
      <c r="G316" s="1633" t="n"/>
      <c r="H316" s="1633" t="n"/>
      <c r="I316" s="1633" t="n"/>
      <c r="J316" s="1633" t="n"/>
      <c r="K316" s="1633" t="n"/>
      <c r="L316" s="1633" t="n"/>
      <c r="M316" s="1633" t="n"/>
      <c r="N316" s="1633" t="n"/>
      <c r="O316" s="1633" t="n"/>
      <c r="P316" s="1633" t="n"/>
      <c r="Q316" s="1633" t="n"/>
      <c r="R316" s="1633" t="n"/>
      <c r="S316" s="1633" t="n"/>
      <c r="T316" s="1633" t="n"/>
      <c r="U316" s="1633" t="n"/>
      <c r="V316" s="1633" t="n"/>
      <c r="W316" s="1633" t="n"/>
      <c r="X316" s="1633" t="n"/>
      <c r="Y316" s="1633" t="n"/>
      <c r="Z316" s="1633" t="n"/>
      <c r="AA316" s="1633" t="n"/>
      <c r="AB316" s="1633" t="n"/>
      <c r="AC316" s="1633" t="n"/>
      <c r="AD316" s="1633" t="n"/>
      <c r="AE316" s="1633" t="n"/>
      <c r="AF316" s="1633" t="n"/>
      <c r="AG316" s="1633" t="n"/>
      <c r="AH316" s="1633" t="n"/>
      <c r="AI316" s="1633" t="n"/>
      <c r="AJ316" s="1633" t="n"/>
      <c r="AK316" s="1633" t="n"/>
      <c r="AL316" s="1633" t="n"/>
      <c r="AM316" s="1633" t="n"/>
      <c r="AN316" s="1633" t="n"/>
      <c r="AO316" s="1633" t="n"/>
      <c r="AP316" s="1633" t="n"/>
      <c r="AQ316" s="1633" t="n"/>
      <c r="AR316" s="1633" t="n"/>
      <c r="AS316" s="1633" t="n"/>
      <c r="AT316" s="1633" t="n"/>
      <c r="AU316" s="1633" t="n"/>
      <c r="AV316" s="1633" t="n"/>
      <c r="AW316" s="1633" t="n"/>
      <c r="AX316" s="1633" t="n"/>
      <c r="AY316" s="1633" t="n"/>
      <c r="AZ316" s="1633" t="n"/>
    </row>
    <row r="317" ht="13.55" customFormat="1" customHeight="1" s="1573">
      <c r="B317" s="1633" t="n"/>
      <c r="C317" s="1633" t="n"/>
      <c r="D317" s="1633" t="n"/>
      <c r="E317" s="1633" t="n"/>
      <c r="F317" s="1633" t="n"/>
      <c r="G317" s="1633" t="n"/>
      <c r="H317" s="1633" t="n"/>
      <c r="I317" s="1633" t="n"/>
      <c r="J317" s="1633" t="n"/>
      <c r="K317" s="1633" t="n"/>
      <c r="L317" s="1633" t="n"/>
      <c r="M317" s="1633" t="n"/>
      <c r="N317" s="1633" t="n"/>
      <c r="O317" s="1633" t="n"/>
      <c r="P317" s="1633" t="n"/>
      <c r="Q317" s="1633" t="n"/>
      <c r="R317" s="1633" t="n"/>
      <c r="S317" s="1633" t="n"/>
      <c r="T317" s="1633" t="n"/>
      <c r="U317" s="1633" t="n"/>
      <c r="V317" s="1633" t="n"/>
      <c r="W317" s="1633" t="n"/>
      <c r="X317" s="1633" t="n"/>
      <c r="Y317" s="1633" t="n"/>
      <c r="Z317" s="1633" t="n"/>
      <c r="AA317" s="1633" t="n"/>
      <c r="AB317" s="1633" t="n"/>
      <c r="AC317" s="1633" t="n"/>
      <c r="AD317" s="1633" t="n"/>
      <c r="AE317" s="1633" t="n"/>
      <c r="AF317" s="1633" t="n"/>
      <c r="AG317" s="1633" t="n"/>
      <c r="AH317" s="1633" t="n"/>
      <c r="AI317" s="1633" t="n"/>
      <c r="AJ317" s="1633" t="n"/>
      <c r="AK317" s="1633" t="n"/>
      <c r="AL317" s="1633" t="n"/>
      <c r="AM317" s="1633" t="n"/>
      <c r="AN317" s="1633" t="n"/>
      <c r="AO317" s="1633" t="n"/>
      <c r="AP317" s="1633" t="n"/>
      <c r="AQ317" s="1633" t="n"/>
      <c r="AR317" s="1633" t="n"/>
      <c r="AS317" s="1633" t="n"/>
      <c r="AT317" s="1633" t="n"/>
      <c r="AU317" s="1633" t="n"/>
      <c r="AV317" s="1633" t="n"/>
      <c r="AW317" s="1633" t="n"/>
      <c r="AX317" s="1633" t="n"/>
      <c r="AY317" s="1633" t="n"/>
      <c r="AZ317" s="1633" t="n"/>
    </row>
    <row r="318" ht="13.55" customFormat="1" customHeight="1" s="1573">
      <c r="B318" s="1633" t="n"/>
      <c r="C318" s="1633" t="n"/>
      <c r="D318" s="1633" t="n"/>
      <c r="E318" s="1633" t="n"/>
      <c r="F318" s="1633" t="n"/>
      <c r="G318" s="1633" t="n"/>
      <c r="H318" s="1633" t="n"/>
      <c r="I318" s="1633" t="n"/>
      <c r="J318" s="1633" t="n"/>
      <c r="K318" s="1633" t="n"/>
      <c r="L318" s="1633" t="n"/>
      <c r="M318" s="1633" t="n"/>
      <c r="N318" s="1633" t="n"/>
      <c r="O318" s="1633" t="n"/>
      <c r="P318" s="1633" t="n"/>
      <c r="Q318" s="1633" t="n"/>
      <c r="R318" s="1633" t="n"/>
      <c r="S318" s="1633" t="n"/>
      <c r="T318" s="1633" t="n"/>
      <c r="U318" s="1633" t="n"/>
      <c r="V318" s="1633" t="n"/>
      <c r="W318" s="1633" t="n"/>
      <c r="X318" s="1633" t="n"/>
      <c r="Y318" s="1633" t="n"/>
      <c r="Z318" s="1633" t="n"/>
      <c r="AA318" s="1633" t="n"/>
      <c r="AB318" s="1633" t="n"/>
      <c r="AC318" s="1633" t="n"/>
      <c r="AD318" s="1633" t="n"/>
      <c r="AE318" s="1633" t="n"/>
      <c r="AF318" s="1633" t="n"/>
      <c r="AG318" s="1633" t="n"/>
      <c r="AH318" s="1633" t="n"/>
      <c r="AI318" s="1633" t="n"/>
      <c r="AJ318" s="1633" t="n"/>
      <c r="AK318" s="1633" t="n"/>
      <c r="AL318" s="1633" t="n"/>
      <c r="AM318" s="1633" t="n"/>
      <c r="AN318" s="1633" t="n"/>
      <c r="AO318" s="1633" t="n"/>
      <c r="AP318" s="1633" t="n"/>
      <c r="AQ318" s="1633" t="n"/>
      <c r="AR318" s="1633" t="n"/>
      <c r="AS318" s="1633" t="n"/>
      <c r="AT318" s="1633" t="n"/>
      <c r="AU318" s="1633" t="n"/>
      <c r="AV318" s="1633" t="n"/>
      <c r="AW318" s="1633" t="n"/>
      <c r="AX318" s="1633" t="n"/>
      <c r="AY318" s="1633" t="n"/>
      <c r="AZ318" s="1633" t="n"/>
    </row>
    <row r="319" ht="13.55" customFormat="1" customHeight="1" s="1573">
      <c r="B319" s="1633" t="n"/>
      <c r="C319" s="1633" t="n"/>
      <c r="D319" s="1633" t="n"/>
      <c r="E319" s="1633" t="n"/>
      <c r="F319" s="1633" t="n"/>
      <c r="G319" s="1633" t="n"/>
      <c r="H319" s="1633" t="n"/>
      <c r="I319" s="1633" t="n"/>
      <c r="J319" s="1633" t="n"/>
      <c r="K319" s="1633" t="n"/>
      <c r="L319" s="1633" t="n"/>
      <c r="M319" s="1633" t="n"/>
      <c r="N319" s="1633" t="n"/>
      <c r="O319" s="1633" t="n"/>
      <c r="P319" s="1633" t="n"/>
      <c r="Q319" s="1633" t="n"/>
      <c r="R319" s="1633" t="n"/>
      <c r="S319" s="1633" t="n"/>
      <c r="T319" s="1633" t="n"/>
      <c r="U319" s="1633" t="n"/>
      <c r="V319" s="1633" t="n"/>
      <c r="W319" s="1633" t="n"/>
      <c r="X319" s="1633" t="n"/>
      <c r="Y319" s="1633" t="n"/>
      <c r="Z319" s="1633" t="n"/>
      <c r="AA319" s="1633" t="n"/>
      <c r="AB319" s="1633" t="n"/>
      <c r="AC319" s="1633" t="n"/>
      <c r="AD319" s="1633" t="n"/>
      <c r="AE319" s="1633" t="n"/>
      <c r="AF319" s="1633" t="n"/>
      <c r="AG319" s="1633" t="n"/>
      <c r="AH319" s="1633" t="n"/>
      <c r="AI319" s="1633" t="n"/>
      <c r="AJ319" s="1633" t="n"/>
      <c r="AK319" s="1633" t="n"/>
      <c r="AL319" s="1633" t="n"/>
      <c r="AM319" s="1633" t="n"/>
      <c r="AN319" s="1633" t="n"/>
      <c r="AO319" s="1633" t="n"/>
      <c r="AP319" s="1633" t="n"/>
      <c r="AQ319" s="1633" t="n"/>
      <c r="AR319" s="1633" t="n"/>
      <c r="AS319" s="1633" t="n"/>
      <c r="AT319" s="1633" t="n"/>
      <c r="AU319" s="1633" t="n"/>
      <c r="AV319" s="1633" t="n"/>
      <c r="AW319" s="1633" t="n"/>
      <c r="AX319" s="1633" t="n"/>
      <c r="AY319" s="1633" t="n"/>
      <c r="AZ319" s="1633" t="n"/>
    </row>
    <row r="320" ht="13.55" customFormat="1" customHeight="1" s="1573">
      <c r="B320" s="1633" t="n"/>
      <c r="C320" s="1633" t="n"/>
      <c r="D320" s="1633" t="n"/>
      <c r="E320" s="1633" t="n"/>
      <c r="F320" s="1633" t="n"/>
      <c r="G320" s="1633" t="n"/>
      <c r="H320" s="1633" t="n"/>
      <c r="I320" s="1633" t="n"/>
      <c r="J320" s="1633" t="n"/>
      <c r="K320" s="1633" t="n"/>
      <c r="L320" s="1633" t="n"/>
      <c r="M320" s="1633" t="n"/>
      <c r="N320" s="1633" t="n"/>
      <c r="O320" s="1633" t="n"/>
      <c r="P320" s="1633" t="n"/>
      <c r="Q320" s="1633" t="n"/>
      <c r="R320" s="1633" t="n"/>
      <c r="S320" s="1633" t="n"/>
      <c r="T320" s="1633" t="n"/>
      <c r="U320" s="1633" t="n"/>
      <c r="V320" s="1633" t="n"/>
      <c r="W320" s="1633" t="n"/>
      <c r="X320" s="1633" t="n"/>
      <c r="Y320" s="1633" t="n"/>
      <c r="Z320" s="1633" t="n"/>
      <c r="AA320" s="1633" t="n"/>
      <c r="AB320" s="1633" t="n"/>
      <c r="AC320" s="1633" t="n"/>
      <c r="AD320" s="1633" t="n"/>
      <c r="AE320" s="1633" t="n"/>
      <c r="AF320" s="1633" t="n"/>
      <c r="AG320" s="1633" t="n"/>
      <c r="AH320" s="1633" t="n"/>
      <c r="AI320" s="1633" t="n"/>
      <c r="AJ320" s="1633" t="n"/>
      <c r="AK320" s="1633" t="n"/>
      <c r="AL320" s="1633" t="n"/>
      <c r="AM320" s="1633" t="n"/>
      <c r="AN320" s="1633" t="n"/>
      <c r="AO320" s="1633" t="n"/>
      <c r="AP320" s="1633" t="n"/>
      <c r="AQ320" s="1633" t="n"/>
      <c r="AR320" s="1633" t="n"/>
      <c r="AS320" s="1633" t="n"/>
      <c r="AT320" s="1633" t="n"/>
      <c r="AU320" s="1633" t="n"/>
      <c r="AV320" s="1633" t="n"/>
      <c r="AW320" s="1633" t="n"/>
      <c r="AX320" s="1633" t="n"/>
      <c r="AY320" s="1633" t="n"/>
      <c r="AZ320" s="1633" t="n"/>
    </row>
    <row r="321" ht="13.55" customFormat="1" customHeight="1" s="1573">
      <c r="B321" s="1633" t="n"/>
      <c r="C321" s="1633" t="n"/>
      <c r="D321" s="1633" t="n"/>
      <c r="E321" s="1633" t="n"/>
      <c r="F321" s="1633" t="n"/>
      <c r="G321" s="1633" t="n"/>
      <c r="H321" s="1633" t="n"/>
      <c r="I321" s="1633" t="n"/>
      <c r="J321" s="1633" t="n"/>
      <c r="K321" s="1633" t="n"/>
      <c r="L321" s="1633" t="n"/>
      <c r="M321" s="1633" t="n"/>
      <c r="N321" s="1633" t="n"/>
      <c r="O321" s="1633" t="n"/>
      <c r="P321" s="1633" t="n"/>
      <c r="Q321" s="1633" t="n"/>
      <c r="R321" s="1633" t="n"/>
      <c r="S321" s="1633" t="n"/>
      <c r="T321" s="1633" t="n"/>
      <c r="U321" s="1633" t="n"/>
      <c r="V321" s="1633" t="n"/>
      <c r="W321" s="1633" t="n"/>
      <c r="X321" s="1633" t="n"/>
      <c r="Y321" s="1633" t="n"/>
      <c r="Z321" s="1633" t="n"/>
      <c r="AA321" s="1633" t="n"/>
      <c r="AB321" s="1633" t="n"/>
      <c r="AC321" s="1633" t="n"/>
      <c r="AD321" s="1633" t="n"/>
      <c r="AE321" s="1633" t="n"/>
      <c r="AF321" s="1633" t="n"/>
      <c r="AG321" s="1633" t="n"/>
      <c r="AH321" s="1633" t="n"/>
      <c r="AI321" s="1633" t="n"/>
      <c r="AJ321" s="1633" t="n"/>
      <c r="AK321" s="1633" t="n"/>
      <c r="AL321" s="1633" t="n"/>
      <c r="AM321" s="1633" t="n"/>
      <c r="AN321" s="1633" t="n"/>
      <c r="AO321" s="1633" t="n"/>
      <c r="AP321" s="1633" t="n"/>
      <c r="AQ321" s="1633" t="n"/>
      <c r="AR321" s="1633" t="n"/>
      <c r="AS321" s="1633" t="n"/>
      <c r="AT321" s="1633" t="n"/>
      <c r="AU321" s="1633" t="n"/>
      <c r="AV321" s="1633" t="n"/>
      <c r="AW321" s="1633" t="n"/>
      <c r="AX321" s="1633" t="n"/>
      <c r="AY321" s="1633" t="n"/>
      <c r="AZ321" s="1633" t="n"/>
    </row>
    <row r="322" ht="13.55" customFormat="1" customHeight="1" s="1573">
      <c r="I322" s="1633" t="n"/>
      <c r="J322" s="1633" t="n"/>
      <c r="K322" s="1633" t="n"/>
      <c r="L322" s="1633" t="n"/>
      <c r="M322" s="1633" t="n"/>
      <c r="N322" s="1633" t="n"/>
      <c r="O322" s="1633" t="n"/>
      <c r="P322" s="1633" t="n"/>
      <c r="Q322" s="1633" t="n"/>
      <c r="R322" s="1633" t="n"/>
      <c r="S322" s="1633" t="n"/>
      <c r="T322" s="1633" t="n"/>
      <c r="U322" s="1633" t="n"/>
      <c r="V322" s="1633" t="n"/>
      <c r="W322" s="1633" t="n"/>
      <c r="X322" s="1633" t="n"/>
      <c r="Y322" s="1633" t="n"/>
      <c r="Z322" s="1633" t="n"/>
      <c r="AA322" s="1633" t="n"/>
      <c r="AB322" s="1633" t="n"/>
      <c r="AC322" s="1633" t="n"/>
      <c r="AD322" s="1633" t="n"/>
      <c r="AE322" s="1633" t="n"/>
      <c r="AF322" s="1633" t="n"/>
      <c r="AG322" s="1633" t="n"/>
      <c r="AH322" s="1633" t="n"/>
      <c r="AI322" s="1633" t="n"/>
      <c r="AJ322" s="1633" t="n"/>
      <c r="AK322" s="1633" t="n"/>
      <c r="AL322" s="1633" t="n"/>
      <c r="AM322" s="1633" t="n"/>
      <c r="AN322" s="1633" t="n"/>
      <c r="AO322" s="1633" t="n"/>
      <c r="AP322" s="1633" t="n"/>
      <c r="AQ322" s="1633" t="n"/>
      <c r="AR322" s="1633" t="n"/>
      <c r="AS322" s="1633" t="n"/>
      <c r="AT322" s="1633" t="n"/>
      <c r="AU322" s="1633" t="n"/>
      <c r="AV322" s="1633" t="n"/>
      <c r="AW322" s="1633" t="n"/>
      <c r="AX322" s="1633" t="n"/>
      <c r="AY322" s="1633" t="n"/>
      <c r="AZ322" s="1633" t="n"/>
    </row>
    <row r="323" ht="13.55" customFormat="1" customHeight="1" s="1573">
      <c r="J323" s="1633" t="n"/>
      <c r="K323" s="1633" t="n"/>
      <c r="L323" s="1633" t="n"/>
      <c r="M323" s="1633" t="n"/>
      <c r="N323" s="1633" t="n"/>
      <c r="O323" s="1633" t="n"/>
      <c r="P323" s="1633" t="n"/>
      <c r="Q323" s="1633" t="n"/>
      <c r="R323" s="1633" t="n"/>
      <c r="S323" s="1633" t="n"/>
      <c r="T323" s="1633" t="n"/>
      <c r="U323" s="1633" t="n"/>
      <c r="V323" s="1633" t="n"/>
      <c r="W323" s="1633" t="n"/>
      <c r="X323" s="1633" t="n"/>
      <c r="Y323" s="1633" t="n"/>
      <c r="Z323" s="1633" t="n"/>
      <c r="AA323" s="1633" t="n"/>
      <c r="AB323" s="1633" t="n"/>
      <c r="AC323" s="1633" t="n"/>
      <c r="AD323" s="1633" t="n"/>
      <c r="AE323" s="1633" t="n"/>
      <c r="AF323" s="1633" t="n"/>
      <c r="AG323" s="1633" t="n"/>
      <c r="AH323" s="1633" t="n"/>
      <c r="AI323" s="1633" t="n"/>
      <c r="AJ323" s="1633" t="n"/>
      <c r="AK323" s="1633" t="n"/>
      <c r="AL323" s="1633" t="n"/>
      <c r="AM323" s="1633" t="n"/>
      <c r="AN323" s="1633" t="n"/>
      <c r="AO323" s="1633" t="n"/>
      <c r="AP323" s="1633" t="n"/>
      <c r="AQ323" s="1633" t="n"/>
      <c r="AR323" s="1633" t="n"/>
      <c r="AS323" s="1633" t="n"/>
      <c r="AT323" s="1633" t="n"/>
      <c r="AU323" s="1633" t="n"/>
      <c r="AV323" s="1633" t="n"/>
      <c r="AW323" s="1633" t="n"/>
      <c r="AX323" s="1633" t="n"/>
      <c r="AY323" s="1633" t="n"/>
      <c r="AZ323" s="1633" t="n"/>
    </row>
  </sheetData>
  <pageMargins left="0.708661" right="0.708661" top="0.748031" bottom="0.748031" header="0.314961" footer="0.314961"/>
  <pageSetup orientation="portrait" scale="100" fitToHeight="1" fitToWidth="1" firstPageNumber="1" useFirstPageNumber="0" pageOrder="downThenOver"/>
  <headerFooter>
    <oddHeader/>
    <oddFooter>&amp;C&amp;"Calibri,Regular"&amp;11 &amp;K000000© 2023 Gartner, Inc. and/or its Affiliates. All Rights Reserved.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2026-01-13T10:16:07Z</dcterms:created>
  <dcterms:modified xsi:type="dcterms:W3CDTF">2026-01-13T10:16:07Z</dcterms:modified>
</cp:coreProperties>
</file>